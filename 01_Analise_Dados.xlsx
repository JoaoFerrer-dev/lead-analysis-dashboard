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aov\Documents\DESAFIO ESTAGIO\"/>
    </mc:Choice>
  </mc:AlternateContent>
  <xr:revisionPtr revIDLastSave="0" documentId="13_ncr:1_{B69494D9-3834-4D00-B73E-EE4C9F438327}" xr6:coauthVersionLast="47" xr6:coauthVersionMax="47" xr10:uidLastSave="{00000000-0000-0000-0000-000000000000}"/>
  <bookViews>
    <workbookView xWindow="-120" yWindow="-120" windowWidth="29040" windowHeight="15990" xr2:uid="{105CAED8-5D31-456B-945B-8F27F132D86C}"/>
  </bookViews>
  <sheets>
    <sheet name="01_Analise_Origem" sheetId="7" r:id="rId1"/>
    <sheet name="02_Analise_Mercado" sheetId="8" r:id="rId2"/>
    <sheet name="03_Analise_Porte" sheetId="9" r:id="rId3"/>
    <sheet name="04_Analise_Objetivo" sheetId="10" r:id="rId4"/>
    <sheet name="BASE_ANALISE" sheetId="1" r:id="rId5"/>
    <sheet name="ORIGEM" sheetId="2" r:id="rId6"/>
    <sheet name="MERCADO" sheetId="3" r:id="rId7"/>
    <sheet name="LOCAL" sheetId="4" r:id="rId8"/>
    <sheet name="PORTE" sheetId="5" r:id="rId9"/>
    <sheet name="OBJETIVO" sheetId="6" r:id="rId10"/>
  </sheets>
  <definedNames>
    <definedName name="_xlnm._FilterDatabase" localSheetId="6" hidden="1">MERCADO!$A$1:$B$2274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D6" i="10"/>
  <c r="D7" i="10"/>
  <c r="D8" i="10"/>
  <c r="D9" i="10"/>
  <c r="D10" i="10"/>
  <c r="D11" i="10"/>
  <c r="D4" i="10"/>
  <c r="D5" i="9"/>
  <c r="D6" i="9"/>
  <c r="D7" i="9"/>
  <c r="D8" i="9"/>
  <c r="D9" i="9"/>
  <c r="D4" i="9"/>
  <c r="D4" i="8"/>
  <c r="D5" i="8"/>
  <c r="D6" i="8"/>
  <c r="D7" i="8"/>
  <c r="D8" i="8"/>
  <c r="D9" i="8"/>
  <c r="D10" i="8"/>
  <c r="D11" i="8"/>
  <c r="D12" i="8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4" i="7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<sst xmlns="http://schemas.openxmlformats.org/spreadsheetml/2006/main" count="14671" uniqueCount="588">
  <si>
    <t>NÃO</t>
  </si>
  <si>
    <t>SIM</t>
  </si>
  <si>
    <t>LEAD_ID</t>
  </si>
  <si>
    <t>DATA CADASTRO</t>
  </si>
  <si>
    <t>VENDIDO</t>
  </si>
  <si>
    <t>MERCADO</t>
  </si>
  <si>
    <t>facebook - cpc</t>
  </si>
  <si>
    <t>Facebook</t>
  </si>
  <si>
    <t>google - cpc</t>
  </si>
  <si>
    <t>Google</t>
  </si>
  <si>
    <t>rep - ximena-cubillos</t>
  </si>
  <si>
    <t>rep</t>
  </si>
  <si>
    <t>Orgânico</t>
  </si>
  <si>
    <t>instagram - social</t>
  </si>
  <si>
    <t>Instagram</t>
  </si>
  <si>
    <t>bing - cpc</t>
  </si>
  <si>
    <t>Bing</t>
  </si>
  <si>
    <t>youtube - cpc</t>
  </si>
  <si>
    <t>Youtube</t>
  </si>
  <si>
    <t>leads - email</t>
  </si>
  <si>
    <t>Leads</t>
  </si>
  <si>
    <t>Sales Navigator</t>
  </si>
  <si>
    <t>Prospecção Ativa</t>
  </si>
  <si>
    <t>email</t>
  </si>
  <si>
    <t>youtube - social</t>
  </si>
  <si>
    <t>email - economapas</t>
  </si>
  <si>
    <t>Inbound Marketing</t>
  </si>
  <si>
    <t>linkedin - cpc</t>
  </si>
  <si>
    <t>Linkedin</t>
  </si>
  <si>
    <t>rep - juliana-gomes</t>
  </si>
  <si>
    <t>linkedin - social</t>
  </si>
  <si>
    <t>rep - elzir-souza</t>
  </si>
  <si>
    <t>Indicação</t>
  </si>
  <si>
    <t>SUB-ORIGEM</t>
  </si>
  <si>
    <t>ORIGEM</t>
  </si>
  <si>
    <t>Varejo</t>
  </si>
  <si>
    <t>Marketing/Publicidade/Consultoria</t>
  </si>
  <si>
    <t>Servicos</t>
  </si>
  <si>
    <t>Tecnologia</t>
  </si>
  <si>
    <t>Franqueadora</t>
  </si>
  <si>
    <t>Imobiliaria/Incorporadora/Construtora</t>
  </si>
  <si>
    <t>Empreendedor</t>
  </si>
  <si>
    <t>Industria</t>
  </si>
  <si>
    <t>João Pessoa - PB</t>
  </si>
  <si>
    <t>Rio de Janeiro - RJ</t>
  </si>
  <si>
    <t>Fortaleza - CE</t>
  </si>
  <si>
    <t>Belo Horizonte - MG</t>
  </si>
  <si>
    <t>São Paulo - SP</t>
  </si>
  <si>
    <t>Itaperuna - RJ</t>
  </si>
  <si>
    <t>Embu das Artes - SP</t>
  </si>
  <si>
    <t>Douradina - PR</t>
  </si>
  <si>
    <t>Maravilha - SC</t>
  </si>
  <si>
    <t>Sorocaba - SP</t>
  </si>
  <si>
    <t>Paulista - PE</t>
  </si>
  <si>
    <t>Brasília - DF</t>
  </si>
  <si>
    <t>Macaé - RJ</t>
  </si>
  <si>
    <t>Seabra - BA</t>
  </si>
  <si>
    <t>Guarulhos - SP</t>
  </si>
  <si>
    <t>Feira de Santana - BA</t>
  </si>
  <si>
    <t>Sitio Novo - RN</t>
  </si>
  <si>
    <t>-</t>
  </si>
  <si>
    <t>Cotia - SP</t>
  </si>
  <si>
    <t>Campo Largo - PR</t>
  </si>
  <si>
    <t>Diadema - SP</t>
  </si>
  <si>
    <t>Jequié - BA</t>
  </si>
  <si>
    <t>Sao Jose de Mipibu - RN</t>
  </si>
  <si>
    <t>Uberlândia - MG</t>
  </si>
  <si>
    <t>Niterói - RJ</t>
  </si>
  <si>
    <t>Recife - PE</t>
  </si>
  <si>
    <t>Sao Goncalo - RJ</t>
  </si>
  <si>
    <t>Curitiba - PR</t>
  </si>
  <si>
    <t>Guaratuba - PR</t>
  </si>
  <si>
    <t>Itajaí - SC</t>
  </si>
  <si>
    <t>Cianorte - PR</t>
  </si>
  <si>
    <t>Sumaré - SP</t>
  </si>
  <si>
    <t>V Redonda - RJ</t>
  </si>
  <si>
    <t>Balneário Camboriú - SC</t>
  </si>
  <si>
    <t>Humaitá - AM</t>
  </si>
  <si>
    <t>Sabara - MG</t>
  </si>
  <si>
    <t>Sapiranga - RS</t>
  </si>
  <si>
    <t>Porto Real do Colegio - AL</t>
  </si>
  <si>
    <t>Mogi das Cruzes - SP</t>
  </si>
  <si>
    <t>Tamboré - SP</t>
  </si>
  <si>
    <t>Goiânia - GO</t>
  </si>
  <si>
    <t>Campo Limpo Paulista - SP</t>
  </si>
  <si>
    <t>Criciúma - SC</t>
  </si>
  <si>
    <t>Cuiabá - MT</t>
  </si>
  <si>
    <t>Nova Iguaçu - RJ</t>
  </si>
  <si>
    <t>Belém - PA</t>
  </si>
  <si>
    <t>Londrina - PR</t>
  </si>
  <si>
    <t>Florianópolis - SC</t>
  </si>
  <si>
    <t>Pelotas - RS</t>
  </si>
  <si>
    <t>Ipatinga - MG</t>
  </si>
  <si>
    <t>Ibate - SP</t>
  </si>
  <si>
    <t>Ribeirão Preto - SP</t>
  </si>
  <si>
    <t>Teresina - PI</t>
  </si>
  <si>
    <t>Manaus - AM</t>
  </si>
  <si>
    <t>Papagaios - MG</t>
  </si>
  <si>
    <t>Campo Belo - MG</t>
  </si>
  <si>
    <t>Conceicao do Jacuipe - BA</t>
  </si>
  <si>
    <t>Butia - RS</t>
  </si>
  <si>
    <t>Pitangueiras - SP</t>
  </si>
  <si>
    <t>Salvador - BA</t>
  </si>
  <si>
    <t>Rio Branco - AC</t>
  </si>
  <si>
    <t>Arapiraca - AL</t>
  </si>
  <si>
    <t>Rio Pardo - RS</t>
  </si>
  <si>
    <t>Porto União - SC</t>
  </si>
  <si>
    <t>Jundiaí - SP</t>
  </si>
  <si>
    <t>Búzios - RJ</t>
  </si>
  <si>
    <t>Aparecida de Goiania - GO</t>
  </si>
  <si>
    <t>Iguatu - CE</t>
  </si>
  <si>
    <t>Aracaju - SE</t>
  </si>
  <si>
    <t>Campinas - SP</t>
  </si>
  <si>
    <t>Patrocinio - MG</t>
  </si>
  <si>
    <t>Campo Ere - SC</t>
  </si>
  <si>
    <t>Governador Valadares - MG</t>
  </si>
  <si>
    <t>Campo Grande - MS</t>
  </si>
  <si>
    <t>Extremoz - RN</t>
  </si>
  <si>
    <t>Vargem Grande Paulista - SP</t>
  </si>
  <si>
    <t>Edeia - GO</t>
  </si>
  <si>
    <t>Caxias do Sul - RS</t>
  </si>
  <si>
    <t>Piracicaba - SP</t>
  </si>
  <si>
    <t>Santarém - PA</t>
  </si>
  <si>
    <t>Caruaru - PE</t>
  </si>
  <si>
    <t>Ananindeua - PA</t>
  </si>
  <si>
    <t>Sarandi - PR</t>
  </si>
  <si>
    <t>Novo Gama - GO</t>
  </si>
  <si>
    <t>Vitória da Conquista - BA</t>
  </si>
  <si>
    <t>Hortolândia - SP</t>
  </si>
  <si>
    <t>Franco da Rocha - SP</t>
  </si>
  <si>
    <t>Rio Verde - GO</t>
  </si>
  <si>
    <t>Palmas - TO</t>
  </si>
  <si>
    <t>Itambacuri - MG</t>
  </si>
  <si>
    <t>Guaraciaba do Norte - CE</t>
  </si>
  <si>
    <t>Porto Velho - RO</t>
  </si>
  <si>
    <t>Caxias - MA</t>
  </si>
  <si>
    <t>Garuva - SC</t>
  </si>
  <si>
    <t>Salto - SP</t>
  </si>
  <si>
    <t>Sao Joaquim de Bicas - MG</t>
  </si>
  <si>
    <t>Maua - SP</t>
  </si>
  <si>
    <t>Divinópolis - MG</t>
  </si>
  <si>
    <t>Peruibe - SP</t>
  </si>
  <si>
    <t>Poços de Caldas - MG</t>
  </si>
  <si>
    <t>Mamanguape - PB</t>
  </si>
  <si>
    <t>Canoas - RS</t>
  </si>
  <si>
    <t>Sao Sebastiao do Paraiso - MG</t>
  </si>
  <si>
    <t>Parauapebas - PA</t>
  </si>
  <si>
    <t>Bento Gonçalves - RS</t>
  </si>
  <si>
    <t>São Lourenço - MG</t>
  </si>
  <si>
    <t>Quadra - SP</t>
  </si>
  <si>
    <t>Lagoa Santa - MG</t>
  </si>
  <si>
    <t>Ponta Porã - MS</t>
  </si>
  <si>
    <t>Tijucas - SC</t>
  </si>
  <si>
    <t>Picarra - PA</t>
  </si>
  <si>
    <t>Sao Francisco - MG</t>
  </si>
  <si>
    <t>Alfenas - MG</t>
  </si>
  <si>
    <t>Porto Alegre - RS</t>
  </si>
  <si>
    <t>Jales - SP</t>
  </si>
  <si>
    <t>Araçatuba - SP</t>
  </si>
  <si>
    <t>Barauna - RN</t>
  </si>
  <si>
    <t>Rio do Sul - SC</t>
  </si>
  <si>
    <t>Pontes e Lacerda - MT</t>
  </si>
  <si>
    <t>Itauna - MG</t>
  </si>
  <si>
    <t>Andaraí - RJ</t>
  </si>
  <si>
    <t>São José dos Campos - SP</t>
  </si>
  <si>
    <t>Olinda - PE</t>
  </si>
  <si>
    <t>São João del-Rei - MG</t>
  </si>
  <si>
    <t>Maringá - PR</t>
  </si>
  <si>
    <t>Maceió - AL</t>
  </si>
  <si>
    <t>Ouro Fino - MG</t>
  </si>
  <si>
    <t>São Luís - MA</t>
  </si>
  <si>
    <t>Pirai - RJ</t>
  </si>
  <si>
    <t>Petrópolis - RJ</t>
  </si>
  <si>
    <t>Joinville - SC</t>
  </si>
  <si>
    <t>Resende - RJ</t>
  </si>
  <si>
    <t>Panambi - RS</t>
  </si>
  <si>
    <t>Vitória - ES</t>
  </si>
  <si>
    <t>Caçador - SC</t>
  </si>
  <si>
    <t>Caieiras - SP</t>
  </si>
  <si>
    <t>Gravataí - RS</t>
  </si>
  <si>
    <t>Ribeirao Pires - SP</t>
  </si>
  <si>
    <t>Foz do Iguaçu - PR</t>
  </si>
  <si>
    <t>Taquara - RS</t>
  </si>
  <si>
    <t>Cruz das Almas - BA</t>
  </si>
  <si>
    <t>Contagem - MG</t>
  </si>
  <si>
    <t>Presidente Epitacio - SP</t>
  </si>
  <si>
    <t>Osasco - SP</t>
  </si>
  <si>
    <t>São Carlos - SP</t>
  </si>
  <si>
    <t>Teresopolis - RJ</t>
  </si>
  <si>
    <t>Mesquita - RJ</t>
  </si>
  <si>
    <t>Nova Granada - MG</t>
  </si>
  <si>
    <t>Santana do Garambeu - MG</t>
  </si>
  <si>
    <t>Passo Fundo - RS</t>
  </si>
  <si>
    <t>Santo André - SP</t>
  </si>
  <si>
    <t>Vila Velha - ES</t>
  </si>
  <si>
    <t>Blumenau - SC</t>
  </si>
  <si>
    <t>Barra dos Coqueiros - SE</t>
  </si>
  <si>
    <t>Santa Bárbara d\'Oeste - SP</t>
  </si>
  <si>
    <t>Madre de Deus - BA</t>
  </si>
  <si>
    <t>Delfinopolis - MG</t>
  </si>
  <si>
    <t>Magalhaes de Almeida - MA</t>
  </si>
  <si>
    <t>Orizona - GO</t>
  </si>
  <si>
    <t>Mangueirinha - PR</t>
  </si>
  <si>
    <t>Santa Ines - MA</t>
  </si>
  <si>
    <t>Codó - MA</t>
  </si>
  <si>
    <t>Ouro Preto do Oeste - RO</t>
  </si>
  <si>
    <t>Betim - MG</t>
  </si>
  <si>
    <t>Anápolis - GO</t>
  </si>
  <si>
    <t>Duque de Caxias - RJ</t>
  </si>
  <si>
    <t>Andira - PR</t>
  </si>
  <si>
    <t>Itabuna - BA</t>
  </si>
  <si>
    <t>Rochedo - MS</t>
  </si>
  <si>
    <t>Monteiro - PB</t>
  </si>
  <si>
    <t>Cruzeiro - SP</t>
  </si>
  <si>
    <t>Santos - SP</t>
  </si>
  <si>
    <t>Nova Olimpia - MT</t>
  </si>
  <si>
    <t>Pompeu - MG</t>
  </si>
  <si>
    <t>Itaborai - RJ</t>
  </si>
  <si>
    <t>Aripuana - MT</t>
  </si>
  <si>
    <t>Serra Negra - SP</t>
  </si>
  <si>
    <t>Pacaja - PA</t>
  </si>
  <si>
    <t>Rolandia - PR</t>
  </si>
  <si>
    <t>Chapecó - SC</t>
  </si>
  <si>
    <t>Pirapora - MG</t>
  </si>
  <si>
    <t>Araguaína - TO</t>
  </si>
  <si>
    <t>Natal - RN</t>
  </si>
  <si>
    <t>Sao Benedito - CE</t>
  </si>
  <si>
    <t>São Bernardo do Campo - SP</t>
  </si>
  <si>
    <t>Fazenda Rio Grande - PR</t>
  </si>
  <si>
    <t>Águas Lindas - PA</t>
  </si>
  <si>
    <t>Xanxere - SC</t>
  </si>
  <si>
    <t>Imbe de Minas - MG</t>
  </si>
  <si>
    <t>Tailandia - PA</t>
  </si>
  <si>
    <t>Uberaba - MG</t>
  </si>
  <si>
    <t>Maranguape - CE</t>
  </si>
  <si>
    <t>São Paulo</t>
  </si>
  <si>
    <t>Paracambi - RJ</t>
  </si>
  <si>
    <t>Sinop - MT</t>
  </si>
  <si>
    <t>Rio de Janeiro, RJ</t>
  </si>
  <si>
    <t>Dracena - SP</t>
  </si>
  <si>
    <t>Itaquaquecetuba - SP</t>
  </si>
  <si>
    <t>Atibaia - SP</t>
  </si>
  <si>
    <t>Nova Fátima - BA</t>
  </si>
  <si>
    <t>Mage - RJ</t>
  </si>
  <si>
    <t>Penapolis - SP</t>
  </si>
  <si>
    <t>Belford Roxo - RJ</t>
  </si>
  <si>
    <t>Barcarena Nova - PA</t>
  </si>
  <si>
    <t>Mario Campos - MG</t>
  </si>
  <si>
    <t>Taubate - SP</t>
  </si>
  <si>
    <t>Tubarao - SC</t>
  </si>
  <si>
    <t>Marília - SP</t>
  </si>
  <si>
    <t>Jaguaribe - CE</t>
  </si>
  <si>
    <t>Sao Jose Da Lapa - MG</t>
  </si>
  <si>
    <t>Cariacica - ES</t>
  </si>
  <si>
    <t>Bauru - SP</t>
  </si>
  <si>
    <t>Imbiribeira - PE</t>
  </si>
  <si>
    <t>Cascavel - PR</t>
  </si>
  <si>
    <t>Sao Luiz - MA</t>
  </si>
  <si>
    <t>Rio Preto - SP</t>
  </si>
  <si>
    <t>Valinhos - SP</t>
  </si>
  <si>
    <t>Novo Hamburgo - RS</t>
  </si>
  <si>
    <t>Monte Aprazivel - SP</t>
  </si>
  <si>
    <t>Santa Maria - RS</t>
  </si>
  <si>
    <t>Campinas, SP</t>
  </si>
  <si>
    <t>Sergipe</t>
  </si>
  <si>
    <t>Itaguacu Da Bahia - BA</t>
  </si>
  <si>
    <t>Vitoria de Santo Antao - PE</t>
  </si>
  <si>
    <t>Biguacu - SC</t>
  </si>
  <si>
    <t>Macapá - AP</t>
  </si>
  <si>
    <t>Dois Vizinhos - PR</t>
  </si>
  <si>
    <t>Santa Cruz de Salinas - MG</t>
  </si>
  <si>
    <t>Paco do Lumiar - MA</t>
  </si>
  <si>
    <t>Canela - RS</t>
  </si>
  <si>
    <t>Campos dos Goytacazes - RJ</t>
  </si>
  <si>
    <t>Goias - GO</t>
  </si>
  <si>
    <t>Parnamirim - RN</t>
  </si>
  <si>
    <t>Marica - RJ</t>
  </si>
  <si>
    <t>Praia Grande - SP</t>
  </si>
  <si>
    <t>Bacabal - MA</t>
  </si>
  <si>
    <t>Francisco Beltrão - PR</t>
  </si>
  <si>
    <t>Campina Grande - PB</t>
  </si>
  <si>
    <t>Alagoinhas - BA</t>
  </si>
  <si>
    <t>Formosa - GO</t>
  </si>
  <si>
    <t>Capao da Canoa - RS</t>
  </si>
  <si>
    <t>Simoes Filho - BA</t>
  </si>
  <si>
    <t>Caucaia - CE</t>
  </si>
  <si>
    <t>Franca - SP</t>
  </si>
  <si>
    <t>Apodi - RN</t>
  </si>
  <si>
    <t>Nova Santa Rita - RS</t>
  </si>
  <si>
    <t>Gravatá - PE</t>
  </si>
  <si>
    <t>Para de Minas - MG</t>
  </si>
  <si>
    <t>Jaraguá do Sul - SC</t>
  </si>
  <si>
    <t>Jaboatao dos Guararapes - PE</t>
  </si>
  <si>
    <t>Luisburgo - MG</t>
  </si>
  <si>
    <t>Conceicao do Coite - BA</t>
  </si>
  <si>
    <t>Pato Branco - PR</t>
  </si>
  <si>
    <t>Varginha - MG</t>
  </si>
  <si>
    <t>Consolação - SP</t>
  </si>
  <si>
    <t>Morro Agudo - SP</t>
  </si>
  <si>
    <t>Caseiros - RS</t>
  </si>
  <si>
    <t>Três Lagoas - MS</t>
  </si>
  <si>
    <t>Conceicao da Barra - ES</t>
  </si>
  <si>
    <t>Maracanau - CE</t>
  </si>
  <si>
    <t>Ourinhos - SP</t>
  </si>
  <si>
    <t>Rio Claro - SP</t>
  </si>
  <si>
    <t>Mineiros - GO</t>
  </si>
  <si>
    <t>Itaguai - RJ</t>
  </si>
  <si>
    <t>Colmeia - TO</t>
  </si>
  <si>
    <t>Sao Pedro do Turvo - SP</t>
  </si>
  <si>
    <t>Vicosa do Ceara - CE</t>
  </si>
  <si>
    <t>São Leopoldo - RS</t>
  </si>
  <si>
    <t>Itupeva - SP</t>
  </si>
  <si>
    <t>Montes Claros - MG</t>
  </si>
  <si>
    <t>Ariquemes - RO</t>
  </si>
  <si>
    <t>Linhares - ES</t>
  </si>
  <si>
    <t>Americana - SP</t>
  </si>
  <si>
    <t>Lajeado - RS</t>
  </si>
  <si>
    <t>Heliopolis - BA</t>
  </si>
  <si>
    <t>Cachoeirinha - RS</t>
  </si>
  <si>
    <t>São Paulo, SP</t>
  </si>
  <si>
    <t>Cabo de Santo Agostinho - PE</t>
  </si>
  <si>
    <t>Central - BA</t>
  </si>
  <si>
    <t>Bayeux - PB</t>
  </si>
  <si>
    <t>Jaguare - ES</t>
  </si>
  <si>
    <t>Alto Taquari - MT</t>
  </si>
  <si>
    <t>Buriti dos Lopes - PI</t>
  </si>
  <si>
    <t>Guimarania - MG</t>
  </si>
  <si>
    <t>Neves Paulista - SP</t>
  </si>
  <si>
    <t>Serrinha - BA</t>
  </si>
  <si>
    <t>Cabo Frio - RJ</t>
  </si>
  <si>
    <t>Birigui - SP</t>
  </si>
  <si>
    <t>Santana do Livramento - RS</t>
  </si>
  <si>
    <t>Macaiba - RN</t>
  </si>
  <si>
    <t>Cruz Alta - RS</t>
  </si>
  <si>
    <t>Limoeiro - PE</t>
  </si>
  <si>
    <t>Braganca Paulista - SP</t>
  </si>
  <si>
    <t>Presidente Prudente - SP</t>
  </si>
  <si>
    <t>Rio Grande - RS</t>
  </si>
  <si>
    <t>Ribeiro - BA</t>
  </si>
  <si>
    <t>Santa Rita do Passa Quatro - SP</t>
  </si>
  <si>
    <t>Rolante - RS</t>
  </si>
  <si>
    <t>Botucatu - SP</t>
  </si>
  <si>
    <t>Tome-Acu - PA</t>
  </si>
  <si>
    <t>Ponta Grossa - PR</t>
  </si>
  <si>
    <t>Serra - ES</t>
  </si>
  <si>
    <t>Marialva - PR</t>
  </si>
  <si>
    <t>Camaragibe - PE</t>
  </si>
  <si>
    <t>Araguari - MG</t>
  </si>
  <si>
    <t>Baixa Grande - BA</t>
  </si>
  <si>
    <t>Braganca - PA</t>
  </si>
  <si>
    <t>Alto Araguaia - MT</t>
  </si>
  <si>
    <t>Venancio Aires - RS</t>
  </si>
  <si>
    <t>Joao Monlevade - MG</t>
  </si>
  <si>
    <t>Condado - PE</t>
  </si>
  <si>
    <t>Indaiatuba - SP</t>
  </si>
  <si>
    <t>Tres Pontas - MG</t>
  </si>
  <si>
    <t>Barra da Estiva - BA</t>
  </si>
  <si>
    <t>Lagoa - PB</t>
  </si>
  <si>
    <t>Mossoro - RN</t>
  </si>
  <si>
    <t>Aquiraz - CE</t>
  </si>
  <si>
    <t>Petrolina - PE</t>
  </si>
  <si>
    <t>Tangará da Serra - MT</t>
  </si>
  <si>
    <t>Tefé - AM</t>
  </si>
  <si>
    <t>Taboao da Serra - SP</t>
  </si>
  <si>
    <t>Angra dos Reis - RJ</t>
  </si>
  <si>
    <t>Pai Pedro - MG</t>
  </si>
  <si>
    <t>Tiangua - CE</t>
  </si>
  <si>
    <t>Aguas de Lindoia - SP</t>
  </si>
  <si>
    <t>Lagarto - SE</t>
  </si>
  <si>
    <t>Várzea Grande - MT</t>
  </si>
  <si>
    <t>Viamão - RS</t>
  </si>
  <si>
    <t>Belo Horizonte, MG</t>
  </si>
  <si>
    <t>São José do Rio Preto, SP</t>
  </si>
  <si>
    <t>Candoi - PR</t>
  </si>
  <si>
    <t>Guarapuava - PR</t>
  </si>
  <si>
    <t>Coaraci - BA</t>
  </si>
  <si>
    <t>Catalao - GO</t>
  </si>
  <si>
    <t>Jardinopolis - SP</t>
  </si>
  <si>
    <t>Paulo Afonso - BA</t>
  </si>
  <si>
    <t>Sao Joao de Meriti - RJ</t>
  </si>
  <si>
    <t>Parana - RN</t>
  </si>
  <si>
    <t>Sao Jose dos Quatro Marcos - MT</t>
  </si>
  <si>
    <t>Virginopolis - MG</t>
  </si>
  <si>
    <t>Rio de Janeiro</t>
  </si>
  <si>
    <t>Irati - PR</t>
  </si>
  <si>
    <t>Santa Efigênia - MG</t>
  </si>
  <si>
    <t>Campo Bom - RS</t>
  </si>
  <si>
    <t>Dom Eliseu - PA</t>
  </si>
  <si>
    <t>Tatuí - SP</t>
  </si>
  <si>
    <t>Valparaiso de Goias - GO</t>
  </si>
  <si>
    <t>Engenheiro Paulo de Frontin - RJ</t>
  </si>
  <si>
    <t>Trindade - PE</t>
  </si>
  <si>
    <t>Jacareí - SP</t>
  </si>
  <si>
    <t>Juiz de Fora - MG</t>
  </si>
  <si>
    <t>Aracoiaba da Serra - SP</t>
  </si>
  <si>
    <t>Santo Antonio do Descoberto - GO</t>
  </si>
  <si>
    <t>Ilhabela - SP</t>
  </si>
  <si>
    <t>Lavras da Mangabeira - CE</t>
  </si>
  <si>
    <t>Itapema - SC</t>
  </si>
  <si>
    <t>Itanhaem - SP</t>
  </si>
  <si>
    <t>São Caetano do Sul - SP</t>
  </si>
  <si>
    <t>Barbalha - CE</t>
  </si>
  <si>
    <t>Hidrolandia - GO</t>
  </si>
  <si>
    <t>Pr</t>
  </si>
  <si>
    <t>Nossa Senhora do Socorro - SE</t>
  </si>
  <si>
    <t>Caragua - SP</t>
  </si>
  <si>
    <t>Salto de Pirapora - SP</t>
  </si>
  <si>
    <t>Gurupi - TO</t>
  </si>
  <si>
    <t>Baia Formosa - RN</t>
  </si>
  <si>
    <t>Jandira - SP</t>
  </si>
  <si>
    <t>Jose Bonifacio - SP</t>
  </si>
  <si>
    <t>Erechim - RS</t>
  </si>
  <si>
    <t>Umbauba - SE</t>
  </si>
  <si>
    <t>RJ</t>
  </si>
  <si>
    <t>Nossa Senhora da Gloria - SE</t>
  </si>
  <si>
    <t>Lauro de Freitas - BA</t>
  </si>
  <si>
    <t>Amaraji - PE</t>
  </si>
  <si>
    <t>Cristino Castro - PI</t>
  </si>
  <si>
    <t>Araci - BA</t>
  </si>
  <si>
    <t>Santa Rita - PB</t>
  </si>
  <si>
    <t>Colatina - ES</t>
  </si>
  <si>
    <t>Queimados - RJ</t>
  </si>
  <si>
    <t>Belo Oriente - MG</t>
  </si>
  <si>
    <t>Guaíra - PR</t>
  </si>
  <si>
    <t>Iguaba Grande - RJ</t>
  </si>
  <si>
    <t>Juazeiro do Norte - CE</t>
  </si>
  <si>
    <t>São Jorgé dos Ilhéos - BA</t>
  </si>
  <si>
    <t>Vilhena - RO</t>
  </si>
  <si>
    <t>Itapeva - SP</t>
  </si>
  <si>
    <t>Igarape Miri - PA</t>
  </si>
  <si>
    <t>Castanhal - PA</t>
  </si>
  <si>
    <t>Torres - RS</t>
  </si>
  <si>
    <t>Lucas do Rio Verde - MT</t>
  </si>
  <si>
    <t>Itapecerica da Serra - SP</t>
  </si>
  <si>
    <t>Juquitiba - SP</t>
  </si>
  <si>
    <t>Leopoldina - MG</t>
  </si>
  <si>
    <t>Rio das Ostras - RJ</t>
  </si>
  <si>
    <t>Catanduva - SP</t>
  </si>
  <si>
    <t>Unai - MG</t>
  </si>
  <si>
    <t>Patos de Minas - MG</t>
  </si>
  <si>
    <t>Barbacena - MG</t>
  </si>
  <si>
    <t>Itajuba - MG</t>
  </si>
  <si>
    <t>Caxambu - MG</t>
  </si>
  <si>
    <t>Venda Nova do Imigrante - ES</t>
  </si>
  <si>
    <t>Eusebio - CE</t>
  </si>
  <si>
    <t>Barretos - SP</t>
  </si>
  <si>
    <t>São Borja - RS</t>
  </si>
  <si>
    <t>Umuarama - PR</t>
  </si>
  <si>
    <t>Costa Rica - MS</t>
  </si>
  <si>
    <t>Sao Jose de Ribamar - MA</t>
  </si>
  <si>
    <t>Madalena - CE</t>
  </si>
  <si>
    <t>Vargem Grande do Sul - SP</t>
  </si>
  <si>
    <t>Barra de Sao Francisco - ES</t>
  </si>
  <si>
    <t>Parada de Lucas - RJ</t>
  </si>
  <si>
    <t>Vicosa - AL</t>
  </si>
  <si>
    <t>Santana do Ipanema - AL</t>
  </si>
  <si>
    <t>Jacobina - BA</t>
  </si>
  <si>
    <t>Porto Seguro - BA</t>
  </si>
  <si>
    <t>Eunapolis - BA</t>
  </si>
  <si>
    <t>Monte Dourado - PA</t>
  </si>
  <si>
    <t>Araxá - MG</t>
  </si>
  <si>
    <t>Seropedica - RJ</t>
  </si>
  <si>
    <t>Piedade - SP</t>
  </si>
  <si>
    <t>Palhoca - SC</t>
  </si>
  <si>
    <t>Camaçari - BA</t>
  </si>
  <si>
    <t>Juazeiro - BA</t>
  </si>
  <si>
    <t>Três Corações - MG</t>
  </si>
  <si>
    <t>Guaruja - SP</t>
  </si>
  <si>
    <t>Coronel Fabriciano - MG</t>
  </si>
  <si>
    <t>Campos Lindos - TO</t>
  </si>
  <si>
    <t>Campo Novo do Parecis - MT</t>
  </si>
  <si>
    <t>Paraty - RJ</t>
  </si>
  <si>
    <t>Ararangua - SC</t>
  </si>
  <si>
    <t>Sao Joao Batista - SC</t>
  </si>
  <si>
    <t>Lagoão - PR</t>
  </si>
  <si>
    <t>Limeira - SP</t>
  </si>
  <si>
    <t>Rio Negrinho - SC</t>
  </si>
  <si>
    <t>Cheyenne, WY</t>
  </si>
  <si>
    <t>Sao Jose - SC</t>
  </si>
  <si>
    <t>Palmas - PR</t>
  </si>
  <si>
    <t>Pinhais - PR</t>
  </si>
  <si>
    <t>Tapejara - PR</t>
  </si>
  <si>
    <t>São José dos Pinhais - PR</t>
  </si>
  <si>
    <t>Carpina - PE</t>
  </si>
  <si>
    <t>Buenos Aires - PE</t>
  </si>
  <si>
    <t>Saloa - PE</t>
  </si>
  <si>
    <t>Araripina - PE</t>
  </si>
  <si>
    <t>Aparecida - PB</t>
  </si>
  <si>
    <t>Merces de agua Limpa - MG</t>
  </si>
  <si>
    <t>Rio Preto - MG</t>
  </si>
  <si>
    <t>Para de Minas, MG</t>
  </si>
  <si>
    <t>Conselheiro Lafaiete - MG</t>
  </si>
  <si>
    <t>Viana - MA</t>
  </si>
  <si>
    <t>Baependi - MG</t>
  </si>
  <si>
    <t>Fernandopolis - SP</t>
  </si>
  <si>
    <t>Inhumas - GO</t>
  </si>
  <si>
    <t>Imperatriz - MA</t>
  </si>
  <si>
    <t>Terezopolis de Goias - GO</t>
  </si>
  <si>
    <t>São Miguel do Oeste - SC</t>
  </si>
  <si>
    <t>Paranaiba - MS</t>
  </si>
  <si>
    <t>Jaciara - MT</t>
  </si>
  <si>
    <t>Sorriso - MT</t>
  </si>
  <si>
    <t>Igarape Acu - PA</t>
  </si>
  <si>
    <t>Paracatu - MG</t>
  </si>
  <si>
    <t>Engenheiro Navarro, MG</t>
  </si>
  <si>
    <t>Icarai de Minas - MG</t>
  </si>
  <si>
    <t>Mariana, MG</t>
  </si>
  <si>
    <t>Manhuacu - MG</t>
  </si>
  <si>
    <t>Uba - MG</t>
  </si>
  <si>
    <t>Brusque - SC</t>
  </si>
  <si>
    <t>Gravatal - SC</t>
  </si>
  <si>
    <t>Balneário Camboriú, SC</t>
  </si>
  <si>
    <t>Santiago - RS</t>
  </si>
  <si>
    <t>Alecrim - RS</t>
  </si>
  <si>
    <t>Navegantes - SC</t>
  </si>
  <si>
    <t>Icara - SC</t>
  </si>
  <si>
    <t>Petropolis - RS</t>
  </si>
  <si>
    <t>Ivoti - RS</t>
  </si>
  <si>
    <t>Porto Alegre, RS</t>
  </si>
  <si>
    <t>Frederico Westphalen - RS</t>
  </si>
  <si>
    <t>Tibau - RN</t>
  </si>
  <si>
    <t>Araruama - RJ</t>
  </si>
  <si>
    <t>Charqueada - SP</t>
  </si>
  <si>
    <t>Guarulhos -SP</t>
  </si>
  <si>
    <t>Diadema, SP</t>
  </si>
  <si>
    <t>Corrego Grande - SC</t>
  </si>
  <si>
    <t>Itatiba - SP</t>
  </si>
  <si>
    <t>Mongagua - SP</t>
  </si>
  <si>
    <t>Itai - SP</t>
  </si>
  <si>
    <t>Itú, SP</t>
  </si>
  <si>
    <t>Ferraz de Vasconcelos - SP</t>
  </si>
  <si>
    <t>Borborema - SP</t>
  </si>
  <si>
    <t>Lencois Paulista - SP</t>
  </si>
  <si>
    <t>Olimpia - SP</t>
  </si>
  <si>
    <t>Sao Vicente - SP</t>
  </si>
  <si>
    <t>Porto Ferreira - SP</t>
  </si>
  <si>
    <t>Itabaiana - PB</t>
  </si>
  <si>
    <t>Mococa - SP</t>
  </si>
  <si>
    <t>Iomere - SC</t>
  </si>
  <si>
    <t>Nova Lima - MG</t>
  </si>
  <si>
    <t>Apucarana - PR</t>
  </si>
  <si>
    <t>Eusébio - CE</t>
  </si>
  <si>
    <t>Paraná, Brasil</t>
  </si>
  <si>
    <t>RS</t>
  </si>
  <si>
    <t>Guararema - SP</t>
  </si>
  <si>
    <t>Descalvado - SP</t>
  </si>
  <si>
    <t>Ibiuna - SP</t>
  </si>
  <si>
    <t>Pontal do Parana - PR</t>
  </si>
  <si>
    <t>Belo Horizonte, Minas Gerais</t>
  </si>
  <si>
    <t>São Caetano do Sul - RS</t>
  </si>
  <si>
    <t>Arcoverde - PE</t>
  </si>
  <si>
    <t>Porto alegre - RS</t>
  </si>
  <si>
    <t>Getulio Vargas - RS</t>
  </si>
  <si>
    <t>Minas Gerais</t>
  </si>
  <si>
    <t>Marau - BA</t>
  </si>
  <si>
    <t>Nipoa - SP</t>
  </si>
  <si>
    <t>Alhandra - PB</t>
  </si>
  <si>
    <t>Parobe - RS</t>
  </si>
  <si>
    <t>Porto Nacional - TO</t>
  </si>
  <si>
    <t>Sao Bento do Sapucai - SP</t>
  </si>
  <si>
    <t>Atalanta - SC</t>
  </si>
  <si>
    <t>Goioere - PR</t>
  </si>
  <si>
    <t>Ribeirão das Neves - MG</t>
  </si>
  <si>
    <t>Primavera do Leste - MT</t>
  </si>
  <si>
    <t>Pederneiras - SP</t>
  </si>
  <si>
    <t>Piraquara - PR</t>
  </si>
  <si>
    <t>Missal - PR</t>
  </si>
  <si>
    <t>LOCAL</t>
  </si>
  <si>
    <t>0</t>
  </si>
  <si>
    <t>1-10</t>
  </si>
  <si>
    <t>11-50</t>
  </si>
  <si>
    <t>+ 1000</t>
  </si>
  <si>
    <t>51-300</t>
  </si>
  <si>
    <t>301-1000</t>
  </si>
  <si>
    <t>PORTE</t>
  </si>
  <si>
    <t>Abertura/Expansão</t>
  </si>
  <si>
    <t>Ações de marketing/vendas</t>
  </si>
  <si>
    <t>Outro</t>
  </si>
  <si>
    <t>Planejamento estratégico</t>
  </si>
  <si>
    <t>Consultoria</t>
  </si>
  <si>
    <t>Geração de leads b2b</t>
  </si>
  <si>
    <t>OBJETIVO</t>
  </si>
  <si>
    <t>FLAG_CONVERSAO</t>
  </si>
  <si>
    <t>Rótulos de Linha</t>
  </si>
  <si>
    <t>Total Geral</t>
  </si>
  <si>
    <t>Soma de FLAG_CONVERSAO</t>
  </si>
  <si>
    <t>Contagem de LEAD_ID</t>
  </si>
  <si>
    <t>TAXA DE CONVERSÃO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</si>
</sst>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victor" refreshedDate="46052.417860069443" createdVersion="8" refreshedVersion="8" minRefreshableVersion="3" recordCount="2271" xr:uid="{8E3879DE-E543-4526-9952-98B8DB678089}">
  <cacheSource type="worksheet">
    <worksheetSource ref="A1:J2272" sheet="BASE_ANALISE"/>
  </cacheSource>
  <cacheFields count="10">
    <cacheField name="LEAD_ID" numFmtId="0">
      <sharedItems containsSemiMixedTypes="0" containsString="0" containsNumber="1" containsInteger="1" minValue="10565887" maxValue="12025673"/>
    </cacheField>
    <cacheField name="DATA CADASTRO" numFmtId="22">
      <sharedItems containsSemiMixedTypes="0" containsNonDate="0" containsDate="1" containsString="0" minDate="2024-12-01T00:09:34" maxDate="2025-04-18T23:05:38"/>
    </cacheField>
    <cacheField name="VENDIDO" numFmtId="0">
      <sharedItems/>
    </cacheField>
    <cacheField name="MERCADO" numFmtId="0">
      <sharedItems containsMixedTypes="1" containsNumber="1" containsInteger="1" minValue="0" maxValue="0" count="9">
        <s v="Varejo"/>
        <n v="0"/>
        <s v="Marketing/Publicidade/Consultoria"/>
        <s v="Tecnologia"/>
        <s v="Servicos"/>
        <s v="Franqueadora"/>
        <s v="Industria"/>
        <s v="Empreendedor"/>
        <s v="Imobiliaria/Incorporadora/Construtora"/>
      </sharedItems>
    </cacheField>
    <cacheField name="ORIGEM" numFmtId="0">
      <sharedItems count="13">
        <s v="Orgânico"/>
        <s v="Prospecção Ativa"/>
        <s v="Google"/>
        <s v="Linkedin"/>
        <s v="Facebook"/>
        <s v="Youtube"/>
        <s v="Bing"/>
        <s v="Instagram"/>
        <s v="rep"/>
        <s v="Leads"/>
        <s v="email"/>
        <s v="Inbound Marketing"/>
        <s v="Indicação"/>
      </sharedItems>
    </cacheField>
    <cacheField name="SUB-ORIGEM" numFmtId="0">
      <sharedItems containsMixedTypes="1" containsNumber="1" containsInteger="1" minValue="0" maxValue="0"/>
    </cacheField>
    <cacheField name="LOCAL" numFmtId="0">
      <sharedItems/>
    </cacheField>
    <cacheField name="PORTE" numFmtId="0">
      <sharedItems containsMixedTypes="1" containsNumber="1" containsInteger="1" minValue="0" maxValue="0" count="7">
        <s v="1-10"/>
        <s v="11-50"/>
        <n v="0"/>
        <s v="0"/>
        <s v="51-300"/>
        <s v="+ 1000"/>
        <s v="301-1000"/>
      </sharedItems>
    </cacheField>
    <cacheField name="OBJETIVO" numFmtId="0">
      <sharedItems containsMixedTypes="1" containsNumber="1" containsInteger="1" minValue="0" maxValue="0" count="7">
        <s v="Abertura/Expansão"/>
        <n v="0"/>
        <s v="Ações de marketing/vendas"/>
        <s v="Planejamento estratégico"/>
        <s v="Outro"/>
        <s v="Consultoria"/>
        <s v="Geração de leads b2b"/>
      </sharedItems>
    </cacheField>
    <cacheField name="FLAG_CONVERSA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1">
  <r>
    <n v="11316042"/>
    <d v="2025-02-10T16:23:30"/>
    <s v="NÃO"/>
    <x v="0"/>
    <x v="0"/>
    <n v="0"/>
    <s v="Belém - PA"/>
    <x v="0"/>
    <x v="0"/>
    <n v="0"/>
  </r>
  <r>
    <n v="11374979"/>
    <d v="2025-02-17T11:10:28"/>
    <s v="NÃO"/>
    <x v="0"/>
    <x v="0"/>
    <n v="0"/>
    <s v="São Paulo, SP"/>
    <x v="1"/>
    <x v="1"/>
    <n v="0"/>
  </r>
  <r>
    <n v="11997870"/>
    <d v="2025-04-15T11:06:00"/>
    <s v="NÃO"/>
    <x v="0"/>
    <x v="1"/>
    <s v="Sales Navigator"/>
    <s v="-"/>
    <x v="2"/>
    <x v="1"/>
    <n v="0"/>
  </r>
  <r>
    <n v="11930537"/>
    <d v="2025-04-09T13:10:21"/>
    <s v="NÃO"/>
    <x v="0"/>
    <x v="1"/>
    <s v="Sales Navigator"/>
    <s v="-"/>
    <x v="2"/>
    <x v="1"/>
    <n v="0"/>
  </r>
  <r>
    <n v="11899381"/>
    <d v="2025-04-07T13:13:49"/>
    <s v="NÃO"/>
    <x v="0"/>
    <x v="1"/>
    <s v="Sales Navigator"/>
    <s v="-"/>
    <x v="2"/>
    <x v="1"/>
    <n v="0"/>
  </r>
  <r>
    <n v="11899592"/>
    <d v="2025-04-07T13:32:15"/>
    <s v="NÃO"/>
    <x v="0"/>
    <x v="1"/>
    <s v="Sales Navigator"/>
    <s v="-"/>
    <x v="2"/>
    <x v="1"/>
    <n v="0"/>
  </r>
  <r>
    <n v="11889399"/>
    <d v="2025-04-06T16:38:08"/>
    <s v="NÃO"/>
    <x v="0"/>
    <x v="1"/>
    <s v="Sales Navigator"/>
    <s v="-"/>
    <x v="2"/>
    <x v="1"/>
    <n v="0"/>
  </r>
  <r>
    <n v="11842866"/>
    <d v="2025-04-01T10:57:27"/>
    <s v="NÃO"/>
    <x v="0"/>
    <x v="1"/>
    <s v="Sales Navigator"/>
    <s v="-"/>
    <x v="2"/>
    <x v="1"/>
    <n v="0"/>
  </r>
  <r>
    <n v="11843011"/>
    <d v="2025-04-01T11:09:13"/>
    <s v="NÃO"/>
    <x v="0"/>
    <x v="1"/>
    <s v="Sales Navigator"/>
    <s v="-"/>
    <x v="2"/>
    <x v="1"/>
    <n v="0"/>
  </r>
  <r>
    <n v="11684556"/>
    <d v="2025-03-18T10:12:15"/>
    <s v="NÃO"/>
    <x v="0"/>
    <x v="1"/>
    <s v="Sales Navigator"/>
    <s v="-"/>
    <x v="2"/>
    <x v="1"/>
    <n v="0"/>
  </r>
  <r>
    <n v="11685062"/>
    <d v="2025-03-18T10:29:57"/>
    <s v="NÃO"/>
    <x v="0"/>
    <x v="1"/>
    <s v="Sales Navigator"/>
    <s v="-"/>
    <x v="2"/>
    <x v="1"/>
    <n v="0"/>
  </r>
  <r>
    <n v="11698167"/>
    <d v="2025-03-19T11:51:46"/>
    <s v="NÃO"/>
    <x v="0"/>
    <x v="1"/>
    <s v="Sales Navigator"/>
    <s v="-"/>
    <x v="2"/>
    <x v="1"/>
    <n v="0"/>
  </r>
  <r>
    <n v="11698312"/>
    <d v="2025-03-19T12:03:02"/>
    <s v="NÃO"/>
    <x v="0"/>
    <x v="1"/>
    <s v="Sales Navigator"/>
    <s v="-"/>
    <x v="2"/>
    <x v="1"/>
    <n v="0"/>
  </r>
  <r>
    <n v="11684204"/>
    <d v="2025-03-18T09:50:04"/>
    <s v="NÃO"/>
    <x v="0"/>
    <x v="1"/>
    <s v="Sales Navigator"/>
    <s v="-"/>
    <x v="2"/>
    <x v="1"/>
    <n v="0"/>
  </r>
  <r>
    <n v="11684264"/>
    <d v="2025-03-18T09:53:23"/>
    <s v="NÃO"/>
    <x v="0"/>
    <x v="1"/>
    <s v="Sales Navigator"/>
    <s v="-"/>
    <x v="2"/>
    <x v="1"/>
    <n v="0"/>
  </r>
  <r>
    <n v="11357814"/>
    <d v="2025-02-15T18:32:19"/>
    <s v="NÃO"/>
    <x v="0"/>
    <x v="2"/>
    <s v="google - cpc"/>
    <s v="Rio de Janeiro - RJ"/>
    <x v="3"/>
    <x v="2"/>
    <n v="0"/>
  </r>
  <r>
    <n v="11842580"/>
    <d v="2025-04-01T10:36:33"/>
    <s v="NÃO"/>
    <x v="0"/>
    <x v="1"/>
    <s v="Sales Navigator"/>
    <s v="-"/>
    <x v="2"/>
    <x v="1"/>
    <n v="0"/>
  </r>
  <r>
    <n v="11842668"/>
    <d v="2025-04-01T10:44:41"/>
    <s v="NÃO"/>
    <x v="0"/>
    <x v="1"/>
    <s v="Sales Navigator"/>
    <s v="-"/>
    <x v="2"/>
    <x v="1"/>
    <n v="0"/>
  </r>
  <r>
    <n v="11806208"/>
    <d v="2025-03-29T12:43:51"/>
    <s v="NÃO"/>
    <x v="0"/>
    <x v="1"/>
    <s v="Sales Navigator"/>
    <s v="-"/>
    <x v="2"/>
    <x v="1"/>
    <n v="0"/>
  </r>
  <r>
    <n v="11817123"/>
    <d v="2025-03-30T09:23:06"/>
    <s v="NÃO"/>
    <x v="0"/>
    <x v="1"/>
    <s v="Sales Navigator"/>
    <s v="-"/>
    <x v="2"/>
    <x v="1"/>
    <n v="0"/>
  </r>
  <r>
    <n v="11774094"/>
    <d v="2025-03-26T11:11:38"/>
    <s v="NÃO"/>
    <x v="0"/>
    <x v="1"/>
    <s v="Sales Navigator"/>
    <s v="-"/>
    <x v="2"/>
    <x v="1"/>
    <n v="0"/>
  </r>
  <r>
    <n v="11741460"/>
    <d v="2025-03-24T10:45:29"/>
    <s v="NÃO"/>
    <x v="0"/>
    <x v="1"/>
    <s v="Sales Navigator"/>
    <s v="-"/>
    <x v="2"/>
    <x v="1"/>
    <n v="0"/>
  </r>
  <r>
    <n v="11741181"/>
    <d v="2025-03-24T10:32:46"/>
    <s v="NÃO"/>
    <x v="0"/>
    <x v="1"/>
    <s v="Sales Navigator"/>
    <s v="-"/>
    <x v="2"/>
    <x v="1"/>
    <n v="0"/>
  </r>
  <r>
    <n v="11698497"/>
    <d v="2025-03-19T12:31:22"/>
    <s v="NÃO"/>
    <x v="0"/>
    <x v="1"/>
    <s v="Sales Navigator"/>
    <s v="-"/>
    <x v="2"/>
    <x v="1"/>
    <n v="0"/>
  </r>
  <r>
    <n v="11698513"/>
    <d v="2025-03-19T12:35:41"/>
    <s v="NÃO"/>
    <x v="0"/>
    <x v="1"/>
    <s v="Sales Navigator"/>
    <s v="-"/>
    <x v="2"/>
    <x v="1"/>
    <n v="0"/>
  </r>
  <r>
    <n v="11698524"/>
    <d v="2025-03-19T12:37:57"/>
    <s v="NÃO"/>
    <x v="0"/>
    <x v="1"/>
    <s v="Sales Navigator"/>
    <s v="-"/>
    <x v="2"/>
    <x v="1"/>
    <n v="0"/>
  </r>
  <r>
    <n v="11699034"/>
    <d v="2025-03-19T12:39:52"/>
    <s v="NÃO"/>
    <x v="0"/>
    <x v="1"/>
    <s v="Sales Navigator"/>
    <s v="-"/>
    <x v="2"/>
    <x v="1"/>
    <n v="0"/>
  </r>
  <r>
    <n v="11741070"/>
    <d v="2025-03-24T10:24:30"/>
    <s v="NÃO"/>
    <x v="0"/>
    <x v="1"/>
    <s v="Sales Navigator"/>
    <s v="-"/>
    <x v="2"/>
    <x v="1"/>
    <n v="0"/>
  </r>
  <r>
    <n v="10566142"/>
    <d v="2024-12-01T05:46:39"/>
    <s v="NÃO"/>
    <x v="1"/>
    <x v="2"/>
    <s v="google - cpc"/>
    <s v="Cariacica - ES"/>
    <x v="4"/>
    <x v="0"/>
    <n v="0"/>
  </r>
  <r>
    <n v="10572176"/>
    <d v="2024-12-01T12:26:28"/>
    <s v="NÃO"/>
    <x v="1"/>
    <x v="2"/>
    <s v="google - cpc"/>
    <s v="Ribeirão Preto - SP"/>
    <x v="0"/>
    <x v="3"/>
    <n v="0"/>
  </r>
  <r>
    <n v="10581011"/>
    <d v="2024-12-01T18:02:28"/>
    <s v="NÃO"/>
    <x v="1"/>
    <x v="2"/>
    <s v="google - cpc"/>
    <s v="Missal - PR"/>
    <x v="4"/>
    <x v="3"/>
    <n v="0"/>
  </r>
  <r>
    <n v="10621157"/>
    <d v="2024-12-05T09:53:30"/>
    <s v="NÃO"/>
    <x v="1"/>
    <x v="2"/>
    <s v="google - cpc"/>
    <s v="Valinhos - SP"/>
    <x v="0"/>
    <x v="2"/>
    <n v="0"/>
  </r>
  <r>
    <n v="10608029"/>
    <d v="2024-12-03T17:10:25"/>
    <s v="NÃO"/>
    <x v="1"/>
    <x v="2"/>
    <s v="google - cpc"/>
    <s v="São Paulo - SP"/>
    <x v="0"/>
    <x v="2"/>
    <n v="0"/>
  </r>
  <r>
    <n v="10590212"/>
    <d v="2024-12-02T14:03:11"/>
    <s v="NÃO"/>
    <x v="1"/>
    <x v="0"/>
    <n v="0"/>
    <s v="Piraquara - PR"/>
    <x v="0"/>
    <x v="4"/>
    <n v="0"/>
  </r>
  <r>
    <n v="10590859"/>
    <d v="2024-12-02T14:59:04"/>
    <s v="NÃO"/>
    <x v="1"/>
    <x v="0"/>
    <n v="0"/>
    <s v="Sorocaba - SP"/>
    <x v="3"/>
    <x v="5"/>
    <n v="0"/>
  </r>
  <r>
    <n v="11390110"/>
    <d v="2025-02-18T14:34:25"/>
    <s v="NÃO"/>
    <x v="2"/>
    <x v="0"/>
    <n v="0"/>
    <s v="Belo Horizonte - MG"/>
    <x v="0"/>
    <x v="2"/>
    <n v="0"/>
  </r>
  <r>
    <n v="11899460"/>
    <d v="2025-04-07T13:24:35"/>
    <s v="NÃO"/>
    <x v="3"/>
    <x v="1"/>
    <s v="Sales Navigator"/>
    <s v="-"/>
    <x v="2"/>
    <x v="1"/>
    <n v="0"/>
  </r>
  <r>
    <n v="11269120"/>
    <d v="2025-02-06T12:41:58"/>
    <s v="NÃO"/>
    <x v="4"/>
    <x v="0"/>
    <n v="0"/>
    <s v="Recife - PE"/>
    <x v="0"/>
    <x v="0"/>
    <n v="0"/>
  </r>
  <r>
    <n v="11344672"/>
    <d v="2025-02-13T13:24:45"/>
    <s v="NÃO"/>
    <x v="4"/>
    <x v="0"/>
    <n v="0"/>
    <s v="Pederneiras - SP"/>
    <x v="5"/>
    <x v="3"/>
    <n v="0"/>
  </r>
  <r>
    <n v="11269632"/>
    <d v="2025-02-06T16:21:37"/>
    <s v="NÃO"/>
    <x v="4"/>
    <x v="2"/>
    <s v="google - cpc"/>
    <s v="Duque de Caxias - RJ"/>
    <x v="3"/>
    <x v="0"/>
    <n v="0"/>
  </r>
  <r>
    <n v="11600384"/>
    <d v="2025-03-10T13:15:57"/>
    <s v="NÃO"/>
    <x v="5"/>
    <x v="1"/>
    <s v="Sales Navigator"/>
    <s v="-"/>
    <x v="2"/>
    <x v="1"/>
    <n v="0"/>
  </r>
  <r>
    <n v="11600003"/>
    <d v="2025-03-10T12:25:15"/>
    <s v="NÃO"/>
    <x v="5"/>
    <x v="1"/>
    <s v="Sales Navigator"/>
    <s v="-"/>
    <x v="2"/>
    <x v="1"/>
    <n v="0"/>
  </r>
  <r>
    <n v="11612125"/>
    <d v="2025-03-11T12:53:15"/>
    <s v="NÃO"/>
    <x v="5"/>
    <x v="1"/>
    <s v="Sales Navigator"/>
    <s v="-"/>
    <x v="2"/>
    <x v="1"/>
    <n v="0"/>
  </r>
  <r>
    <n v="11612134"/>
    <d v="2025-03-11T12:54:48"/>
    <s v="NÃO"/>
    <x v="5"/>
    <x v="1"/>
    <s v="Sales Navigator"/>
    <s v="-"/>
    <x v="2"/>
    <x v="1"/>
    <n v="0"/>
  </r>
  <r>
    <n v="11612150"/>
    <d v="2025-03-11T12:56:36"/>
    <s v="NÃO"/>
    <x v="5"/>
    <x v="1"/>
    <s v="Sales Navigator"/>
    <s v="-"/>
    <x v="2"/>
    <x v="1"/>
    <n v="0"/>
  </r>
  <r>
    <n v="11684485"/>
    <d v="2025-03-18T10:06:30"/>
    <s v="NÃO"/>
    <x v="5"/>
    <x v="1"/>
    <s v="Sales Navigator"/>
    <s v="-"/>
    <x v="2"/>
    <x v="1"/>
    <n v="0"/>
  </r>
  <r>
    <n v="11684795"/>
    <d v="2025-03-18T10:19:14"/>
    <s v="NÃO"/>
    <x v="5"/>
    <x v="1"/>
    <s v="Sales Navigator"/>
    <s v="-"/>
    <x v="2"/>
    <x v="1"/>
    <n v="0"/>
  </r>
  <r>
    <n v="11684898"/>
    <d v="2025-03-18T10:23:24"/>
    <s v="NÃO"/>
    <x v="5"/>
    <x v="1"/>
    <s v="Sales Navigator"/>
    <s v="-"/>
    <x v="2"/>
    <x v="1"/>
    <n v="0"/>
  </r>
  <r>
    <n v="11685013"/>
    <d v="2025-03-18T10:26:35"/>
    <s v="NÃO"/>
    <x v="5"/>
    <x v="1"/>
    <s v="Sales Navigator"/>
    <s v="-"/>
    <x v="2"/>
    <x v="1"/>
    <n v="0"/>
  </r>
  <r>
    <n v="11714445"/>
    <d v="2025-03-22T09:56:20"/>
    <s v="NÃO"/>
    <x v="5"/>
    <x v="1"/>
    <s v="Sales Navigator"/>
    <s v="-"/>
    <x v="2"/>
    <x v="1"/>
    <n v="0"/>
  </r>
  <r>
    <n v="11714617"/>
    <d v="2025-03-22T09:59:17"/>
    <s v="NÃO"/>
    <x v="5"/>
    <x v="1"/>
    <s v="Sales Navigator"/>
    <s v="-"/>
    <x v="2"/>
    <x v="1"/>
    <n v="0"/>
  </r>
  <r>
    <n v="11714640"/>
    <d v="2025-03-22T10:00:57"/>
    <s v="NÃO"/>
    <x v="5"/>
    <x v="1"/>
    <s v="Sales Navigator"/>
    <s v="-"/>
    <x v="2"/>
    <x v="1"/>
    <n v="0"/>
  </r>
  <r>
    <n v="11714702"/>
    <d v="2025-03-22T10:05:25"/>
    <s v="NÃO"/>
    <x v="5"/>
    <x v="1"/>
    <s v="Sales Navigator"/>
    <s v="-"/>
    <x v="2"/>
    <x v="1"/>
    <n v="0"/>
  </r>
  <r>
    <n v="11717819"/>
    <d v="2025-03-22T12:51:23"/>
    <s v="NÃO"/>
    <x v="5"/>
    <x v="1"/>
    <s v="Sales Navigator"/>
    <s v="-"/>
    <x v="2"/>
    <x v="1"/>
    <n v="0"/>
  </r>
  <r>
    <n v="11717984"/>
    <d v="2025-03-22T12:56:43"/>
    <s v="NÃO"/>
    <x v="5"/>
    <x v="1"/>
    <s v="Sales Navigator"/>
    <s v="-"/>
    <x v="2"/>
    <x v="1"/>
    <n v="0"/>
  </r>
  <r>
    <n v="11718243"/>
    <d v="2025-03-22T13:24:35"/>
    <s v="NÃO"/>
    <x v="5"/>
    <x v="1"/>
    <s v="Sales Navigator"/>
    <s v="-"/>
    <x v="2"/>
    <x v="1"/>
    <n v="0"/>
  </r>
  <r>
    <n v="11718364"/>
    <d v="2025-03-22T13:31:39"/>
    <s v="NÃO"/>
    <x v="5"/>
    <x v="1"/>
    <s v="Sales Navigator"/>
    <s v="-"/>
    <x v="2"/>
    <x v="1"/>
    <n v="0"/>
  </r>
  <r>
    <n v="11718437"/>
    <d v="2025-03-22T13:33:21"/>
    <s v="NÃO"/>
    <x v="5"/>
    <x v="1"/>
    <s v="Sales Navigator"/>
    <s v="-"/>
    <x v="2"/>
    <x v="1"/>
    <n v="0"/>
  </r>
  <r>
    <n v="11718549"/>
    <d v="2025-03-22T13:38:49"/>
    <s v="NÃO"/>
    <x v="5"/>
    <x v="1"/>
    <s v="Sales Navigator"/>
    <s v="-"/>
    <x v="2"/>
    <x v="1"/>
    <n v="0"/>
  </r>
  <r>
    <n v="11740755"/>
    <d v="2025-03-24T10:05:02"/>
    <s v="NÃO"/>
    <x v="5"/>
    <x v="1"/>
    <s v="Sales Navigator"/>
    <s v="-"/>
    <x v="2"/>
    <x v="1"/>
    <n v="0"/>
  </r>
  <r>
    <n v="11740859"/>
    <d v="2025-03-24T10:08:10"/>
    <s v="NÃO"/>
    <x v="5"/>
    <x v="1"/>
    <s v="Sales Navigator"/>
    <s v="-"/>
    <x v="2"/>
    <x v="1"/>
    <n v="0"/>
  </r>
  <r>
    <n v="11698469"/>
    <d v="2025-03-19T12:22:07"/>
    <s v="NÃO"/>
    <x v="5"/>
    <x v="1"/>
    <s v="Sales Navigator"/>
    <s v="-"/>
    <x v="2"/>
    <x v="1"/>
    <n v="0"/>
  </r>
  <r>
    <n v="11698475"/>
    <d v="2025-03-19T12:24:18"/>
    <s v="NÃO"/>
    <x v="5"/>
    <x v="1"/>
    <s v="Sales Navigator"/>
    <s v="-"/>
    <x v="2"/>
    <x v="1"/>
    <n v="0"/>
  </r>
  <r>
    <n v="11773367"/>
    <d v="2025-03-26T10:29:25"/>
    <s v="NÃO"/>
    <x v="5"/>
    <x v="1"/>
    <s v="Sales Navigator"/>
    <s v="-"/>
    <x v="2"/>
    <x v="1"/>
    <n v="0"/>
  </r>
  <r>
    <n v="11773409"/>
    <d v="2025-03-26T10:33:12"/>
    <s v="NÃO"/>
    <x v="5"/>
    <x v="1"/>
    <s v="Sales Navigator"/>
    <s v="-"/>
    <x v="2"/>
    <x v="1"/>
    <n v="0"/>
  </r>
  <r>
    <n v="11757048"/>
    <d v="2025-03-25T12:52:36"/>
    <s v="NÃO"/>
    <x v="5"/>
    <x v="1"/>
    <s v="Sales Navigator"/>
    <s v="-"/>
    <x v="2"/>
    <x v="1"/>
    <n v="0"/>
  </r>
  <r>
    <n v="11774377"/>
    <d v="2025-03-26T11:32:44"/>
    <s v="NÃO"/>
    <x v="5"/>
    <x v="1"/>
    <s v="Sales Navigator"/>
    <s v="-"/>
    <x v="2"/>
    <x v="1"/>
    <n v="0"/>
  </r>
  <r>
    <n v="11798332"/>
    <d v="2025-03-29T09:47:04"/>
    <s v="NÃO"/>
    <x v="5"/>
    <x v="1"/>
    <s v="Sales Navigator"/>
    <s v="-"/>
    <x v="2"/>
    <x v="1"/>
    <n v="0"/>
  </r>
  <r>
    <n v="11799384"/>
    <d v="2025-03-29T09:52:03"/>
    <s v="NÃO"/>
    <x v="5"/>
    <x v="1"/>
    <s v="Sales Navigator"/>
    <s v="-"/>
    <x v="2"/>
    <x v="1"/>
    <n v="0"/>
  </r>
  <r>
    <n v="11800181"/>
    <d v="2025-03-29T09:54:52"/>
    <s v="NÃO"/>
    <x v="5"/>
    <x v="1"/>
    <s v="Sales Navigator"/>
    <s v="-"/>
    <x v="2"/>
    <x v="1"/>
    <n v="0"/>
  </r>
  <r>
    <n v="11800788"/>
    <d v="2025-03-29T10:00:58"/>
    <s v="NÃO"/>
    <x v="5"/>
    <x v="1"/>
    <s v="Sales Navigator"/>
    <s v="-"/>
    <x v="2"/>
    <x v="1"/>
    <n v="0"/>
  </r>
  <r>
    <n v="11806133"/>
    <d v="2025-03-29T12:36:04"/>
    <s v="NÃO"/>
    <x v="5"/>
    <x v="1"/>
    <s v="Sales Navigator"/>
    <s v="-"/>
    <x v="2"/>
    <x v="1"/>
    <n v="0"/>
  </r>
  <r>
    <n v="11611775"/>
    <d v="2025-03-11T12:05:08"/>
    <s v="NÃO"/>
    <x v="5"/>
    <x v="1"/>
    <s v="Sales Navigator"/>
    <s v="-"/>
    <x v="2"/>
    <x v="1"/>
    <n v="0"/>
  </r>
  <r>
    <n v="11832009"/>
    <d v="2025-03-31T12:11:52"/>
    <s v="NÃO"/>
    <x v="5"/>
    <x v="1"/>
    <s v="Sales Navigator"/>
    <s v="-"/>
    <x v="2"/>
    <x v="1"/>
    <n v="0"/>
  </r>
  <r>
    <n v="11832538"/>
    <d v="2025-03-31T12:38:35"/>
    <s v="NÃO"/>
    <x v="5"/>
    <x v="1"/>
    <s v="Sales Navigator"/>
    <s v="-"/>
    <x v="2"/>
    <x v="1"/>
    <n v="0"/>
  </r>
  <r>
    <n v="11842737"/>
    <d v="2025-04-01T10:50:45"/>
    <s v="NÃO"/>
    <x v="5"/>
    <x v="1"/>
    <s v="Sales Navigator"/>
    <s v="-"/>
    <x v="2"/>
    <x v="1"/>
    <n v="0"/>
  </r>
  <r>
    <n v="11843401"/>
    <d v="2025-04-01T11:29:19"/>
    <s v="NÃO"/>
    <x v="5"/>
    <x v="1"/>
    <s v="Sales Navigator"/>
    <s v="-"/>
    <x v="2"/>
    <x v="1"/>
    <n v="0"/>
  </r>
  <r>
    <n v="11888712"/>
    <d v="2025-04-06T16:28:27"/>
    <s v="NÃO"/>
    <x v="5"/>
    <x v="1"/>
    <s v="Sales Navigator"/>
    <s v="-"/>
    <x v="2"/>
    <x v="1"/>
    <n v="0"/>
  </r>
  <r>
    <n v="11889032"/>
    <d v="2025-04-06T16:31:47"/>
    <s v="NÃO"/>
    <x v="5"/>
    <x v="1"/>
    <s v="Sales Navigator"/>
    <s v="-"/>
    <x v="2"/>
    <x v="1"/>
    <n v="0"/>
  </r>
  <r>
    <n v="11890089"/>
    <d v="2025-04-06T16:51:34"/>
    <s v="NÃO"/>
    <x v="5"/>
    <x v="1"/>
    <s v="Sales Navigator"/>
    <s v="-"/>
    <x v="2"/>
    <x v="1"/>
    <n v="0"/>
  </r>
  <r>
    <n v="11930488"/>
    <d v="2025-04-09T13:03:37"/>
    <s v="NÃO"/>
    <x v="5"/>
    <x v="1"/>
    <s v="Sales Navigator"/>
    <s v="-"/>
    <x v="2"/>
    <x v="1"/>
    <n v="0"/>
  </r>
  <r>
    <n v="11899817"/>
    <d v="2025-04-07T13:42:45"/>
    <s v="NÃO"/>
    <x v="5"/>
    <x v="1"/>
    <s v="Sales Navigator"/>
    <s v="-"/>
    <x v="2"/>
    <x v="1"/>
    <n v="0"/>
  </r>
  <r>
    <n v="10706315"/>
    <d v="2024-12-14T00:37:12"/>
    <s v="NÃO"/>
    <x v="5"/>
    <x v="2"/>
    <s v="google - cpc"/>
    <s v="São Paulo - SP"/>
    <x v="0"/>
    <x v="0"/>
    <n v="0"/>
  </r>
  <r>
    <n v="11296113"/>
    <d v="2025-02-09T11:05:03"/>
    <s v="NÃO"/>
    <x v="5"/>
    <x v="2"/>
    <s v="google - cpc"/>
    <s v="Rio de Janeiro - RJ"/>
    <x v="0"/>
    <x v="4"/>
    <n v="0"/>
  </r>
  <r>
    <n v="11611811"/>
    <d v="2025-03-11T12:07:55"/>
    <s v="NÃO"/>
    <x v="5"/>
    <x v="1"/>
    <n v="0"/>
    <s v="-"/>
    <x v="2"/>
    <x v="1"/>
    <n v="0"/>
  </r>
  <r>
    <n v="11588015"/>
    <d v="2025-03-09T15:16:32"/>
    <s v="NÃO"/>
    <x v="5"/>
    <x v="1"/>
    <n v="0"/>
    <s v="-"/>
    <x v="2"/>
    <x v="1"/>
    <n v="0"/>
  </r>
  <r>
    <n v="11599660"/>
    <d v="2025-03-10T12:03:12"/>
    <s v="NÃO"/>
    <x v="5"/>
    <x v="1"/>
    <n v="0"/>
    <s v="-"/>
    <x v="2"/>
    <x v="1"/>
    <n v="0"/>
  </r>
  <r>
    <n v="11599672"/>
    <d v="2025-03-10T12:04:58"/>
    <s v="NÃO"/>
    <x v="5"/>
    <x v="1"/>
    <n v="0"/>
    <s v="-"/>
    <x v="2"/>
    <x v="1"/>
    <n v="0"/>
  </r>
  <r>
    <n v="11599681"/>
    <d v="2025-03-10T12:05:54"/>
    <s v="NÃO"/>
    <x v="5"/>
    <x v="1"/>
    <n v="0"/>
    <s v="-"/>
    <x v="2"/>
    <x v="1"/>
    <n v="0"/>
  </r>
  <r>
    <n v="11599755"/>
    <d v="2025-03-10T12:17:01"/>
    <s v="NÃO"/>
    <x v="5"/>
    <x v="1"/>
    <n v="0"/>
    <s v="-"/>
    <x v="2"/>
    <x v="1"/>
    <n v="0"/>
  </r>
  <r>
    <n v="11600028"/>
    <d v="2025-03-10T12:29:19"/>
    <s v="NÃO"/>
    <x v="5"/>
    <x v="1"/>
    <n v="0"/>
    <s v="-"/>
    <x v="2"/>
    <x v="1"/>
    <n v="0"/>
  </r>
  <r>
    <n v="11067193"/>
    <d v="2025-01-21T09:52:25"/>
    <s v="NÃO"/>
    <x v="6"/>
    <x v="1"/>
    <n v="0"/>
    <s v="-"/>
    <x v="2"/>
    <x v="1"/>
    <n v="0"/>
  </r>
  <r>
    <n v="11068581"/>
    <d v="2025-01-21T11:17:46"/>
    <s v="NÃO"/>
    <x v="6"/>
    <x v="1"/>
    <n v="0"/>
    <s v="-"/>
    <x v="2"/>
    <x v="1"/>
    <n v="0"/>
  </r>
  <r>
    <n v="11069471"/>
    <d v="2025-01-21T12:31:02"/>
    <s v="NÃO"/>
    <x v="6"/>
    <x v="1"/>
    <n v="0"/>
    <s v="-"/>
    <x v="2"/>
    <x v="1"/>
    <n v="0"/>
  </r>
  <r>
    <n v="11069911"/>
    <d v="2025-01-21T13:21:51"/>
    <s v="NÃO"/>
    <x v="6"/>
    <x v="1"/>
    <n v="0"/>
    <s v="-"/>
    <x v="2"/>
    <x v="1"/>
    <n v="0"/>
  </r>
  <r>
    <n v="11068167"/>
    <d v="2025-01-21T10:55:15"/>
    <s v="NÃO"/>
    <x v="6"/>
    <x v="1"/>
    <s v="Sales Navigator"/>
    <s v="-"/>
    <x v="2"/>
    <x v="1"/>
    <n v="0"/>
  </r>
  <r>
    <n v="11149370"/>
    <d v="2025-01-28T12:53:11"/>
    <s v="NÃO"/>
    <x v="6"/>
    <x v="3"/>
    <s v="linkedin - social"/>
    <s v="-"/>
    <x v="2"/>
    <x v="1"/>
    <n v="0"/>
  </r>
  <r>
    <n v="11322951"/>
    <d v="2025-02-11T11:28:43"/>
    <s v="NÃO"/>
    <x v="7"/>
    <x v="2"/>
    <s v="google - cpc"/>
    <s v="Piedade - SP"/>
    <x v="0"/>
    <x v="2"/>
    <n v="0"/>
  </r>
  <r>
    <n v="10781227"/>
    <d v="2024-12-20T03:02:16"/>
    <s v="NÃO"/>
    <x v="7"/>
    <x v="2"/>
    <s v="google - cpc"/>
    <s v="Porto Alegre - RS"/>
    <x v="0"/>
    <x v="0"/>
    <n v="0"/>
  </r>
  <r>
    <n v="11348488"/>
    <d v="2025-02-15T02:30:03"/>
    <s v="NÃO"/>
    <x v="7"/>
    <x v="4"/>
    <s v="facebook - cpc"/>
    <s v="Maceió - AL"/>
    <x v="5"/>
    <x v="6"/>
    <n v="0"/>
  </r>
  <r>
    <n v="11067294"/>
    <d v="2025-01-21T10:00:09"/>
    <s v="NÃO"/>
    <x v="7"/>
    <x v="0"/>
    <n v="0"/>
    <s v="Campinas - SP"/>
    <x v="3"/>
    <x v="0"/>
    <n v="0"/>
  </r>
  <r>
    <n v="10817381"/>
    <d v="2024-12-26T13:41:08"/>
    <s v="NÃO"/>
    <x v="7"/>
    <x v="0"/>
    <n v="0"/>
    <s v="Salvador - BA"/>
    <x v="0"/>
    <x v="3"/>
    <n v="0"/>
  </r>
  <r>
    <n v="10718989"/>
    <d v="2024-12-14T15:05:32"/>
    <s v="NÃO"/>
    <x v="7"/>
    <x v="0"/>
    <n v="0"/>
    <s v="Primavera do Leste - MT"/>
    <x v="1"/>
    <x v="3"/>
    <n v="0"/>
  </r>
  <r>
    <n v="10930967"/>
    <d v="2025-01-11T11:45:52"/>
    <s v="NÃO"/>
    <x v="4"/>
    <x v="0"/>
    <n v="0"/>
    <s v="Salvador - BA"/>
    <x v="0"/>
    <x v="3"/>
    <n v="0"/>
  </r>
  <r>
    <n v="11548332"/>
    <d v="2025-03-05T10:12:04"/>
    <s v="NÃO"/>
    <x v="4"/>
    <x v="4"/>
    <s v="facebook - cpc"/>
    <s v="Maringá - PR"/>
    <x v="0"/>
    <x v="2"/>
    <n v="0"/>
  </r>
  <r>
    <n v="11997721"/>
    <d v="2025-04-15T10:58:27"/>
    <s v="NÃO"/>
    <x v="4"/>
    <x v="1"/>
    <s v="Sales Navigator"/>
    <s v="-"/>
    <x v="2"/>
    <x v="1"/>
    <n v="0"/>
  </r>
  <r>
    <n v="11899953"/>
    <d v="2025-04-07T13:48:48"/>
    <s v="NÃO"/>
    <x v="4"/>
    <x v="1"/>
    <s v="Sales Navigator"/>
    <s v="-"/>
    <x v="2"/>
    <x v="1"/>
    <n v="0"/>
  </r>
  <r>
    <n v="11888689"/>
    <d v="2025-04-06T16:26:35"/>
    <s v="NÃO"/>
    <x v="4"/>
    <x v="1"/>
    <s v="Sales Navigator"/>
    <s v="-"/>
    <x v="2"/>
    <x v="1"/>
    <n v="0"/>
  </r>
  <r>
    <n v="11890450"/>
    <d v="2025-04-06T17:07:52"/>
    <s v="NÃO"/>
    <x v="4"/>
    <x v="1"/>
    <s v="Sales Navigator"/>
    <s v="-"/>
    <x v="2"/>
    <x v="1"/>
    <n v="0"/>
  </r>
  <r>
    <n v="11863838"/>
    <d v="2025-04-05T09:59:38"/>
    <s v="NÃO"/>
    <x v="4"/>
    <x v="1"/>
    <s v="Sales Navigator"/>
    <s v="-"/>
    <x v="2"/>
    <x v="1"/>
    <n v="0"/>
  </r>
  <r>
    <n v="11468363"/>
    <d v="2025-02-26T07:23:51"/>
    <s v="NÃO"/>
    <x v="4"/>
    <x v="2"/>
    <s v="google - cpc"/>
    <s v="Belém - PA"/>
    <x v="0"/>
    <x v="0"/>
    <n v="0"/>
  </r>
  <r>
    <n v="11684394"/>
    <d v="2025-03-18T09:59:46"/>
    <s v="NÃO"/>
    <x v="4"/>
    <x v="1"/>
    <s v="Sales Navigator"/>
    <s v="-"/>
    <x v="2"/>
    <x v="1"/>
    <n v="0"/>
  </r>
  <r>
    <n v="11684463"/>
    <d v="2025-03-18T10:04:46"/>
    <s v="NÃO"/>
    <x v="4"/>
    <x v="1"/>
    <s v="Sales Navigator"/>
    <s v="-"/>
    <x v="2"/>
    <x v="1"/>
    <n v="0"/>
  </r>
  <r>
    <n v="11699049"/>
    <d v="2025-03-19T12:44:31"/>
    <s v="NÃO"/>
    <x v="4"/>
    <x v="1"/>
    <s v="Sales Navigator"/>
    <s v="-"/>
    <x v="2"/>
    <x v="1"/>
    <n v="0"/>
  </r>
  <r>
    <n v="11698491"/>
    <d v="2025-03-19T12:29:45"/>
    <s v="NÃO"/>
    <x v="8"/>
    <x v="1"/>
    <s v="Sales Navigator"/>
    <s v="-"/>
    <x v="2"/>
    <x v="1"/>
    <n v="0"/>
  </r>
  <r>
    <n v="11351151"/>
    <d v="2025-02-15T10:44:17"/>
    <s v="NÃO"/>
    <x v="8"/>
    <x v="2"/>
    <s v="google - cpc"/>
    <s v="Maringá - PR"/>
    <x v="0"/>
    <x v="6"/>
    <n v="0"/>
  </r>
  <r>
    <n v="11889547"/>
    <d v="2025-04-06T16:43:34"/>
    <s v="NÃO"/>
    <x v="8"/>
    <x v="1"/>
    <s v="Sales Navigator"/>
    <s v="-"/>
    <x v="2"/>
    <x v="1"/>
    <n v="0"/>
  </r>
  <r>
    <n v="11376296"/>
    <d v="2025-02-17T12:50:23"/>
    <s v="NÃO"/>
    <x v="8"/>
    <x v="4"/>
    <s v="facebook - cpc"/>
    <s v="Goiânia - GO"/>
    <x v="0"/>
    <x v="2"/>
    <n v="0"/>
  </r>
  <r>
    <n v="11405795"/>
    <d v="2025-02-19T22:02:29"/>
    <s v="NÃO"/>
    <x v="8"/>
    <x v="0"/>
    <n v="0"/>
    <s v="Manaus - AM"/>
    <x v="3"/>
    <x v="0"/>
    <n v="0"/>
  </r>
  <r>
    <n v="10729437"/>
    <d v="2024-12-15T12:01:43"/>
    <s v="NÃO"/>
    <x v="2"/>
    <x v="2"/>
    <s v="google - cpc"/>
    <s v="Florianópolis - SC"/>
    <x v="0"/>
    <x v="6"/>
    <n v="0"/>
  </r>
  <r>
    <n v="11890569"/>
    <d v="2025-04-06T17:15:00"/>
    <s v="NÃO"/>
    <x v="2"/>
    <x v="1"/>
    <s v="Sales Navigator"/>
    <s v="-"/>
    <x v="2"/>
    <x v="1"/>
    <n v="0"/>
  </r>
  <r>
    <n v="11930626"/>
    <d v="2025-04-09T13:22:02"/>
    <s v="NÃO"/>
    <x v="2"/>
    <x v="1"/>
    <s v="Sales Navigator"/>
    <s v="-"/>
    <x v="2"/>
    <x v="1"/>
    <n v="0"/>
  </r>
  <r>
    <n v="11803035"/>
    <d v="2025-03-29T11:29:22"/>
    <s v="NÃO"/>
    <x v="2"/>
    <x v="1"/>
    <s v="Sales Navigator"/>
    <s v="-"/>
    <x v="2"/>
    <x v="1"/>
    <n v="0"/>
  </r>
  <r>
    <n v="11773470"/>
    <d v="2025-03-26T10:38:17"/>
    <s v="NÃO"/>
    <x v="6"/>
    <x v="1"/>
    <s v="Sales Navigator"/>
    <s v="-"/>
    <x v="2"/>
    <x v="1"/>
    <n v="0"/>
  </r>
  <r>
    <n v="11611673"/>
    <d v="2025-03-11T11:54:19"/>
    <s v="NÃO"/>
    <x v="6"/>
    <x v="1"/>
    <s v="Sales Navigator"/>
    <s v="-"/>
    <x v="2"/>
    <x v="1"/>
    <n v="0"/>
  </r>
  <r>
    <n v="11997468"/>
    <d v="2025-04-15T10:38:13"/>
    <s v="NÃO"/>
    <x v="6"/>
    <x v="1"/>
    <s v="Sales Navigator"/>
    <s v="-"/>
    <x v="2"/>
    <x v="1"/>
    <n v="0"/>
  </r>
  <r>
    <n v="11997542"/>
    <d v="2025-04-15T10:45:00"/>
    <s v="NÃO"/>
    <x v="6"/>
    <x v="1"/>
    <s v="Sales Navigator"/>
    <s v="-"/>
    <x v="2"/>
    <x v="1"/>
    <n v="0"/>
  </r>
  <r>
    <n v="11899917"/>
    <d v="2025-04-07T13:45:23"/>
    <s v="NÃO"/>
    <x v="6"/>
    <x v="1"/>
    <s v="Sales Navigator"/>
    <s v="-"/>
    <x v="2"/>
    <x v="1"/>
    <n v="0"/>
  </r>
  <r>
    <n v="12011164"/>
    <d v="2025-04-16T10:47:00"/>
    <s v="NÃO"/>
    <x v="6"/>
    <x v="1"/>
    <s v="Sales Navigator"/>
    <s v="-"/>
    <x v="2"/>
    <x v="1"/>
    <n v="0"/>
  </r>
  <r>
    <n v="12011236"/>
    <d v="2025-04-16T10:50:34"/>
    <s v="NÃO"/>
    <x v="6"/>
    <x v="1"/>
    <s v="Sales Navigator"/>
    <s v="-"/>
    <x v="2"/>
    <x v="1"/>
    <n v="0"/>
  </r>
  <r>
    <n v="11890484"/>
    <d v="2025-04-06T17:10:26"/>
    <s v="NÃO"/>
    <x v="6"/>
    <x v="1"/>
    <s v="Sales Navigator"/>
    <s v="-"/>
    <x v="2"/>
    <x v="1"/>
    <n v="0"/>
  </r>
  <r>
    <n v="10715251"/>
    <d v="2024-12-14T13:37:19"/>
    <s v="NÃO"/>
    <x v="6"/>
    <x v="2"/>
    <s v="google - cpc"/>
    <s v="Bento Gonçalves - RS"/>
    <x v="1"/>
    <x v="0"/>
    <n v="0"/>
  </r>
  <r>
    <n v="11588046"/>
    <d v="2025-03-09T15:17:25"/>
    <s v="NÃO"/>
    <x v="6"/>
    <x v="1"/>
    <n v="0"/>
    <s v="-"/>
    <x v="2"/>
    <x v="1"/>
    <n v="0"/>
  </r>
  <r>
    <n v="11587818"/>
    <d v="2025-03-09T15:09:53"/>
    <s v="NÃO"/>
    <x v="6"/>
    <x v="1"/>
    <n v="0"/>
    <s v="-"/>
    <x v="2"/>
    <x v="1"/>
    <n v="0"/>
  </r>
  <r>
    <n v="11587864"/>
    <d v="2025-03-09T15:11:05"/>
    <s v="NÃO"/>
    <x v="6"/>
    <x v="1"/>
    <n v="0"/>
    <s v="-"/>
    <x v="2"/>
    <x v="1"/>
    <n v="0"/>
  </r>
  <r>
    <n v="11587883"/>
    <d v="2025-03-09T15:12:31"/>
    <s v="NÃO"/>
    <x v="6"/>
    <x v="1"/>
    <n v="0"/>
    <s v="-"/>
    <x v="2"/>
    <x v="1"/>
    <n v="0"/>
  </r>
  <r>
    <n v="11588003"/>
    <d v="2025-03-09T15:15:01"/>
    <s v="NÃO"/>
    <x v="6"/>
    <x v="1"/>
    <n v="0"/>
    <s v="-"/>
    <x v="2"/>
    <x v="1"/>
    <n v="0"/>
  </r>
  <r>
    <n v="11588013"/>
    <d v="2025-03-09T15:15:49"/>
    <s v="NÃO"/>
    <x v="6"/>
    <x v="1"/>
    <n v="0"/>
    <s v="-"/>
    <x v="2"/>
    <x v="1"/>
    <n v="0"/>
  </r>
  <r>
    <n v="11364047"/>
    <d v="2025-02-16T14:00:47"/>
    <s v="NÃO"/>
    <x v="0"/>
    <x v="4"/>
    <s v="facebook - cpc"/>
    <s v="Recife - PE"/>
    <x v="0"/>
    <x v="2"/>
    <n v="0"/>
  </r>
  <r>
    <n v="11611596"/>
    <d v="2025-03-11T11:48:18"/>
    <s v="NÃO"/>
    <x v="6"/>
    <x v="1"/>
    <n v="0"/>
    <s v="-"/>
    <x v="2"/>
    <x v="1"/>
    <n v="0"/>
  </r>
  <r>
    <n v="11311587"/>
    <d v="2025-02-10T13:17:48"/>
    <s v="NÃO"/>
    <x v="4"/>
    <x v="2"/>
    <s v="google - cpc"/>
    <s v="Arapiraca - AL"/>
    <x v="0"/>
    <x v="2"/>
    <n v="0"/>
  </r>
  <r>
    <n v="11359265"/>
    <d v="2025-02-16T07:26:37"/>
    <s v="NÃO"/>
    <x v="4"/>
    <x v="4"/>
    <s v="facebook - cpc"/>
    <s v="Salvador - BA"/>
    <x v="0"/>
    <x v="6"/>
    <n v="0"/>
  </r>
  <r>
    <n v="11269104"/>
    <d v="2025-02-06T12:35:30"/>
    <s v="NÃO"/>
    <x v="3"/>
    <x v="2"/>
    <s v="google - cpc"/>
    <s v="Fortaleza - CE"/>
    <x v="1"/>
    <x v="2"/>
    <n v="0"/>
  </r>
  <r>
    <n v="11343103"/>
    <d v="2025-02-12T20:33:42"/>
    <s v="NÃO"/>
    <x v="4"/>
    <x v="4"/>
    <s v="facebook - cpc"/>
    <s v="Brasília - DF"/>
    <x v="3"/>
    <x v="6"/>
    <n v="0"/>
  </r>
  <r>
    <n v="11212833"/>
    <d v="2025-02-01T17:27:11"/>
    <s v="NÃO"/>
    <x v="8"/>
    <x v="0"/>
    <n v="0"/>
    <s v="Brasília - DF"/>
    <x v="1"/>
    <x v="3"/>
    <n v="0"/>
  </r>
  <r>
    <n v="11259578"/>
    <d v="2025-02-05T12:06:20"/>
    <s v="NÃO"/>
    <x v="4"/>
    <x v="2"/>
    <s v="google - cpc"/>
    <s v="Colatina - ES"/>
    <x v="4"/>
    <x v="2"/>
    <n v="0"/>
  </r>
  <r>
    <n v="11329820"/>
    <d v="2025-02-11T17:05:40"/>
    <s v="NÃO"/>
    <x v="4"/>
    <x v="0"/>
    <n v="0"/>
    <s v="Vitória - ES"/>
    <x v="1"/>
    <x v="0"/>
    <n v="0"/>
  </r>
  <r>
    <n v="11405869"/>
    <d v="2025-02-19T22:42:46"/>
    <s v="NÃO"/>
    <x v="4"/>
    <x v="4"/>
    <s v="facebook - cpc"/>
    <s v="Ribeirão das Neves - MG"/>
    <x v="3"/>
    <x v="2"/>
    <n v="0"/>
  </r>
  <r>
    <n v="10691773"/>
    <d v="2024-12-11T03:04:31"/>
    <s v="NÃO"/>
    <x v="0"/>
    <x v="2"/>
    <s v="google - cpc"/>
    <s v="Belo Horizonte - MG"/>
    <x v="1"/>
    <x v="3"/>
    <n v="0"/>
  </r>
  <r>
    <n v="11405760"/>
    <d v="2025-02-19T21:40:23"/>
    <s v="NÃO"/>
    <x v="8"/>
    <x v="5"/>
    <s v="youtube - cpc"/>
    <s v="Montes Claros - MG"/>
    <x v="0"/>
    <x v="2"/>
    <n v="0"/>
  </r>
  <r>
    <n v="11348251"/>
    <d v="2025-02-14T23:08:55"/>
    <s v="NÃO"/>
    <x v="0"/>
    <x v="0"/>
    <n v="0"/>
    <s v="São Luís - MA"/>
    <x v="0"/>
    <x v="2"/>
    <n v="0"/>
  </r>
  <r>
    <n v="11371519"/>
    <d v="2025-02-17T07:06:17"/>
    <s v="NÃO"/>
    <x v="0"/>
    <x v="4"/>
    <s v="facebook - cpc"/>
    <s v="Poços de Caldas - MG"/>
    <x v="0"/>
    <x v="2"/>
    <n v="0"/>
  </r>
  <r>
    <n v="11311851"/>
    <d v="2025-02-10T13:39:04"/>
    <s v="NÃO"/>
    <x v="3"/>
    <x v="6"/>
    <s v="bing - cpc"/>
    <s v="Ipatinga - MG"/>
    <x v="1"/>
    <x v="3"/>
    <n v="0"/>
  </r>
  <r>
    <n v="11346192"/>
    <d v="2025-02-14T00:31:06"/>
    <s v="NÃO"/>
    <x v="4"/>
    <x v="4"/>
    <s v="facebook - cpc"/>
    <s v="Belém - PA"/>
    <x v="0"/>
    <x v="6"/>
    <n v="0"/>
  </r>
  <r>
    <n v="11368730"/>
    <d v="2025-02-16T16:17:35"/>
    <s v="NÃO"/>
    <x v="0"/>
    <x v="7"/>
    <s v="instagram - social"/>
    <s v="Teresina - PI"/>
    <x v="0"/>
    <x v="5"/>
    <n v="0"/>
  </r>
  <r>
    <n v="10782702"/>
    <d v="2024-12-20T23:29:29"/>
    <s v="NÃO"/>
    <x v="7"/>
    <x v="2"/>
    <s v="google - cpc"/>
    <s v="Goioere - PR"/>
    <x v="3"/>
    <x v="0"/>
    <n v="0"/>
  </r>
  <r>
    <n v="11394466"/>
    <d v="2025-02-18T18:16:24"/>
    <s v="NÃO"/>
    <x v="7"/>
    <x v="2"/>
    <s v="google - cpc"/>
    <s v="Curitiba - PR"/>
    <x v="3"/>
    <x v="0"/>
    <n v="0"/>
  </r>
  <r>
    <n v="11400710"/>
    <d v="2025-02-19T12:49:56"/>
    <s v="NÃO"/>
    <x v="4"/>
    <x v="4"/>
    <s v="facebook - cpc"/>
    <s v="Rio de Janeiro - RJ"/>
    <x v="0"/>
    <x v="6"/>
    <n v="0"/>
  </r>
  <r>
    <n v="11104749"/>
    <d v="2025-01-25T12:07:37"/>
    <s v="NÃO"/>
    <x v="6"/>
    <x v="0"/>
    <n v="0"/>
    <s v="Rio de Janeiro, RJ"/>
    <x v="1"/>
    <x v="0"/>
    <n v="0"/>
  </r>
  <r>
    <n v="11356166"/>
    <d v="2025-02-15T16:07:49"/>
    <s v="NÃO"/>
    <x v="7"/>
    <x v="7"/>
    <s v="instagram - social"/>
    <s v="Porto Alegre - RS"/>
    <x v="0"/>
    <x v="0"/>
    <n v="0"/>
  </r>
  <r>
    <n v="11374891"/>
    <d v="2025-02-17T11:03:03"/>
    <s v="NÃO"/>
    <x v="2"/>
    <x v="0"/>
    <n v="0"/>
    <s v="Porto Alegre - RS"/>
    <x v="0"/>
    <x v="0"/>
    <n v="0"/>
  </r>
  <r>
    <n v="11328772"/>
    <d v="2025-02-11T16:06:47"/>
    <s v="NÃO"/>
    <x v="6"/>
    <x v="0"/>
    <n v="0"/>
    <s v="Atalanta - SC"/>
    <x v="1"/>
    <x v="0"/>
    <n v="0"/>
  </r>
  <r>
    <n v="11305170"/>
    <d v="2025-02-09T22:20:03"/>
    <s v="NÃO"/>
    <x v="7"/>
    <x v="2"/>
    <s v="google - cpc"/>
    <s v="Joinville - SC"/>
    <x v="3"/>
    <x v="3"/>
    <n v="0"/>
  </r>
  <r>
    <n v="11220990"/>
    <d v="2025-02-02T11:49:25"/>
    <s v="NÃO"/>
    <x v="6"/>
    <x v="0"/>
    <n v="0"/>
    <s v="Tijucas - SC"/>
    <x v="5"/>
    <x v="0"/>
    <n v="0"/>
  </r>
  <r>
    <n v="10586869"/>
    <d v="2024-12-02T10:32:50"/>
    <s v="NÃO"/>
    <x v="1"/>
    <x v="6"/>
    <s v="bing - cpc"/>
    <s v="Florianópolis - SC"/>
    <x v="1"/>
    <x v="5"/>
    <n v="0"/>
  </r>
  <r>
    <n v="11348239"/>
    <d v="2025-02-14T23:01:42"/>
    <s v="NÃO"/>
    <x v="2"/>
    <x v="4"/>
    <s v="facebook - cpc"/>
    <s v="Bauru - SP"/>
    <x v="3"/>
    <x v="6"/>
    <n v="0"/>
  </r>
  <r>
    <n v="11367824"/>
    <d v="2025-02-16T15:25:17"/>
    <s v="NÃO"/>
    <x v="8"/>
    <x v="4"/>
    <s v="facebook - cpc"/>
    <s v="São Paulo - SP"/>
    <x v="0"/>
    <x v="6"/>
    <n v="0"/>
  </r>
  <r>
    <n v="11238880"/>
    <d v="2025-02-03T15:26:35"/>
    <s v="NÃO"/>
    <x v="6"/>
    <x v="0"/>
    <n v="0"/>
    <s v="Guarulhos - SP"/>
    <x v="1"/>
    <x v="2"/>
    <n v="0"/>
  </r>
  <r>
    <n v="11310421"/>
    <d v="2025-02-10T11:27:06"/>
    <s v="NÃO"/>
    <x v="4"/>
    <x v="2"/>
    <s v="google - cpc"/>
    <s v="Campinas - SP"/>
    <x v="1"/>
    <x v="3"/>
    <n v="0"/>
  </r>
  <r>
    <n v="11280178"/>
    <d v="2025-02-08T12:20:56"/>
    <s v="NÃO"/>
    <x v="4"/>
    <x v="2"/>
    <s v="google - cpc"/>
    <s v="São Paulo - SP"/>
    <x v="1"/>
    <x v="6"/>
    <n v="0"/>
  </r>
  <r>
    <n v="11234339"/>
    <d v="2025-02-03T10:46:07"/>
    <s v="NÃO"/>
    <x v="3"/>
    <x v="2"/>
    <s v="google - cpc"/>
    <s v="Santo André - SP"/>
    <x v="4"/>
    <x v="6"/>
    <n v="0"/>
  </r>
  <r>
    <n v="11370493"/>
    <d v="2025-02-16T19:15:14"/>
    <s v="NÃO"/>
    <x v="4"/>
    <x v="6"/>
    <s v="bing - cpc"/>
    <s v="São Paulo - SP"/>
    <x v="0"/>
    <x v="6"/>
    <n v="0"/>
  </r>
  <r>
    <n v="11390437"/>
    <d v="2025-02-18T14:54:24"/>
    <s v="NÃO"/>
    <x v="8"/>
    <x v="4"/>
    <s v="facebook - cpc"/>
    <s v="São Paulo - SP"/>
    <x v="3"/>
    <x v="6"/>
    <n v="0"/>
  </r>
  <r>
    <n v="11375164"/>
    <d v="2025-02-17T11:26:22"/>
    <s v="NÃO"/>
    <x v="2"/>
    <x v="2"/>
    <s v="google - cpc"/>
    <s v="Sorocaba - SP"/>
    <x v="4"/>
    <x v="3"/>
    <n v="0"/>
  </r>
  <r>
    <n v="11409688"/>
    <d v="2025-02-21T16:46:30"/>
    <s v="NÃO"/>
    <x v="7"/>
    <x v="0"/>
    <n v="0"/>
    <s v="Sao Bento do Sapucai - SP"/>
    <x v="3"/>
    <x v="3"/>
    <n v="0"/>
  </r>
  <r>
    <n v="10857822"/>
    <d v="2025-01-04T10:44:21"/>
    <s v="NÃO"/>
    <x v="4"/>
    <x v="0"/>
    <n v="0"/>
    <s v="Sorocaba - SP"/>
    <x v="0"/>
    <x v="1"/>
    <n v="0"/>
  </r>
  <r>
    <n v="11835112"/>
    <d v="2025-03-31T15:38:29"/>
    <s v="NÃO"/>
    <x v="7"/>
    <x v="2"/>
    <s v="google - cpc"/>
    <s v="São Paulo - SP"/>
    <x v="3"/>
    <x v="2"/>
    <n v="0"/>
  </r>
  <r>
    <n v="10803683"/>
    <d v="2024-12-22T18:11:46"/>
    <s v="NÃO"/>
    <x v="7"/>
    <x v="2"/>
    <s v="google - cpc"/>
    <s v="São Paulo - SP"/>
    <x v="3"/>
    <x v="0"/>
    <n v="0"/>
  </r>
  <r>
    <n v="11886254"/>
    <d v="2025-04-06T15:26:46"/>
    <s v="NÃO"/>
    <x v="4"/>
    <x v="2"/>
    <s v="google - cpc"/>
    <s v="Caragua - SP"/>
    <x v="0"/>
    <x v="3"/>
    <n v="0"/>
  </r>
  <r>
    <n v="10746597"/>
    <d v="2024-12-16T14:46:08"/>
    <s v="NÃO"/>
    <x v="7"/>
    <x v="8"/>
    <s v="rep - ximena-cubillos"/>
    <s v="Taubate - SP"/>
    <x v="3"/>
    <x v="6"/>
    <n v="0"/>
  </r>
  <r>
    <n v="11003387"/>
    <d v="2025-01-15T16:21:06"/>
    <s v="NÃO"/>
    <x v="4"/>
    <x v="0"/>
    <n v="0"/>
    <s v="Porto Nacional - TO"/>
    <x v="0"/>
    <x v="6"/>
    <n v="0"/>
  </r>
  <r>
    <n v="12021752"/>
    <d v="2025-04-17T12:27:00"/>
    <s v="NÃO"/>
    <x v="0"/>
    <x v="2"/>
    <s v="google - cpc"/>
    <s v="Marília - SP"/>
    <x v="0"/>
    <x v="0"/>
    <n v="0"/>
  </r>
  <r>
    <n v="11014776"/>
    <d v="2025-01-18T09:07:51"/>
    <s v="NÃO"/>
    <x v="4"/>
    <x v="0"/>
    <n v="0"/>
    <s v="Aracaju - SE"/>
    <x v="3"/>
    <x v="4"/>
    <n v="0"/>
  </r>
  <r>
    <n v="10825345"/>
    <d v="2024-12-28T16:43:30"/>
    <s v="NÃO"/>
    <x v="3"/>
    <x v="0"/>
    <n v="0"/>
    <s v="-"/>
    <x v="1"/>
    <x v="1"/>
    <n v="0"/>
  </r>
  <r>
    <n v="11512393"/>
    <d v="2025-03-02T22:39:15"/>
    <s v="NÃO"/>
    <x v="4"/>
    <x v="0"/>
    <n v="0"/>
    <s v="Porto Alegre - RS"/>
    <x v="0"/>
    <x v="6"/>
    <n v="0"/>
  </r>
  <r>
    <n v="11322644"/>
    <d v="2025-02-11T11:06:16"/>
    <s v="NÃO"/>
    <x v="5"/>
    <x v="0"/>
    <n v="0"/>
    <s v="Parobe - RS"/>
    <x v="0"/>
    <x v="0"/>
    <n v="0"/>
  </r>
  <r>
    <n v="11490805"/>
    <d v="2025-03-01T11:57:24"/>
    <s v="NÃO"/>
    <x v="3"/>
    <x v="0"/>
    <n v="0"/>
    <s v="Rio de Janeiro - RJ"/>
    <x v="4"/>
    <x v="6"/>
    <n v="0"/>
  </r>
  <r>
    <n v="11557554"/>
    <d v="2025-03-05T21:25:31"/>
    <s v="NÃO"/>
    <x v="2"/>
    <x v="4"/>
    <s v="facebook - cpc"/>
    <s v="Mage - RJ"/>
    <x v="0"/>
    <x v="6"/>
    <n v="0"/>
  </r>
  <r>
    <n v="10691175"/>
    <d v="2024-12-10T21:03:21"/>
    <s v="NÃO"/>
    <x v="0"/>
    <x v="2"/>
    <s v="google - cpc"/>
    <s v="Curitiba - PR"/>
    <x v="4"/>
    <x v="4"/>
    <n v="0"/>
  </r>
  <r>
    <n v="11486805"/>
    <d v="2025-03-01T09:04:31"/>
    <s v="NÃO"/>
    <x v="7"/>
    <x v="0"/>
    <n v="0"/>
    <s v="São Paulo - SP"/>
    <x v="3"/>
    <x v="0"/>
    <n v="0"/>
  </r>
  <r>
    <n v="11939640"/>
    <d v="2025-04-10T19:04:45"/>
    <s v="NÃO"/>
    <x v="4"/>
    <x v="2"/>
    <s v="google - cpc"/>
    <s v="Alhandra - PB"/>
    <x v="0"/>
    <x v="3"/>
    <n v="0"/>
  </r>
  <r>
    <n v="11538815"/>
    <d v="2025-03-04T15:41:57"/>
    <s v="NÃO"/>
    <x v="4"/>
    <x v="0"/>
    <n v="0"/>
    <s v="Campo Grande - MS"/>
    <x v="1"/>
    <x v="0"/>
    <n v="0"/>
  </r>
  <r>
    <n v="10813486"/>
    <d v="2024-12-24T12:40:49"/>
    <s v="NÃO"/>
    <x v="0"/>
    <x v="2"/>
    <s v="google - cpc"/>
    <s v="São Lourenço - MG"/>
    <x v="0"/>
    <x v="2"/>
    <n v="0"/>
  </r>
  <r>
    <n v="11381487"/>
    <d v="2025-02-17T18:17:51"/>
    <s v="NÃO"/>
    <x v="0"/>
    <x v="0"/>
    <n v="0"/>
    <s v="Belo Horizonte, MG"/>
    <x v="4"/>
    <x v="3"/>
    <n v="0"/>
  </r>
  <r>
    <n v="11561964"/>
    <d v="2025-03-07T20:41:40"/>
    <s v="NÃO"/>
    <x v="4"/>
    <x v="4"/>
    <s v="facebook - cpc"/>
    <s v="São Luís - MA"/>
    <x v="0"/>
    <x v="6"/>
    <n v="0"/>
  </r>
  <r>
    <n v="11559160"/>
    <d v="2025-03-06T15:17:07"/>
    <s v="NÃO"/>
    <x v="4"/>
    <x v="4"/>
    <s v="facebook - cpc"/>
    <s v="São Luís - MA"/>
    <x v="0"/>
    <x v="2"/>
    <n v="0"/>
  </r>
  <r>
    <n v="10710980"/>
    <d v="2024-12-14T10:52:59"/>
    <s v="NÃO"/>
    <x v="2"/>
    <x v="0"/>
    <n v="0"/>
    <s v="Goiânia - GO"/>
    <x v="0"/>
    <x v="5"/>
    <n v="0"/>
  </r>
  <r>
    <n v="10721997"/>
    <d v="2024-12-14T17:04:21"/>
    <s v="NÃO"/>
    <x v="2"/>
    <x v="2"/>
    <s v="google - cpc"/>
    <s v="Uberlândia - MG"/>
    <x v="0"/>
    <x v="6"/>
    <n v="0"/>
  </r>
  <r>
    <n v="10678108"/>
    <d v="2024-12-10T08:41:39"/>
    <s v="NÃO"/>
    <x v="7"/>
    <x v="2"/>
    <s v="google - cpc"/>
    <s v="Brasília - DF"/>
    <x v="0"/>
    <x v="3"/>
    <n v="0"/>
  </r>
  <r>
    <n v="11761727"/>
    <d v="2025-03-25T15:54:06"/>
    <s v="NÃO"/>
    <x v="4"/>
    <x v="6"/>
    <s v="bing - cpc"/>
    <s v="Maceió - AL"/>
    <x v="1"/>
    <x v="0"/>
    <n v="0"/>
  </r>
  <r>
    <n v="10970965"/>
    <d v="2025-01-13T20:53:40"/>
    <s v="NÃO"/>
    <x v="3"/>
    <x v="2"/>
    <s v="google - cpc"/>
    <s v="Feira de Santana - BA"/>
    <x v="4"/>
    <x v="6"/>
    <n v="0"/>
  </r>
  <r>
    <n v="10991466"/>
    <d v="2025-01-14T18:34:56"/>
    <s v="NÃO"/>
    <x v="8"/>
    <x v="2"/>
    <s v="google - cpc"/>
    <s v="Belo Horizonte - MG"/>
    <x v="3"/>
    <x v="3"/>
    <n v="0"/>
  </r>
  <r>
    <n v="10791168"/>
    <d v="2024-12-21T15:52:16"/>
    <s v="NÃO"/>
    <x v="2"/>
    <x v="0"/>
    <n v="0"/>
    <s v="Curitiba - PR"/>
    <x v="3"/>
    <x v="5"/>
    <n v="0"/>
  </r>
  <r>
    <n v="11900959"/>
    <d v="2025-04-07T14:39:02"/>
    <s v="NÃO"/>
    <x v="4"/>
    <x v="2"/>
    <s v="google - cpc"/>
    <s v="São José dos Campos - SP"/>
    <x v="5"/>
    <x v="4"/>
    <n v="0"/>
  </r>
  <r>
    <n v="10811525"/>
    <d v="2024-12-23T17:45:18"/>
    <s v="NÃO"/>
    <x v="7"/>
    <x v="0"/>
    <n v="0"/>
    <s v="Niterói - RJ"/>
    <x v="3"/>
    <x v="5"/>
    <n v="0"/>
  </r>
  <r>
    <n v="10750040"/>
    <d v="2024-12-16T19:27:17"/>
    <s v="NÃO"/>
    <x v="7"/>
    <x v="0"/>
    <n v="0"/>
    <s v="São Paulo - SP"/>
    <x v="0"/>
    <x v="6"/>
    <n v="0"/>
  </r>
  <r>
    <n v="11735716"/>
    <d v="2025-03-23T16:48:58"/>
    <s v="NÃO"/>
    <x v="7"/>
    <x v="0"/>
    <n v="0"/>
    <s v="Belém - PA"/>
    <x v="3"/>
    <x v="3"/>
    <n v="0"/>
  </r>
  <r>
    <n v="11906760"/>
    <d v="2025-04-07T21:16:41"/>
    <s v="NÃO"/>
    <x v="7"/>
    <x v="2"/>
    <s v="google - cpc"/>
    <s v="Nipoa - SP"/>
    <x v="3"/>
    <x v="0"/>
    <n v="0"/>
  </r>
  <r>
    <n v="10817431"/>
    <d v="2024-12-26T14:14:21"/>
    <s v="NÃO"/>
    <x v="7"/>
    <x v="2"/>
    <s v="google - cpc"/>
    <s v="São Paulo - SP"/>
    <x v="0"/>
    <x v="0"/>
    <n v="0"/>
  </r>
  <r>
    <n v="11666943"/>
    <d v="2025-03-17T09:22:42"/>
    <s v="NÃO"/>
    <x v="7"/>
    <x v="9"/>
    <s v="leads - email"/>
    <s v="Curitiba - PR"/>
    <x v="3"/>
    <x v="3"/>
    <n v="0"/>
  </r>
  <r>
    <n v="11718022"/>
    <d v="2025-03-22T13:04:45"/>
    <s v="NÃO"/>
    <x v="5"/>
    <x v="1"/>
    <s v="Sales Navigator"/>
    <s v="-"/>
    <x v="2"/>
    <x v="1"/>
    <n v="0"/>
  </r>
  <r>
    <n v="10717713"/>
    <d v="2024-12-14T14:35:21"/>
    <s v="NÃO"/>
    <x v="4"/>
    <x v="2"/>
    <s v="google - cpc"/>
    <s v="João Pessoa - PB"/>
    <x v="0"/>
    <x v="0"/>
    <n v="0"/>
  </r>
  <r>
    <n v="10728544"/>
    <d v="2024-12-15T11:26:02"/>
    <s v="NÃO"/>
    <x v="4"/>
    <x v="2"/>
    <s v="google - cpc"/>
    <s v="São Paulo - SP"/>
    <x v="3"/>
    <x v="3"/>
    <n v="0"/>
  </r>
  <r>
    <n v="10749046"/>
    <d v="2024-12-16T17:31:15"/>
    <s v="NÃO"/>
    <x v="4"/>
    <x v="2"/>
    <s v="google - cpc"/>
    <s v="Marau - BA"/>
    <x v="1"/>
    <x v="0"/>
    <n v="0"/>
  </r>
  <r>
    <n v="11480163"/>
    <d v="2025-02-27T06:38:55"/>
    <s v="NÃO"/>
    <x v="0"/>
    <x v="2"/>
    <s v="google - cpc"/>
    <s v="Sinop - MT"/>
    <x v="0"/>
    <x v="0"/>
    <n v="0"/>
  </r>
  <r>
    <n v="11375179"/>
    <d v="2025-02-17T11:27:41"/>
    <s v="NÃO"/>
    <x v="0"/>
    <x v="0"/>
    <n v="0"/>
    <s v="Campinas, SP"/>
    <x v="0"/>
    <x v="0"/>
    <n v="0"/>
  </r>
  <r>
    <n v="10898295"/>
    <d v="2025-01-07T10:31:56"/>
    <s v="NÃO"/>
    <x v="0"/>
    <x v="0"/>
    <n v="0"/>
    <s v="-"/>
    <x v="0"/>
    <x v="0"/>
    <n v="0"/>
  </r>
  <r>
    <n v="10604691"/>
    <d v="2024-12-03T15:06:59"/>
    <s v="NÃO"/>
    <x v="1"/>
    <x v="0"/>
    <n v="0"/>
    <s v="Quadra - SP"/>
    <x v="1"/>
    <x v="0"/>
    <n v="0"/>
  </r>
  <r>
    <n v="11077871"/>
    <d v="2025-01-21T18:14:50"/>
    <s v="NÃO"/>
    <x v="3"/>
    <x v="0"/>
    <n v="0"/>
    <s v="Serra - ES"/>
    <x v="0"/>
    <x v="2"/>
    <n v="0"/>
  </r>
  <r>
    <n v="11882520"/>
    <d v="2025-04-06T13:45:02"/>
    <s v="NÃO"/>
    <x v="3"/>
    <x v="2"/>
    <n v="0"/>
    <s v="Minas Gerais"/>
    <x v="1"/>
    <x v="5"/>
    <n v="0"/>
  </r>
  <r>
    <n v="11447298"/>
    <d v="2025-02-24T13:37:15"/>
    <s v="NÃO"/>
    <x v="4"/>
    <x v="0"/>
    <n v="0"/>
    <s v="São Paulo - SP"/>
    <x v="1"/>
    <x v="0"/>
    <n v="0"/>
  </r>
  <r>
    <n v="10929491"/>
    <d v="2025-01-11T10:50:19"/>
    <s v="NÃO"/>
    <x v="4"/>
    <x v="2"/>
    <s v="google - cpc"/>
    <s v="Getulio Vargas - RS"/>
    <x v="0"/>
    <x v="5"/>
    <n v="0"/>
  </r>
  <r>
    <n v="11234085"/>
    <d v="2025-02-03T10:29:03"/>
    <s v="NÃO"/>
    <x v="5"/>
    <x v="10"/>
    <n v="0"/>
    <s v="Rio de Janeiro, RJ"/>
    <x v="4"/>
    <x v="0"/>
    <n v="0"/>
  </r>
  <r>
    <n v="11806730"/>
    <d v="2025-03-29T13:33:03"/>
    <s v="NÃO"/>
    <x v="5"/>
    <x v="10"/>
    <n v="0"/>
    <s v="-"/>
    <x v="1"/>
    <x v="0"/>
    <n v="0"/>
  </r>
  <r>
    <n v="11848124"/>
    <d v="2025-04-01T16:18:35"/>
    <s v="NÃO"/>
    <x v="5"/>
    <x v="10"/>
    <n v="0"/>
    <s v="-"/>
    <x v="1"/>
    <x v="5"/>
    <n v="0"/>
  </r>
  <r>
    <n v="11935099"/>
    <d v="2025-04-09T17:33:53"/>
    <s v="NÃO"/>
    <x v="5"/>
    <x v="10"/>
    <n v="0"/>
    <s v="São Paulo"/>
    <x v="0"/>
    <x v="3"/>
    <n v="0"/>
  </r>
  <r>
    <n v="11987935"/>
    <d v="2025-04-14T15:28:30"/>
    <s v="NÃO"/>
    <x v="5"/>
    <x v="10"/>
    <n v="0"/>
    <s v="Porto alegre - RS"/>
    <x v="1"/>
    <x v="3"/>
    <n v="0"/>
  </r>
  <r>
    <n v="11073787"/>
    <d v="2025-01-21T16:12:06"/>
    <s v="NÃO"/>
    <x v="5"/>
    <x v="0"/>
    <n v="0"/>
    <s v="Aracaju - SE"/>
    <x v="4"/>
    <x v="6"/>
    <n v="0"/>
  </r>
  <r>
    <n v="11283975"/>
    <d v="2025-02-08T15:19:27"/>
    <s v="NÃO"/>
    <x v="7"/>
    <x v="6"/>
    <s v="bing - cpc"/>
    <s v="Niterói - RJ"/>
    <x v="3"/>
    <x v="0"/>
    <n v="0"/>
  </r>
  <r>
    <n v="11990546"/>
    <d v="2025-04-14T17:13:21"/>
    <s v="NÃO"/>
    <x v="7"/>
    <x v="2"/>
    <n v="0"/>
    <s v="Goiânia - GO"/>
    <x v="0"/>
    <x v="0"/>
    <n v="0"/>
  </r>
  <r>
    <n v="10701133"/>
    <d v="2024-12-11T20:14:19"/>
    <s v="NÃO"/>
    <x v="6"/>
    <x v="2"/>
    <s v="google - cpc"/>
    <s v="Rio de Janeiro - RJ"/>
    <x v="4"/>
    <x v="3"/>
    <n v="0"/>
  </r>
  <r>
    <n v="11559670"/>
    <d v="2025-03-06T20:19:47"/>
    <s v="NÃO"/>
    <x v="7"/>
    <x v="4"/>
    <s v="facebook - cpc"/>
    <s v="Brasília - DF"/>
    <x v="0"/>
    <x v="0"/>
    <n v="0"/>
  </r>
  <r>
    <n v="11344552"/>
    <d v="2025-02-13T12:22:25"/>
    <s v="NÃO"/>
    <x v="7"/>
    <x v="4"/>
    <s v="facebook - cpc"/>
    <s v="Belo Horizonte - MG"/>
    <x v="3"/>
    <x v="2"/>
    <n v="0"/>
  </r>
  <r>
    <n v="11420587"/>
    <d v="2025-02-22T14:08:34"/>
    <s v="NÃO"/>
    <x v="7"/>
    <x v="0"/>
    <n v="0"/>
    <s v="São Paulo - SP"/>
    <x v="0"/>
    <x v="0"/>
    <n v="0"/>
  </r>
  <r>
    <n v="11769401"/>
    <d v="2025-03-25T20:42:39"/>
    <s v="NÃO"/>
    <x v="4"/>
    <x v="2"/>
    <s v="google - cpc"/>
    <s v="Brasília - DF"/>
    <x v="1"/>
    <x v="0"/>
    <n v="0"/>
  </r>
  <r>
    <n v="11959243"/>
    <d v="2025-04-12T18:59:25"/>
    <s v="NÃO"/>
    <x v="8"/>
    <x v="6"/>
    <s v="bing - cpc"/>
    <s v="Rio de Janeiro - RJ"/>
    <x v="3"/>
    <x v="5"/>
    <n v="0"/>
  </r>
  <r>
    <n v="11865927"/>
    <d v="2025-04-05T11:37:00"/>
    <s v="NÃO"/>
    <x v="2"/>
    <x v="0"/>
    <n v="0"/>
    <s v="Maringá - PR"/>
    <x v="1"/>
    <x v="6"/>
    <n v="0"/>
  </r>
  <r>
    <n v="11033824"/>
    <d v="2025-01-19T10:29:24"/>
    <s v="NÃO"/>
    <x v="2"/>
    <x v="0"/>
    <n v="0"/>
    <s v="São Paulo, SP"/>
    <x v="5"/>
    <x v="3"/>
    <n v="0"/>
  </r>
  <r>
    <n v="11568457"/>
    <d v="2025-03-08T11:49:51"/>
    <s v="NÃO"/>
    <x v="2"/>
    <x v="0"/>
    <n v="0"/>
    <s v="Curitiba - PR"/>
    <x v="4"/>
    <x v="2"/>
    <n v="0"/>
  </r>
  <r>
    <n v="11745835"/>
    <d v="2025-03-24T13:41:35"/>
    <s v="NÃO"/>
    <x v="4"/>
    <x v="2"/>
    <n v="0"/>
    <s v="-"/>
    <x v="0"/>
    <x v="0"/>
    <n v="0"/>
  </r>
  <r>
    <n v="11368232"/>
    <d v="2025-02-16T15:46:40"/>
    <s v="NÃO"/>
    <x v="4"/>
    <x v="2"/>
    <s v="google - cpc"/>
    <s v="São Carlos - SP"/>
    <x v="0"/>
    <x v="6"/>
    <n v="0"/>
  </r>
  <r>
    <n v="11741144"/>
    <d v="2025-03-24T10:30:09"/>
    <s v="NÃO"/>
    <x v="4"/>
    <x v="10"/>
    <n v="0"/>
    <s v="São Paulo"/>
    <x v="0"/>
    <x v="0"/>
    <n v="0"/>
  </r>
  <r>
    <n v="11558233"/>
    <d v="2025-03-06T06:32:14"/>
    <s v="NÃO"/>
    <x v="4"/>
    <x v="4"/>
    <s v="facebook - cpc"/>
    <s v="Arcoverde - PE"/>
    <x v="1"/>
    <x v="0"/>
    <n v="0"/>
  </r>
  <r>
    <n v="11826657"/>
    <d v="2025-03-30T18:03:13"/>
    <s v="NÃO"/>
    <x v="6"/>
    <x v="0"/>
    <n v="0"/>
    <s v="Santo André - SP"/>
    <x v="6"/>
    <x v="3"/>
    <n v="0"/>
  </r>
  <r>
    <n v="11873425"/>
    <d v="2025-04-05T18:39:13"/>
    <s v="NÃO"/>
    <x v="3"/>
    <x v="6"/>
    <s v="bing - cpc"/>
    <s v="Fortaleza - CE"/>
    <x v="1"/>
    <x v="0"/>
    <n v="0"/>
  </r>
  <r>
    <n v="11598371"/>
    <d v="2025-03-10T10:58:30"/>
    <s v="NÃO"/>
    <x v="2"/>
    <x v="2"/>
    <n v="0"/>
    <s v="-"/>
    <x v="0"/>
    <x v="0"/>
    <n v="0"/>
  </r>
  <r>
    <n v="11884177"/>
    <d v="2025-04-06T14:18:00"/>
    <s v="NÃO"/>
    <x v="2"/>
    <x v="10"/>
    <n v="0"/>
    <s v="Rio de Janeiro"/>
    <x v="4"/>
    <x v="5"/>
    <n v="0"/>
  </r>
  <r>
    <n v="12001071"/>
    <d v="2025-04-15T14:10:25"/>
    <s v="NÃO"/>
    <x v="2"/>
    <x v="10"/>
    <n v="0"/>
    <s v="São Caetano do Sul - RS"/>
    <x v="0"/>
    <x v="6"/>
    <n v="0"/>
  </r>
  <r>
    <n v="12007688"/>
    <d v="2025-04-15T23:54:01"/>
    <s v="NÃO"/>
    <x v="2"/>
    <x v="2"/>
    <s v="google - cpc"/>
    <s v="Guarulhos - SP"/>
    <x v="1"/>
    <x v="3"/>
    <n v="0"/>
  </r>
  <r>
    <n v="11583377"/>
    <d v="2025-03-09T11:24:58"/>
    <s v="NÃO"/>
    <x v="2"/>
    <x v="6"/>
    <s v="bing - cpc"/>
    <s v="Brasília - DF"/>
    <x v="0"/>
    <x v="5"/>
    <n v="0"/>
  </r>
  <r>
    <n v="11928126"/>
    <d v="2025-04-09T10:53:15"/>
    <s v="NÃO"/>
    <x v="8"/>
    <x v="2"/>
    <n v="0"/>
    <s v="Belo Horizonte, Minas Gerais"/>
    <x v="4"/>
    <x v="3"/>
    <n v="0"/>
  </r>
  <r>
    <n v="11407842"/>
    <d v="2025-02-20T17:28:29"/>
    <s v="NÃO"/>
    <x v="6"/>
    <x v="0"/>
    <n v="0"/>
    <s v="Pontal do Parana - PR"/>
    <x v="0"/>
    <x v="0"/>
    <n v="0"/>
  </r>
  <r>
    <n v="11745625"/>
    <d v="2025-03-24T13:35:28"/>
    <s v="NÃO"/>
    <x v="5"/>
    <x v="2"/>
    <s v="google - cpc"/>
    <s v="Curitiba - PR"/>
    <x v="1"/>
    <x v="0"/>
    <n v="0"/>
  </r>
  <r>
    <n v="11969099"/>
    <d v="2025-04-13T14:30:21"/>
    <s v="NÃO"/>
    <x v="4"/>
    <x v="0"/>
    <n v="0"/>
    <s v="Rio de Janeiro, RJ"/>
    <x v="0"/>
    <x v="2"/>
    <n v="0"/>
  </r>
  <r>
    <n v="11557524"/>
    <d v="2025-03-05T21:16:04"/>
    <s v="NÃO"/>
    <x v="2"/>
    <x v="0"/>
    <n v="0"/>
    <s v="Natal - RN"/>
    <x v="0"/>
    <x v="0"/>
    <n v="0"/>
  </r>
  <r>
    <n v="11725724"/>
    <d v="2025-03-22T22:15:33"/>
    <s v="NÃO"/>
    <x v="4"/>
    <x v="0"/>
    <n v="0"/>
    <s v="Passo Fundo - RS"/>
    <x v="5"/>
    <x v="6"/>
    <n v="0"/>
  </r>
  <r>
    <n v="11761662"/>
    <d v="2025-03-25T15:46:45"/>
    <s v="NÃO"/>
    <x v="4"/>
    <x v="2"/>
    <n v="0"/>
    <s v="Porto Alegre - RS"/>
    <x v="4"/>
    <x v="3"/>
    <n v="0"/>
  </r>
  <r>
    <n v="11564415"/>
    <d v="2025-03-08T09:16:11"/>
    <s v="NÃO"/>
    <x v="8"/>
    <x v="3"/>
    <s v="linkedin - cpc"/>
    <s v="São Paulo - SP"/>
    <x v="4"/>
    <x v="4"/>
    <n v="0"/>
  </r>
  <r>
    <n v="11920359"/>
    <d v="2025-04-08T17:22:15"/>
    <s v="NÃO"/>
    <x v="4"/>
    <x v="6"/>
    <s v="bing - cpc"/>
    <s v="São Paulo - SP"/>
    <x v="5"/>
    <x v="0"/>
    <n v="0"/>
  </r>
  <r>
    <n v="11391217"/>
    <d v="2025-02-18T15:21:53"/>
    <s v="NÃO"/>
    <x v="6"/>
    <x v="0"/>
    <n v="0"/>
    <s v="São Paulo, SP"/>
    <x v="4"/>
    <x v="3"/>
    <n v="0"/>
  </r>
  <r>
    <n v="11428491"/>
    <d v="2025-02-23T09:10:20"/>
    <s v="NÃO"/>
    <x v="0"/>
    <x v="2"/>
    <s v="google - cpc"/>
    <s v="Campinas - SP"/>
    <x v="0"/>
    <x v="2"/>
    <n v="0"/>
  </r>
  <r>
    <n v="11009362"/>
    <d v="2025-01-16T12:43:37"/>
    <s v="NÃO"/>
    <x v="7"/>
    <x v="0"/>
    <n v="0"/>
    <s v="Ibiuna - SP"/>
    <x v="0"/>
    <x v="0"/>
    <n v="0"/>
  </r>
  <r>
    <n v="11920631"/>
    <d v="2025-04-08T17:42:13"/>
    <s v="NÃO"/>
    <x v="0"/>
    <x v="0"/>
    <n v="0"/>
    <s v="-"/>
    <x v="0"/>
    <x v="1"/>
    <n v="0"/>
  </r>
  <r>
    <n v="11975237"/>
    <d v="2025-04-13T17:26:04"/>
    <s v="NÃO"/>
    <x v="4"/>
    <x v="2"/>
    <n v="0"/>
    <s v="-"/>
    <x v="0"/>
    <x v="3"/>
    <n v="0"/>
  </r>
  <r>
    <n v="11093405"/>
    <d v="2025-01-23T17:59:46"/>
    <s v="NÃO"/>
    <x v="4"/>
    <x v="0"/>
    <n v="0"/>
    <s v="São Paulo - SP"/>
    <x v="3"/>
    <x v="6"/>
    <n v="0"/>
  </r>
  <r>
    <n v="11281325"/>
    <d v="2025-02-08T13:44:41"/>
    <s v="NÃO"/>
    <x v="4"/>
    <x v="2"/>
    <s v="google - cpc"/>
    <s v="São Paulo - SP"/>
    <x v="5"/>
    <x v="4"/>
    <n v="0"/>
  </r>
  <r>
    <n v="10598364"/>
    <d v="2024-12-03T10:49:21"/>
    <s v="NÃO"/>
    <x v="1"/>
    <x v="0"/>
    <n v="0"/>
    <s v="Santos - SP"/>
    <x v="0"/>
    <x v="6"/>
    <n v="0"/>
  </r>
  <r>
    <n v="11464886"/>
    <d v="2025-02-25T16:12:44"/>
    <s v="NÃO"/>
    <x v="2"/>
    <x v="2"/>
    <s v="google - cpc"/>
    <s v="São Paulo - SP"/>
    <x v="0"/>
    <x v="5"/>
    <n v="0"/>
  </r>
  <r>
    <n v="11303526"/>
    <d v="2025-02-09T17:13:37"/>
    <s v="SIM"/>
    <x v="5"/>
    <x v="0"/>
    <n v="0"/>
    <s v="São Paulo, SP"/>
    <x v="0"/>
    <x v="0"/>
    <n v="1"/>
  </r>
  <r>
    <n v="12012715"/>
    <d v="2025-04-16T11:48:13"/>
    <s v="SIM"/>
    <x v="5"/>
    <x v="0"/>
    <n v="0"/>
    <s v="Descalvado - SP"/>
    <x v="6"/>
    <x v="5"/>
    <n v="1"/>
  </r>
  <r>
    <n v="10872965"/>
    <d v="2025-01-05T10:12:21"/>
    <s v="SIM"/>
    <x v="5"/>
    <x v="2"/>
    <s v="google - cpc"/>
    <s v="São Paulo - SP"/>
    <x v="4"/>
    <x v="3"/>
    <n v="1"/>
  </r>
  <r>
    <n v="11111140"/>
    <d v="2025-01-25T17:43:30"/>
    <s v="SIM"/>
    <x v="6"/>
    <x v="0"/>
    <n v="0"/>
    <s v="São Paulo - SP"/>
    <x v="4"/>
    <x v="0"/>
    <n v="1"/>
  </r>
  <r>
    <n v="12024483"/>
    <d v="2025-04-18T14:57:43"/>
    <s v="SIM"/>
    <x v="8"/>
    <x v="0"/>
    <n v="0"/>
    <s v="Campinas - SP"/>
    <x v="1"/>
    <x v="3"/>
    <n v="1"/>
  </r>
  <r>
    <n v="11078220"/>
    <d v="2025-01-21T18:49:36"/>
    <s v="SIM"/>
    <x v="8"/>
    <x v="2"/>
    <s v="google - cpc"/>
    <s v="São Paulo - SP"/>
    <x v="0"/>
    <x v="2"/>
    <n v="1"/>
  </r>
  <r>
    <n v="11890851"/>
    <d v="2025-04-06T17:29:57"/>
    <s v="SIM"/>
    <x v="8"/>
    <x v="2"/>
    <s v="google - cpc"/>
    <s v="Guararema - SP"/>
    <x v="1"/>
    <x v="3"/>
    <n v="1"/>
  </r>
  <r>
    <n v="11067899"/>
    <d v="2025-01-21T10:31:43"/>
    <s v="SIM"/>
    <x v="4"/>
    <x v="11"/>
    <n v="0"/>
    <s v="São Paulo"/>
    <x v="6"/>
    <x v="3"/>
    <n v="1"/>
  </r>
  <r>
    <n v="10911396"/>
    <d v="2025-01-08T11:06:15"/>
    <s v="SIM"/>
    <x v="4"/>
    <x v="0"/>
    <n v="0"/>
    <s v="-"/>
    <x v="0"/>
    <x v="0"/>
    <n v="1"/>
  </r>
  <r>
    <n v="10915618"/>
    <d v="2025-01-08T14:36:01"/>
    <s v="NÃO"/>
    <x v="5"/>
    <x v="0"/>
    <n v="0"/>
    <s v="Limeira - SP"/>
    <x v="1"/>
    <x v="0"/>
    <n v="0"/>
  </r>
  <r>
    <n v="11382329"/>
    <d v="2025-02-17T22:20:21"/>
    <s v="SIM"/>
    <x v="6"/>
    <x v="0"/>
    <n v="0"/>
    <s v="Ribeirão Preto - SP"/>
    <x v="4"/>
    <x v="2"/>
    <n v="1"/>
  </r>
  <r>
    <n v="10607404"/>
    <d v="2024-12-03T16:20:04"/>
    <s v="SIM"/>
    <x v="0"/>
    <x v="2"/>
    <s v="google - cpc"/>
    <s v="São Paulo - SP"/>
    <x v="0"/>
    <x v="0"/>
    <n v="1"/>
  </r>
  <r>
    <n v="10911301"/>
    <d v="2025-01-08T10:55:35"/>
    <s v="SIM"/>
    <x v="7"/>
    <x v="2"/>
    <s v="google - cpc"/>
    <s v="Campinas - SP"/>
    <x v="0"/>
    <x v="4"/>
    <n v="1"/>
  </r>
  <r>
    <n v="10683100"/>
    <d v="2024-12-10T12:35:41"/>
    <s v="SIM"/>
    <x v="7"/>
    <x v="2"/>
    <s v="google - cpc"/>
    <s v="Mogi das Cruzes - SP"/>
    <x v="3"/>
    <x v="0"/>
    <n v="1"/>
  </r>
  <r>
    <n v="10573985"/>
    <d v="2024-12-01T14:02:40"/>
    <s v="SIM"/>
    <x v="0"/>
    <x v="2"/>
    <s v="google - cpc"/>
    <s v="Campinas - SP"/>
    <x v="1"/>
    <x v="2"/>
    <n v="1"/>
  </r>
  <r>
    <n v="10595396"/>
    <d v="2024-12-02T22:07:14"/>
    <s v="NÃO"/>
    <x v="1"/>
    <x v="2"/>
    <s v="google - cpc"/>
    <s v="Blumenau - SC"/>
    <x v="3"/>
    <x v="0"/>
    <n v="0"/>
  </r>
  <r>
    <n v="11754585"/>
    <d v="2025-03-25T09:51:15"/>
    <s v="SIM"/>
    <x v="4"/>
    <x v="10"/>
    <n v="0"/>
    <s v="RS"/>
    <x v="0"/>
    <x v="5"/>
    <n v="1"/>
  </r>
  <r>
    <n v="11752990"/>
    <d v="2025-03-25T07:43:13"/>
    <s v="SIM"/>
    <x v="3"/>
    <x v="0"/>
    <n v="0"/>
    <s v="Niterói - RJ"/>
    <x v="1"/>
    <x v="0"/>
    <n v="1"/>
  </r>
  <r>
    <n v="11483392"/>
    <d v="2025-02-28T09:30:14"/>
    <s v="SIM"/>
    <x v="4"/>
    <x v="0"/>
    <n v="0"/>
    <s v="Macaé - RJ"/>
    <x v="1"/>
    <x v="0"/>
    <n v="1"/>
  </r>
  <r>
    <n v="10838880"/>
    <d v="2024-12-30T11:40:57"/>
    <s v="SIM"/>
    <x v="7"/>
    <x v="0"/>
    <n v="0"/>
    <s v="São João del-Rei - MG"/>
    <x v="3"/>
    <x v="0"/>
    <n v="1"/>
  </r>
  <r>
    <n v="11564721"/>
    <d v="2025-03-08T09:35:06"/>
    <s v="NÃO"/>
    <x v="6"/>
    <x v="0"/>
    <n v="0"/>
    <s v="Paraná, Brasil"/>
    <x v="4"/>
    <x v="2"/>
    <n v="0"/>
  </r>
  <r>
    <n v="11247875"/>
    <d v="2025-02-04T12:56:52"/>
    <s v="SIM"/>
    <x v="5"/>
    <x v="0"/>
    <n v="0"/>
    <s v="Recife - PE"/>
    <x v="4"/>
    <x v="0"/>
    <n v="1"/>
  </r>
  <r>
    <n v="10967363"/>
    <d v="2025-01-13T16:17:26"/>
    <s v="SIM"/>
    <x v="4"/>
    <x v="2"/>
    <s v="google - cpc"/>
    <s v="Coronel Fabriciano - MG"/>
    <x v="4"/>
    <x v="2"/>
    <n v="1"/>
  </r>
  <r>
    <n v="10824534"/>
    <d v="2024-12-28T15:22:35"/>
    <s v="SIM"/>
    <x v="2"/>
    <x v="2"/>
    <s v="google - cpc"/>
    <s v="Belo Horizonte - MG"/>
    <x v="1"/>
    <x v="0"/>
    <n v="1"/>
  </r>
  <r>
    <n v="11733670"/>
    <d v="2025-03-23T14:28:09"/>
    <s v="SIM"/>
    <x v="2"/>
    <x v="2"/>
    <s v="google - cpc"/>
    <s v="Contagem - MG"/>
    <x v="1"/>
    <x v="5"/>
    <n v="1"/>
  </r>
  <r>
    <n v="10724788"/>
    <d v="2024-12-15T00:47:01"/>
    <s v="SIM"/>
    <x v="4"/>
    <x v="2"/>
    <s v="google - cpc"/>
    <s v="Belo Horizonte - MG"/>
    <x v="4"/>
    <x v="0"/>
    <n v="1"/>
  </r>
  <r>
    <n v="11560398"/>
    <d v="2025-03-07T08:39:00"/>
    <s v="SIM"/>
    <x v="4"/>
    <x v="6"/>
    <s v="bing - cpc"/>
    <s v="Brasília - DF"/>
    <x v="0"/>
    <x v="4"/>
    <n v="1"/>
  </r>
  <r>
    <n v="11407595"/>
    <d v="2025-02-20T15:24:18"/>
    <s v="SIM"/>
    <x v="6"/>
    <x v="2"/>
    <s v="google - cpc"/>
    <s v="Brasília - DF"/>
    <x v="0"/>
    <x v="4"/>
    <n v="1"/>
  </r>
  <r>
    <n v="11902302"/>
    <d v="2025-04-07T15:37:21"/>
    <s v="SIM"/>
    <x v="0"/>
    <x v="0"/>
    <n v="0"/>
    <s v="São Luís - MA"/>
    <x v="0"/>
    <x v="2"/>
    <n v="1"/>
  </r>
  <r>
    <n v="11401562"/>
    <d v="2025-02-19T14:18:56"/>
    <s v="SIM"/>
    <x v="2"/>
    <x v="2"/>
    <s v="google - cpc"/>
    <s v="Brasília - DF"/>
    <x v="1"/>
    <x v="5"/>
    <n v="1"/>
  </r>
  <r>
    <n v="11115488"/>
    <d v="2025-01-26T09:34:06"/>
    <s v="SIM"/>
    <x v="2"/>
    <x v="2"/>
    <s v="google - cpc"/>
    <s v="São Paulo - SP"/>
    <x v="0"/>
    <x v="4"/>
    <n v="1"/>
  </r>
  <r>
    <n v="11263911"/>
    <d v="2025-02-05T15:25:46"/>
    <s v="SIM"/>
    <x v="2"/>
    <x v="2"/>
    <s v="google - cpc"/>
    <s v="Campinas - SP"/>
    <x v="0"/>
    <x v="5"/>
    <n v="1"/>
  </r>
  <r>
    <n v="11901215"/>
    <d v="2025-04-07T15:01:03"/>
    <s v="SIM"/>
    <x v="2"/>
    <x v="2"/>
    <s v="google - cpc"/>
    <s v="São Paulo - SP"/>
    <x v="4"/>
    <x v="5"/>
    <n v="1"/>
  </r>
  <r>
    <n v="11422021"/>
    <d v="2025-02-22T15:31:32"/>
    <s v="SIM"/>
    <x v="6"/>
    <x v="2"/>
    <s v="google - cpc"/>
    <s v="São Paulo - SP"/>
    <x v="1"/>
    <x v="6"/>
    <n v="1"/>
  </r>
  <r>
    <n v="10749590"/>
    <d v="2024-12-16T18:03:16"/>
    <s v="SIM"/>
    <x v="0"/>
    <x v="0"/>
    <n v="0"/>
    <s v="Eusébio - CE"/>
    <x v="1"/>
    <x v="1"/>
    <n v="1"/>
  </r>
  <r>
    <n v="10795816"/>
    <d v="2024-12-22T09:39:31"/>
    <s v="SIM"/>
    <x v="6"/>
    <x v="0"/>
    <n v="0"/>
    <s v="Rio de Janeiro - RJ"/>
    <x v="1"/>
    <x v="2"/>
    <n v="1"/>
  </r>
  <r>
    <n v="10893294"/>
    <d v="2025-01-06T18:53:39"/>
    <s v="NÃO"/>
    <x v="6"/>
    <x v="2"/>
    <s v="google - cpc"/>
    <s v="Santo André - SP"/>
    <x v="1"/>
    <x v="3"/>
    <n v="0"/>
  </r>
  <r>
    <n v="11567791"/>
    <d v="2025-03-08T11:18:07"/>
    <s v="SIM"/>
    <x v="6"/>
    <x v="0"/>
    <n v="0"/>
    <s v="Araruama - RJ"/>
    <x v="0"/>
    <x v="6"/>
    <n v="1"/>
  </r>
  <r>
    <n v="11406873"/>
    <d v="2025-02-20T10:33:43"/>
    <s v="SIM"/>
    <x v="4"/>
    <x v="2"/>
    <s v="google - cpc"/>
    <s v="São Paulo - SP"/>
    <x v="1"/>
    <x v="0"/>
    <n v="1"/>
  </r>
  <r>
    <n v="10884738"/>
    <d v="2025-01-06T10:17:45"/>
    <s v="SIM"/>
    <x v="2"/>
    <x v="0"/>
    <n v="0"/>
    <s v="Ilhabela - SP"/>
    <x v="4"/>
    <x v="6"/>
    <n v="1"/>
  </r>
  <r>
    <n v="10912551"/>
    <d v="2025-01-08T12:16:25"/>
    <s v="SIM"/>
    <x v="2"/>
    <x v="2"/>
    <s v="google - cpc"/>
    <s v="Teresina - PI"/>
    <x v="0"/>
    <x v="5"/>
    <n v="1"/>
  </r>
  <r>
    <n v="11738816"/>
    <d v="2025-03-24T07:32:09"/>
    <s v="SIM"/>
    <x v="4"/>
    <x v="2"/>
    <s v="google - cpc"/>
    <s v="Jundiaí - SP"/>
    <x v="0"/>
    <x v="0"/>
    <n v="1"/>
  </r>
  <r>
    <n v="11266644"/>
    <d v="2025-02-05T18:24:34"/>
    <s v="SIM"/>
    <x v="4"/>
    <x v="0"/>
    <n v="0"/>
    <s v="-"/>
    <x v="0"/>
    <x v="3"/>
    <n v="1"/>
  </r>
  <r>
    <n v="11678652"/>
    <d v="2025-03-17T17:34:54"/>
    <s v="SIM"/>
    <x v="7"/>
    <x v="2"/>
    <n v="0"/>
    <s v="São Paulo, SP"/>
    <x v="0"/>
    <x v="0"/>
    <n v="1"/>
  </r>
  <r>
    <n v="11847945"/>
    <d v="2025-04-01T16:06:44"/>
    <s v="SIM"/>
    <x v="7"/>
    <x v="2"/>
    <n v="0"/>
    <s v="RJ"/>
    <x v="0"/>
    <x v="0"/>
    <n v="1"/>
  </r>
  <r>
    <n v="11811803"/>
    <d v="2025-03-29T17:17:50"/>
    <s v="SIM"/>
    <x v="7"/>
    <x v="4"/>
    <s v="facebook - cpc"/>
    <s v="Recife - PE"/>
    <x v="0"/>
    <x v="2"/>
    <n v="1"/>
  </r>
  <r>
    <n v="11790136"/>
    <d v="2025-03-28T10:14:30"/>
    <s v="SIM"/>
    <x v="7"/>
    <x v="0"/>
    <n v="0"/>
    <s v="São Paulo - SP"/>
    <x v="3"/>
    <x v="0"/>
    <n v="1"/>
  </r>
  <r>
    <n v="11613619"/>
    <d v="2025-03-11T14:42:58"/>
    <s v="SIM"/>
    <x v="7"/>
    <x v="0"/>
    <n v="0"/>
    <s v="São Paulo - SP"/>
    <x v="3"/>
    <x v="0"/>
    <n v="1"/>
  </r>
  <r>
    <n v="10782343"/>
    <d v="2024-12-20T19:37:06"/>
    <s v="SIM"/>
    <x v="7"/>
    <x v="2"/>
    <s v="google - cpc"/>
    <s v="Lauro de Freitas - BA"/>
    <x v="0"/>
    <x v="0"/>
    <n v="1"/>
  </r>
  <r>
    <n v="11832932"/>
    <d v="2025-03-31T13:32:19"/>
    <s v="SIM"/>
    <x v="7"/>
    <x v="2"/>
    <s v="google - cpc"/>
    <s v="São Paulo - SP"/>
    <x v="3"/>
    <x v="0"/>
    <n v="1"/>
  </r>
  <r>
    <n v="10881687"/>
    <d v="2025-01-05T23:56:28"/>
    <s v="NÃO"/>
    <x v="7"/>
    <x v="2"/>
    <s v="google - cpc"/>
    <s v="-"/>
    <x v="4"/>
    <x v="0"/>
    <n v="0"/>
  </r>
  <r>
    <n v="11072481"/>
    <d v="2025-01-21T15:23:07"/>
    <s v="NÃO"/>
    <x v="5"/>
    <x v="0"/>
    <n v="0"/>
    <s v="São José dos Campos - SP"/>
    <x v="3"/>
    <x v="2"/>
    <n v="0"/>
  </r>
  <r>
    <n v="11555809"/>
    <d v="2025-03-05T16:28:49"/>
    <s v="SIM"/>
    <x v="5"/>
    <x v="0"/>
    <n v="0"/>
    <s v="Apucarana - PR"/>
    <x v="1"/>
    <x v="0"/>
    <n v="1"/>
  </r>
  <r>
    <n v="10875489"/>
    <d v="2025-01-05T13:25:12"/>
    <s v="SIM"/>
    <x v="5"/>
    <x v="0"/>
    <n v="0"/>
    <s v="Rio Preto - SP"/>
    <x v="1"/>
    <x v="0"/>
    <n v="1"/>
  </r>
  <r>
    <n v="11610396"/>
    <d v="2025-03-11T10:46:44"/>
    <s v="SIM"/>
    <x v="5"/>
    <x v="2"/>
    <s v="google - cpc"/>
    <s v="São Paulo - SP"/>
    <x v="0"/>
    <x v="0"/>
    <n v="1"/>
  </r>
  <r>
    <n v="10926403"/>
    <d v="2025-01-11T09:07:26"/>
    <s v="SIM"/>
    <x v="5"/>
    <x v="2"/>
    <s v="google - cpc"/>
    <s v="Tamboré - SP"/>
    <x v="1"/>
    <x v="0"/>
    <n v="1"/>
  </r>
  <r>
    <n v="11294899"/>
    <d v="2025-02-09T10:26:49"/>
    <s v="SIM"/>
    <x v="5"/>
    <x v="2"/>
    <s v="google - cpc"/>
    <s v="São Paulo - SP"/>
    <x v="1"/>
    <x v="2"/>
    <n v="1"/>
  </r>
  <r>
    <n v="11031338"/>
    <d v="2025-01-19T08:41:52"/>
    <s v="SIM"/>
    <x v="5"/>
    <x v="2"/>
    <s v="google - cpc"/>
    <s v="São Paulo - SP"/>
    <x v="0"/>
    <x v="0"/>
    <n v="1"/>
  </r>
  <r>
    <n v="11755391"/>
    <d v="2025-03-25T10:41:27"/>
    <s v="SIM"/>
    <x v="5"/>
    <x v="6"/>
    <s v="bing - cpc"/>
    <s v="Rio Preto - SP"/>
    <x v="0"/>
    <x v="0"/>
    <n v="1"/>
  </r>
  <r>
    <n v="11271376"/>
    <d v="2025-02-07T11:16:20"/>
    <s v="SIM"/>
    <x v="4"/>
    <x v="0"/>
    <n v="0"/>
    <s v="São Paulo - SP"/>
    <x v="1"/>
    <x v="0"/>
    <n v="1"/>
  </r>
  <r>
    <n v="10869062"/>
    <d v="2025-01-04T19:24:29"/>
    <s v="SIM"/>
    <x v="5"/>
    <x v="9"/>
    <s v="leads - email"/>
    <s v="Porto Alegre - RS"/>
    <x v="0"/>
    <x v="0"/>
    <n v="1"/>
  </r>
  <r>
    <n v="11679182"/>
    <d v="2025-03-17T18:38:43"/>
    <s v="SIM"/>
    <x v="4"/>
    <x v="0"/>
    <n v="0"/>
    <s v="Limeira - SP"/>
    <x v="3"/>
    <x v="0"/>
    <n v="1"/>
  </r>
  <r>
    <n v="11661528"/>
    <d v="2025-03-16T16:24:21"/>
    <s v="SIM"/>
    <x v="4"/>
    <x v="0"/>
    <n v="0"/>
    <s v="São Paulo - SP"/>
    <x v="0"/>
    <x v="0"/>
    <n v="1"/>
  </r>
  <r>
    <n v="11171593"/>
    <d v="2025-01-28T19:22:18"/>
    <s v="SIM"/>
    <x v="4"/>
    <x v="0"/>
    <n v="0"/>
    <s v="Campinas - SP"/>
    <x v="0"/>
    <x v="0"/>
    <n v="1"/>
  </r>
  <r>
    <n v="10665780"/>
    <d v="2024-12-09T12:17:49"/>
    <s v="SIM"/>
    <x v="4"/>
    <x v="0"/>
    <n v="0"/>
    <s v="Rio de Janeiro - RJ"/>
    <x v="0"/>
    <x v="3"/>
    <n v="1"/>
  </r>
  <r>
    <n v="11129279"/>
    <d v="2025-01-27T09:14:41"/>
    <s v="SIM"/>
    <x v="4"/>
    <x v="0"/>
    <n v="0"/>
    <s v="Vitória - ES"/>
    <x v="0"/>
    <x v="0"/>
    <n v="1"/>
  </r>
  <r>
    <n v="11893994"/>
    <d v="2025-04-07T08:32:20"/>
    <s v="SIM"/>
    <x v="3"/>
    <x v="2"/>
    <s v="google - cpc"/>
    <s v="Niterói - RJ"/>
    <x v="1"/>
    <x v="5"/>
    <n v="1"/>
  </r>
  <r>
    <n v="11372318"/>
    <d v="2025-02-17T09:04:41"/>
    <s v="SIM"/>
    <x v="3"/>
    <x v="0"/>
    <n v="0"/>
    <s v="Nova Lima - MG"/>
    <x v="0"/>
    <x v="2"/>
    <n v="1"/>
  </r>
  <r>
    <n v="11659772"/>
    <d v="2025-03-16T15:01:22"/>
    <s v="SIM"/>
    <x v="3"/>
    <x v="2"/>
    <s v="google - cpc"/>
    <s v="Osasco - SP"/>
    <x v="4"/>
    <x v="3"/>
    <n v="1"/>
  </r>
  <r>
    <n v="10887561"/>
    <d v="2025-01-06T11:52:20"/>
    <s v="SIM"/>
    <x v="3"/>
    <x v="0"/>
    <n v="0"/>
    <s v="-"/>
    <x v="0"/>
    <x v="1"/>
    <n v="1"/>
  </r>
  <r>
    <n v="10754956"/>
    <d v="2024-12-17T11:25:23"/>
    <s v="NÃO"/>
    <x v="3"/>
    <x v="0"/>
    <n v="0"/>
    <s v="-"/>
    <x v="6"/>
    <x v="3"/>
    <n v="0"/>
  </r>
  <r>
    <n v="10863129"/>
    <d v="2025-01-04T15:31:18"/>
    <s v="SIM"/>
    <x v="2"/>
    <x v="12"/>
    <n v="0"/>
    <s v="-"/>
    <x v="0"/>
    <x v="3"/>
    <n v="1"/>
  </r>
  <r>
    <n v="10572026"/>
    <d v="2024-12-01T12:04:42"/>
    <s v="SIM"/>
    <x v="1"/>
    <x v="2"/>
    <s v="google - cpc"/>
    <s v="Iomere - SC"/>
    <x v="4"/>
    <x v="6"/>
    <n v="1"/>
  </r>
  <r>
    <n v="10620735"/>
    <d v="2024-12-05T03:42:57"/>
    <s v="SIM"/>
    <x v="1"/>
    <x v="2"/>
    <s v="google - cpc"/>
    <s v="Fortaleza - CE"/>
    <x v="0"/>
    <x v="0"/>
    <n v="1"/>
  </r>
  <r>
    <n v="10598070"/>
    <d v="2024-12-03T10:38:45"/>
    <s v="SIM"/>
    <x v="0"/>
    <x v="0"/>
    <n v="0"/>
    <s v="-"/>
    <x v="6"/>
    <x v="3"/>
    <n v="1"/>
  </r>
  <r>
    <n v="12020098"/>
    <d v="2025-04-16T21:05:47"/>
    <s v="SIM"/>
    <x v="0"/>
    <x v="0"/>
    <n v="0"/>
    <s v="Sao Goncalo - RJ"/>
    <x v="0"/>
    <x v="0"/>
    <n v="1"/>
  </r>
  <r>
    <n v="10695016"/>
    <d v="2024-12-11T11:12:19"/>
    <s v="SIM"/>
    <x v="0"/>
    <x v="2"/>
    <s v="google - cpc"/>
    <s v="Mococa - SP"/>
    <x v="1"/>
    <x v="0"/>
    <n v="1"/>
  </r>
  <r>
    <n v="10793315"/>
    <d v="2024-12-21T17:55:33"/>
    <s v="SIM"/>
    <x v="0"/>
    <x v="2"/>
    <s v="google - cpc"/>
    <s v="Cuiabá - MT"/>
    <x v="4"/>
    <x v="0"/>
    <n v="1"/>
  </r>
  <r>
    <n v="11906727"/>
    <d v="2025-04-07T21:06:52"/>
    <s v="SIM"/>
    <x v="0"/>
    <x v="2"/>
    <s v="google - cpc"/>
    <s v="Niterói - RJ"/>
    <x v="0"/>
    <x v="0"/>
    <n v="1"/>
  </r>
  <r>
    <n v="11741364"/>
    <d v="2025-03-24T10:37:50"/>
    <s v="NÃO"/>
    <x v="0"/>
    <x v="1"/>
    <s v="Sales Navigator"/>
    <s v="-"/>
    <x v="2"/>
    <x v="1"/>
    <n v="0"/>
  </r>
  <r>
    <n v="11817612"/>
    <d v="2025-03-30T09:51:33"/>
    <s v="NÃO"/>
    <x v="0"/>
    <x v="1"/>
    <s v="Sales Navigator"/>
    <s v="-"/>
    <x v="2"/>
    <x v="1"/>
    <n v="0"/>
  </r>
  <r>
    <n v="11817238"/>
    <d v="2025-03-30T09:33:58"/>
    <s v="NÃO"/>
    <x v="0"/>
    <x v="1"/>
    <s v="Sales Navigator"/>
    <s v="-"/>
    <x v="2"/>
    <x v="1"/>
    <n v="0"/>
  </r>
  <r>
    <n v="11817265"/>
    <d v="2025-03-30T09:36:44"/>
    <s v="NÃO"/>
    <x v="0"/>
    <x v="1"/>
    <s v="Sales Navigator"/>
    <s v="-"/>
    <x v="2"/>
    <x v="1"/>
    <n v="0"/>
  </r>
  <r>
    <n v="11757043"/>
    <d v="2025-03-25T12:51:26"/>
    <s v="NÃO"/>
    <x v="0"/>
    <x v="1"/>
    <s v="Sales Navigator"/>
    <s v="-"/>
    <x v="2"/>
    <x v="1"/>
    <n v="0"/>
  </r>
  <r>
    <n v="11684341"/>
    <d v="2025-03-18T09:57:18"/>
    <s v="NÃO"/>
    <x v="0"/>
    <x v="1"/>
    <s v="bing - cpc"/>
    <s v="-"/>
    <x v="2"/>
    <x v="1"/>
    <n v="0"/>
  </r>
  <r>
    <n v="11997607"/>
    <d v="2025-04-15T10:51:52"/>
    <s v="NÃO"/>
    <x v="3"/>
    <x v="1"/>
    <s v="Sales Navigator"/>
    <s v="-"/>
    <x v="2"/>
    <x v="1"/>
    <n v="0"/>
  </r>
  <r>
    <n v="11773554"/>
    <d v="2025-03-26T10:44:42"/>
    <s v="NÃO"/>
    <x v="5"/>
    <x v="1"/>
    <s v="Sales Navigator"/>
    <s v="-"/>
    <x v="2"/>
    <x v="1"/>
    <n v="0"/>
  </r>
  <r>
    <n v="11774286"/>
    <d v="2025-03-26T11:26:44"/>
    <s v="NÃO"/>
    <x v="5"/>
    <x v="1"/>
    <s v="Sales Navigator"/>
    <s v="-"/>
    <x v="2"/>
    <x v="1"/>
    <n v="0"/>
  </r>
  <r>
    <n v="11741116"/>
    <d v="2025-03-24T10:28:02"/>
    <s v="NÃO"/>
    <x v="5"/>
    <x v="1"/>
    <s v="Sales Navigator"/>
    <s v="-"/>
    <x v="2"/>
    <x v="1"/>
    <n v="0"/>
  </r>
  <r>
    <n v="11741396"/>
    <d v="2025-03-24T10:40:14"/>
    <s v="NÃO"/>
    <x v="5"/>
    <x v="1"/>
    <s v="Sales Navigator"/>
    <s v="-"/>
    <x v="2"/>
    <x v="1"/>
    <n v="0"/>
  </r>
  <r>
    <n v="11741433"/>
    <d v="2025-03-24T10:43:04"/>
    <s v="NÃO"/>
    <x v="5"/>
    <x v="1"/>
    <s v="Sales Navigator"/>
    <s v="-"/>
    <x v="2"/>
    <x v="1"/>
    <n v="0"/>
  </r>
  <r>
    <n v="11740914"/>
    <d v="2025-03-24T10:12:38"/>
    <s v="NÃO"/>
    <x v="5"/>
    <x v="1"/>
    <s v="Sales Navigator"/>
    <s v="-"/>
    <x v="2"/>
    <x v="1"/>
    <n v="0"/>
  </r>
  <r>
    <n v="11740967"/>
    <d v="2025-03-24T10:16:40"/>
    <s v="NÃO"/>
    <x v="5"/>
    <x v="1"/>
    <s v="Sales Navigator"/>
    <s v="-"/>
    <x v="2"/>
    <x v="1"/>
    <n v="0"/>
  </r>
  <r>
    <n v="11740982"/>
    <d v="2025-03-24T10:18:04"/>
    <s v="NÃO"/>
    <x v="5"/>
    <x v="1"/>
    <s v="Sales Navigator"/>
    <s v="-"/>
    <x v="2"/>
    <x v="1"/>
    <n v="0"/>
  </r>
  <r>
    <n v="11600344"/>
    <d v="2025-03-10T13:11:21"/>
    <s v="NÃO"/>
    <x v="5"/>
    <x v="1"/>
    <s v="Sales Navigator"/>
    <s v="-"/>
    <x v="2"/>
    <x v="1"/>
    <n v="0"/>
  </r>
  <r>
    <n v="12013373"/>
    <d v="2025-04-16T12:21:18"/>
    <s v="NÃO"/>
    <x v="5"/>
    <x v="1"/>
    <s v="Sales Navigator"/>
    <s v="-"/>
    <x v="2"/>
    <x v="1"/>
    <n v="0"/>
  </r>
  <r>
    <n v="11889570"/>
    <d v="2025-04-06T16:45:56"/>
    <s v="NÃO"/>
    <x v="5"/>
    <x v="1"/>
    <s v="Sales Navigator"/>
    <s v="-"/>
    <x v="2"/>
    <x v="1"/>
    <n v="0"/>
  </r>
  <r>
    <n v="11832504"/>
    <d v="2025-03-31T12:35:05"/>
    <s v="NÃO"/>
    <x v="5"/>
    <x v="1"/>
    <s v="Sales Navigator"/>
    <s v="-"/>
    <x v="2"/>
    <x v="1"/>
    <n v="0"/>
  </r>
  <r>
    <n v="11817312"/>
    <d v="2025-03-30T09:40:21"/>
    <s v="NÃO"/>
    <x v="5"/>
    <x v="1"/>
    <s v="Sales Navigator"/>
    <s v="-"/>
    <x v="2"/>
    <x v="1"/>
    <n v="0"/>
  </r>
  <r>
    <n v="11817562"/>
    <d v="2025-03-30T09:48:40"/>
    <s v="NÃO"/>
    <x v="5"/>
    <x v="1"/>
    <s v="Sales Navigator"/>
    <s v="-"/>
    <x v="2"/>
    <x v="1"/>
    <n v="0"/>
  </r>
  <r>
    <n v="11817754"/>
    <d v="2025-03-30T09:56:57"/>
    <s v="NÃO"/>
    <x v="5"/>
    <x v="1"/>
    <s v="Sales Navigator"/>
    <s v="-"/>
    <x v="2"/>
    <x v="1"/>
    <n v="0"/>
  </r>
  <r>
    <n v="11817815"/>
    <d v="2025-03-30T10:00:57"/>
    <s v="NÃO"/>
    <x v="5"/>
    <x v="1"/>
    <s v="Sales Navigator"/>
    <s v="-"/>
    <x v="2"/>
    <x v="1"/>
    <n v="0"/>
  </r>
  <r>
    <n v="11831953"/>
    <d v="2025-03-31T12:03:33"/>
    <s v="NÃO"/>
    <x v="5"/>
    <x v="1"/>
    <s v="Sales Navigator"/>
    <s v="-"/>
    <x v="2"/>
    <x v="1"/>
    <n v="0"/>
  </r>
  <r>
    <n v="11070133"/>
    <d v="2025-01-21T13:38:45"/>
    <s v="NÃO"/>
    <x v="5"/>
    <x v="1"/>
    <n v="0"/>
    <s v="-"/>
    <x v="2"/>
    <x v="1"/>
    <n v="0"/>
  </r>
  <r>
    <n v="11068445"/>
    <d v="2025-01-21T11:08:44"/>
    <s v="NÃO"/>
    <x v="6"/>
    <x v="1"/>
    <n v="0"/>
    <s v="-"/>
    <x v="2"/>
    <x v="1"/>
    <n v="0"/>
  </r>
  <r>
    <n v="11068460"/>
    <d v="2025-01-21T11:10:06"/>
    <s v="NÃO"/>
    <x v="6"/>
    <x v="1"/>
    <n v="0"/>
    <s v="-"/>
    <x v="2"/>
    <x v="1"/>
    <n v="0"/>
  </r>
  <r>
    <n v="11067285"/>
    <d v="2025-01-21T09:59:14"/>
    <s v="NÃO"/>
    <x v="6"/>
    <x v="1"/>
    <n v="0"/>
    <s v="-"/>
    <x v="2"/>
    <x v="1"/>
    <n v="0"/>
  </r>
  <r>
    <n v="11997653"/>
    <d v="2025-04-15T10:55:58"/>
    <s v="NÃO"/>
    <x v="4"/>
    <x v="1"/>
    <s v="Sales Navigator"/>
    <s v="-"/>
    <x v="2"/>
    <x v="1"/>
    <n v="0"/>
  </r>
  <r>
    <n v="11832424"/>
    <d v="2025-03-31T12:23:15"/>
    <s v="NÃO"/>
    <x v="4"/>
    <x v="1"/>
    <s v="Sales Navigator"/>
    <s v="-"/>
    <x v="2"/>
    <x v="1"/>
    <n v="0"/>
  </r>
  <r>
    <n v="12013087"/>
    <d v="2025-04-16T12:07:08"/>
    <s v="NÃO"/>
    <x v="8"/>
    <x v="1"/>
    <s v="Sales Navigator"/>
    <s v="-"/>
    <x v="2"/>
    <x v="1"/>
    <n v="0"/>
  </r>
  <r>
    <n v="12013225"/>
    <d v="2025-04-16T12:08:44"/>
    <s v="NÃO"/>
    <x v="8"/>
    <x v="1"/>
    <s v="Sales Navigator"/>
    <s v="-"/>
    <x v="2"/>
    <x v="1"/>
    <n v="0"/>
  </r>
  <r>
    <n v="11817176"/>
    <d v="2025-03-30T09:27:02"/>
    <s v="NÃO"/>
    <x v="4"/>
    <x v="1"/>
    <s v="Sales Navigator"/>
    <s v="-"/>
    <x v="2"/>
    <x v="1"/>
    <n v="0"/>
  </r>
  <r>
    <n v="11817209"/>
    <d v="2025-03-30T09:30:10"/>
    <s v="NÃO"/>
    <x v="4"/>
    <x v="1"/>
    <s v="Sales Navigator"/>
    <s v="-"/>
    <x v="2"/>
    <x v="1"/>
    <n v="0"/>
  </r>
  <r>
    <n v="12013244"/>
    <d v="2025-04-16T12:11:14"/>
    <s v="NÃO"/>
    <x v="4"/>
    <x v="1"/>
    <s v="Sales Navigator"/>
    <s v="-"/>
    <x v="2"/>
    <x v="1"/>
    <n v="0"/>
  </r>
  <r>
    <n v="11890649"/>
    <d v="2025-04-06T17:20:48"/>
    <s v="NÃO"/>
    <x v="4"/>
    <x v="1"/>
    <s v="Sales Navigator"/>
    <s v="-"/>
    <x v="2"/>
    <x v="1"/>
    <n v="0"/>
  </r>
  <r>
    <n v="11997578"/>
    <d v="2025-04-15T10:48:12"/>
    <s v="NÃO"/>
    <x v="4"/>
    <x v="1"/>
    <s v="Sales Navigator"/>
    <s v="-"/>
    <x v="2"/>
    <x v="1"/>
    <n v="0"/>
  </r>
  <r>
    <n v="11899637"/>
    <d v="2025-04-07T13:35:55"/>
    <s v="NÃO"/>
    <x v="4"/>
    <x v="1"/>
    <s v="Sales Navigator"/>
    <s v="-"/>
    <x v="2"/>
    <x v="1"/>
    <n v="0"/>
  </r>
  <r>
    <n v="12011806"/>
    <d v="2025-04-16T11:04:10"/>
    <s v="NÃO"/>
    <x v="4"/>
    <x v="1"/>
    <s v="Sales Navigator"/>
    <s v="-"/>
    <x v="2"/>
    <x v="1"/>
    <n v="0"/>
  </r>
  <r>
    <n v="12012359"/>
    <d v="2025-04-16T11:20:45"/>
    <s v="NÃO"/>
    <x v="4"/>
    <x v="1"/>
    <s v="Sales Navigator"/>
    <s v="-"/>
    <x v="2"/>
    <x v="1"/>
    <n v="0"/>
  </r>
  <r>
    <n v="11067204"/>
    <d v="2025-01-21T09:53:21"/>
    <s v="NÃO"/>
    <x v="6"/>
    <x v="1"/>
    <n v="0"/>
    <s v="-"/>
    <x v="2"/>
    <x v="1"/>
    <n v="0"/>
  </r>
  <r>
    <n v="12013259"/>
    <d v="2025-04-16T12:13:44"/>
    <s v="NÃO"/>
    <x v="6"/>
    <x v="1"/>
    <s v="Sales Navigator"/>
    <s v="-"/>
    <x v="2"/>
    <x v="1"/>
    <n v="0"/>
  </r>
  <r>
    <n v="12013280"/>
    <d v="2025-04-16T12:16:03"/>
    <s v="NÃO"/>
    <x v="6"/>
    <x v="1"/>
    <s v="Sales Navigator"/>
    <s v="-"/>
    <x v="2"/>
    <x v="1"/>
    <n v="0"/>
  </r>
  <r>
    <n v="11757420"/>
    <d v="2025-03-25T13:35:36"/>
    <s v="NÃO"/>
    <x v="6"/>
    <x v="1"/>
    <s v="Sales Navigator"/>
    <s v="-"/>
    <x v="2"/>
    <x v="1"/>
    <n v="0"/>
  </r>
  <r>
    <n v="11831938"/>
    <d v="2025-03-31T12:01:48"/>
    <s v="NÃO"/>
    <x v="2"/>
    <x v="1"/>
    <s v="Sales Navigator"/>
    <s v="-"/>
    <x v="2"/>
    <x v="1"/>
    <n v="0"/>
  </r>
  <r>
    <n v="11773509"/>
    <d v="2025-03-26T10:41:46"/>
    <s v="NÃO"/>
    <x v="6"/>
    <x v="1"/>
    <s v="Sales Navigator"/>
    <s v="-"/>
    <x v="2"/>
    <x v="1"/>
    <n v="0"/>
  </r>
  <r>
    <n v="12011842"/>
    <d v="2025-04-16T11:06:59"/>
    <s v="NÃO"/>
    <x v="6"/>
    <x v="1"/>
    <s v="Sales Navigator"/>
    <s v="-"/>
    <x v="2"/>
    <x v="1"/>
    <n v="0"/>
  </r>
  <r>
    <n v="11817106"/>
    <d v="2025-03-30T09:21:52"/>
    <s v="NÃO"/>
    <x v="4"/>
    <x v="1"/>
    <s v="Sales Navigator"/>
    <s v="-"/>
    <x v="2"/>
    <x v="1"/>
    <n v="0"/>
  </r>
  <r>
    <n v="11817284"/>
    <d v="2025-03-30T09:38:34"/>
    <s v="NÃO"/>
    <x v="4"/>
    <x v="1"/>
    <s v="Sales Navigator"/>
    <s v="-"/>
    <x v="2"/>
    <x v="1"/>
    <n v="0"/>
  </r>
  <r>
    <n v="11817507"/>
    <d v="2025-03-30T09:44:59"/>
    <s v="NÃO"/>
    <x v="4"/>
    <x v="1"/>
    <s v="Sales Navigator"/>
    <s v="-"/>
    <x v="2"/>
    <x v="1"/>
    <n v="0"/>
  </r>
  <r>
    <n v="11817540"/>
    <d v="2025-03-30T09:48:00"/>
    <s v="NÃO"/>
    <x v="4"/>
    <x v="1"/>
    <s v="Sales Navigator"/>
    <s v="-"/>
    <x v="2"/>
    <x v="1"/>
    <n v="0"/>
  </r>
  <r>
    <n v="11817728"/>
    <d v="2025-03-30T09:55:03"/>
    <s v="NÃO"/>
    <x v="4"/>
    <x v="1"/>
    <s v="Sales Navigator"/>
    <s v="-"/>
    <x v="2"/>
    <x v="1"/>
    <n v="0"/>
  </r>
  <r>
    <n v="11817779"/>
    <d v="2025-03-30T09:58:41"/>
    <s v="NÃO"/>
    <x v="4"/>
    <x v="1"/>
    <s v="Sales Navigator"/>
    <s v="-"/>
    <x v="2"/>
    <x v="1"/>
    <n v="0"/>
  </r>
  <r>
    <n v="11817943"/>
    <d v="2025-03-30T10:09:51"/>
    <s v="NÃO"/>
    <x v="4"/>
    <x v="1"/>
    <s v="Sales Navigator"/>
    <s v="-"/>
    <x v="2"/>
    <x v="1"/>
    <n v="0"/>
  </r>
  <r>
    <n v="11817970"/>
    <d v="2025-03-30T10:12:27"/>
    <s v="NÃO"/>
    <x v="4"/>
    <x v="1"/>
    <s v="Sales Navigator"/>
    <s v="-"/>
    <x v="2"/>
    <x v="1"/>
    <n v="0"/>
  </r>
  <r>
    <n v="11817857"/>
    <d v="2025-03-30T10:03:32"/>
    <s v="NÃO"/>
    <x v="0"/>
    <x v="1"/>
    <s v="Sales Navigator"/>
    <s v="-"/>
    <x v="2"/>
    <x v="1"/>
    <n v="0"/>
  </r>
  <r>
    <n v="10630317"/>
    <d v="2024-12-07T11:16:20"/>
    <s v="NÃO"/>
    <x v="0"/>
    <x v="0"/>
    <n v="0"/>
    <s v="São Paulo - SP"/>
    <x v="1"/>
    <x v="2"/>
    <n v="0"/>
  </r>
  <r>
    <n v="11096675"/>
    <d v="2025-01-24T22:37:59"/>
    <s v="NÃO"/>
    <x v="6"/>
    <x v="0"/>
    <n v="0"/>
    <s v="São Paulo - SP"/>
    <x v="1"/>
    <x v="6"/>
    <n v="0"/>
  </r>
  <r>
    <n v="10697418"/>
    <d v="2024-12-11T14:58:59"/>
    <s v="NÃO"/>
    <x v="4"/>
    <x v="0"/>
    <n v="0"/>
    <s v="Jales - SP"/>
    <x v="0"/>
    <x v="0"/>
    <n v="0"/>
  </r>
  <r>
    <n v="11507173"/>
    <d v="2025-03-02T14:47:49"/>
    <s v="NÃO"/>
    <x v="5"/>
    <x v="0"/>
    <n v="0"/>
    <s v="Santo André - SP"/>
    <x v="0"/>
    <x v="0"/>
    <n v="0"/>
  </r>
  <r>
    <n v="11508459"/>
    <d v="2025-03-02T15:52:07"/>
    <s v="NÃO"/>
    <x v="5"/>
    <x v="0"/>
    <n v="0"/>
    <s v="São Paulo - SP"/>
    <x v="0"/>
    <x v="0"/>
    <n v="0"/>
  </r>
  <r>
    <n v="10583824"/>
    <d v="2024-12-02T07:11:41"/>
    <s v="NÃO"/>
    <x v="2"/>
    <x v="8"/>
    <s v="rep - juliana-gomes"/>
    <s v="Campinas - SP"/>
    <x v="0"/>
    <x v="5"/>
    <n v="0"/>
  </r>
  <r>
    <n v="10873644"/>
    <d v="2025-01-05T10:49:06"/>
    <s v="NÃO"/>
    <x v="6"/>
    <x v="2"/>
    <s v="google - cpc"/>
    <s v="São Paulo - SP"/>
    <x v="4"/>
    <x v="3"/>
    <n v="0"/>
  </r>
  <r>
    <n v="11544104"/>
    <d v="2025-03-05T06:27:10"/>
    <s v="NÃO"/>
    <x v="0"/>
    <x v="4"/>
    <s v="facebook - cpc"/>
    <s v="Guaruja - SP"/>
    <x v="0"/>
    <x v="6"/>
    <n v="0"/>
  </r>
  <r>
    <n v="10596858"/>
    <d v="2024-12-03T09:21:26"/>
    <s v="NÃO"/>
    <x v="0"/>
    <x v="2"/>
    <s v="google - cpc"/>
    <s v="São Paulo - SP"/>
    <x v="0"/>
    <x v="0"/>
    <n v="0"/>
  </r>
  <r>
    <n v="11843144"/>
    <d v="2025-04-01T11:18:47"/>
    <s v="NÃO"/>
    <x v="0"/>
    <x v="2"/>
    <s v="google - cpc"/>
    <s v="São Paulo - SP"/>
    <x v="3"/>
    <x v="2"/>
    <n v="0"/>
  </r>
  <r>
    <n v="11906028"/>
    <d v="2025-04-07T18:51:42"/>
    <s v="NÃO"/>
    <x v="0"/>
    <x v="2"/>
    <s v="google - cpc"/>
    <s v="São Paulo - SP"/>
    <x v="0"/>
    <x v="0"/>
    <n v="0"/>
  </r>
  <r>
    <n v="10973405"/>
    <d v="2025-01-14T09:51:50"/>
    <s v="NÃO"/>
    <x v="4"/>
    <x v="0"/>
    <n v="0"/>
    <s v="São Paulo, SP"/>
    <x v="1"/>
    <x v="1"/>
    <n v="0"/>
  </r>
  <r>
    <n v="11381359"/>
    <d v="2025-02-17T18:01:44"/>
    <s v="NÃO"/>
    <x v="4"/>
    <x v="0"/>
    <n v="0"/>
    <s v="São Paulo, SP"/>
    <x v="1"/>
    <x v="0"/>
    <n v="0"/>
  </r>
  <r>
    <n v="11089424"/>
    <d v="2025-01-22T17:21:47"/>
    <s v="NÃO"/>
    <x v="4"/>
    <x v="0"/>
    <n v="0"/>
    <s v="Niterói - RJ"/>
    <x v="4"/>
    <x v="5"/>
    <n v="0"/>
  </r>
  <r>
    <n v="11378172"/>
    <d v="2025-02-17T14:49:13"/>
    <s v="NÃO"/>
    <x v="4"/>
    <x v="0"/>
    <n v="0"/>
    <s v="São Paulo, SP"/>
    <x v="0"/>
    <x v="4"/>
    <n v="0"/>
  </r>
  <r>
    <n v="10566317"/>
    <d v="2024-12-01T07:41:42"/>
    <s v="NÃO"/>
    <x v="1"/>
    <x v="2"/>
    <s v="google - cpc"/>
    <s v="São Paulo - SP"/>
    <x v="0"/>
    <x v="0"/>
    <n v="0"/>
  </r>
  <r>
    <n v="11238517"/>
    <d v="2025-02-03T14:59:48"/>
    <s v="NÃO"/>
    <x v="8"/>
    <x v="2"/>
    <s v="google - cpc"/>
    <s v="São Paulo - SP"/>
    <x v="4"/>
    <x v="4"/>
    <n v="0"/>
  </r>
  <r>
    <n v="10639628"/>
    <d v="2024-12-07T17:07:44"/>
    <s v="NÃO"/>
    <x v="2"/>
    <x v="12"/>
    <n v="0"/>
    <s v="-"/>
    <x v="2"/>
    <x v="3"/>
    <n v="0"/>
  </r>
  <r>
    <n v="11278708"/>
    <d v="2025-02-08T11:34:21"/>
    <s v="NÃO"/>
    <x v="6"/>
    <x v="0"/>
    <n v="0"/>
    <s v="São Paulo, SP"/>
    <x v="0"/>
    <x v="2"/>
    <n v="0"/>
  </r>
  <r>
    <n v="10831945"/>
    <d v="2024-12-29T14:57:23"/>
    <s v="NÃO"/>
    <x v="7"/>
    <x v="2"/>
    <s v="google - cpc"/>
    <s v="São Paulo - SP"/>
    <x v="3"/>
    <x v="0"/>
    <n v="0"/>
  </r>
  <r>
    <n v="10982578"/>
    <d v="2025-01-14T15:54:14"/>
    <s v="NÃO"/>
    <x v="7"/>
    <x v="0"/>
    <n v="0"/>
    <s v="Rio de Janeiro - RJ"/>
    <x v="3"/>
    <x v="5"/>
    <n v="0"/>
  </r>
  <r>
    <n v="12024523"/>
    <d v="2025-04-18T15:15:33"/>
    <s v="NÃO"/>
    <x v="7"/>
    <x v="2"/>
    <s v="google - cpc"/>
    <s v="São Paulo - SP"/>
    <x v="0"/>
    <x v="0"/>
    <n v="0"/>
  </r>
  <r>
    <n v="10955140"/>
    <d v="2025-01-12T23:56:39"/>
    <s v="NÃO"/>
    <x v="2"/>
    <x v="2"/>
    <s v="google - cpc"/>
    <s v="Santana do Livramento - RS"/>
    <x v="0"/>
    <x v="5"/>
    <n v="0"/>
  </r>
  <r>
    <n v="11693180"/>
    <d v="2025-03-18T17:12:00"/>
    <s v="NÃO"/>
    <x v="2"/>
    <x v="0"/>
    <n v="0"/>
    <s v="São Paulo - SP"/>
    <x v="1"/>
    <x v="5"/>
    <n v="0"/>
  </r>
  <r>
    <n v="10700751"/>
    <d v="2024-12-11T18:08:37"/>
    <s v="NÃO"/>
    <x v="2"/>
    <x v="2"/>
    <s v="google - cpc"/>
    <s v="São Paulo - SP"/>
    <x v="0"/>
    <x v="6"/>
    <n v="0"/>
  </r>
  <r>
    <n v="10741561"/>
    <d v="2024-12-16T11:31:18"/>
    <s v="NÃO"/>
    <x v="8"/>
    <x v="0"/>
    <n v="0"/>
    <s v="São Bernardo do Campo - SP"/>
    <x v="1"/>
    <x v="3"/>
    <n v="0"/>
  </r>
  <r>
    <n v="11063476"/>
    <d v="2025-01-20T18:29:22"/>
    <s v="NÃO"/>
    <x v="8"/>
    <x v="0"/>
    <n v="0"/>
    <s v="São Paulo - SP"/>
    <x v="0"/>
    <x v="3"/>
    <n v="0"/>
  </r>
  <r>
    <n v="11577253"/>
    <d v="2025-03-08T19:06:21"/>
    <s v="NÃO"/>
    <x v="2"/>
    <x v="0"/>
    <n v="0"/>
    <s v="São Paulo - SP"/>
    <x v="0"/>
    <x v="2"/>
    <n v="0"/>
  </r>
  <r>
    <n v="11603854"/>
    <d v="2025-03-10T16:20:23"/>
    <s v="NÃO"/>
    <x v="2"/>
    <x v="0"/>
    <n v="0"/>
    <s v="São Paulo - SP"/>
    <x v="1"/>
    <x v="5"/>
    <n v="0"/>
  </r>
  <r>
    <n v="10749012"/>
    <d v="2024-12-16T17:28:34"/>
    <s v="NÃO"/>
    <x v="3"/>
    <x v="0"/>
    <n v="0"/>
    <s v="-"/>
    <x v="4"/>
    <x v="6"/>
    <n v="0"/>
  </r>
  <r>
    <n v="11559327"/>
    <d v="2025-03-06T17:04:25"/>
    <s v="NÃO"/>
    <x v="8"/>
    <x v="4"/>
    <s v="facebook - cpc"/>
    <s v="São Paulo - SP"/>
    <x v="5"/>
    <x v="6"/>
    <n v="0"/>
  </r>
  <r>
    <n v="11361839"/>
    <d v="2025-02-16T10:27:55"/>
    <s v="NÃO"/>
    <x v="8"/>
    <x v="2"/>
    <s v="google - cpc"/>
    <s v="São Paulo - SP"/>
    <x v="1"/>
    <x v="0"/>
    <n v="0"/>
  </r>
  <r>
    <n v="10681703"/>
    <d v="2024-12-10T11:31:01"/>
    <s v="NÃO"/>
    <x v="8"/>
    <x v="6"/>
    <s v="bing - cpc"/>
    <s v="São Paulo - SP"/>
    <x v="0"/>
    <x v="2"/>
    <n v="0"/>
  </r>
  <r>
    <n v="11552018"/>
    <d v="2025-03-05T12:54:47"/>
    <s v="NÃO"/>
    <x v="3"/>
    <x v="4"/>
    <s v="facebook - cpc"/>
    <s v="São Paulo - SP"/>
    <x v="3"/>
    <x v="6"/>
    <n v="0"/>
  </r>
  <r>
    <n v="11557819"/>
    <d v="2025-03-05T23:28:48"/>
    <s v="NÃO"/>
    <x v="4"/>
    <x v="4"/>
    <s v="facebook - cpc"/>
    <s v="Guarulhos - SP"/>
    <x v="0"/>
    <x v="2"/>
    <n v="0"/>
  </r>
  <r>
    <n v="11456879"/>
    <d v="2025-02-25T09:49:49"/>
    <s v="NÃO"/>
    <x v="4"/>
    <x v="2"/>
    <s v="google - cpc"/>
    <s v="São Paulo - SP"/>
    <x v="0"/>
    <x v="0"/>
    <n v="0"/>
  </r>
  <r>
    <n v="11354531"/>
    <d v="2025-02-15T14:21:26"/>
    <s v="NÃO"/>
    <x v="3"/>
    <x v="0"/>
    <n v="0"/>
    <s v="São Paulo - SP"/>
    <x v="1"/>
    <x v="2"/>
    <n v="0"/>
  </r>
  <r>
    <n v="11451537"/>
    <d v="2025-02-24T17:04:35"/>
    <s v="NÃO"/>
    <x v="3"/>
    <x v="10"/>
    <s v="email - economapas"/>
    <s v="São Paulo, SP"/>
    <x v="4"/>
    <x v="3"/>
    <n v="0"/>
  </r>
  <r>
    <n v="11604211"/>
    <d v="2025-03-10T16:54:59"/>
    <s v="NÃO"/>
    <x v="3"/>
    <x v="9"/>
    <s v="leads - email"/>
    <s v="São Paulo - SP"/>
    <x v="0"/>
    <x v="6"/>
    <n v="0"/>
  </r>
  <r>
    <n v="11358865"/>
    <d v="2025-02-16T00:10:55"/>
    <s v="NÃO"/>
    <x v="3"/>
    <x v="4"/>
    <s v="facebook - cpc"/>
    <s v="Diadema - SP"/>
    <x v="1"/>
    <x v="6"/>
    <n v="0"/>
  </r>
  <r>
    <n v="11629274"/>
    <d v="2025-03-12T17:18:17"/>
    <s v="NÃO"/>
    <x v="2"/>
    <x v="2"/>
    <s v="google - cpc"/>
    <s v="São Carlos - SP"/>
    <x v="0"/>
    <x v="5"/>
    <n v="0"/>
  </r>
  <r>
    <n v="10626886"/>
    <d v="2024-12-07T09:52:05"/>
    <s v="NÃO"/>
    <x v="1"/>
    <x v="0"/>
    <n v="0"/>
    <s v="-"/>
    <x v="0"/>
    <x v="6"/>
    <n v="0"/>
  </r>
  <r>
    <n v="11573016"/>
    <d v="2025-03-08T15:54:13"/>
    <s v="NÃO"/>
    <x v="3"/>
    <x v="0"/>
    <n v="0"/>
    <s v="Ribeirão Preto - SP"/>
    <x v="4"/>
    <x v="4"/>
    <n v="0"/>
  </r>
  <r>
    <n v="11705265"/>
    <d v="2025-03-19T20:27:11"/>
    <s v="NÃO"/>
    <x v="7"/>
    <x v="2"/>
    <s v="google - cpc"/>
    <s v="São Paulo - SP"/>
    <x v="3"/>
    <x v="5"/>
    <n v="0"/>
  </r>
  <r>
    <n v="10700341"/>
    <d v="2024-12-11T17:32:22"/>
    <s v="NÃO"/>
    <x v="2"/>
    <x v="2"/>
    <s v="google - cpc"/>
    <s v="São Caetano do Sul - SP"/>
    <x v="1"/>
    <x v="2"/>
    <n v="0"/>
  </r>
  <r>
    <n v="11899897"/>
    <d v="2025-04-07T13:43:43"/>
    <s v="NÃO"/>
    <x v="8"/>
    <x v="2"/>
    <s v="google - cpc"/>
    <s v="São Luís - MA"/>
    <x v="3"/>
    <x v="4"/>
    <n v="0"/>
  </r>
  <r>
    <n v="10691985"/>
    <d v="2024-12-11T07:44:26"/>
    <s v="NÃO"/>
    <x v="4"/>
    <x v="2"/>
    <s v="google - cpc"/>
    <s v="São Paulo - SP"/>
    <x v="0"/>
    <x v="0"/>
    <n v="0"/>
  </r>
  <r>
    <n v="11543442"/>
    <d v="2025-03-04T21:57:09"/>
    <s v="NÃO"/>
    <x v="4"/>
    <x v="4"/>
    <s v="facebook - cpc"/>
    <s v="São José dos Campos - SP"/>
    <x v="3"/>
    <x v="6"/>
    <n v="0"/>
  </r>
  <r>
    <n v="11497559"/>
    <d v="2025-03-01T17:22:02"/>
    <s v="NÃO"/>
    <x v="5"/>
    <x v="0"/>
    <n v="0"/>
    <s v="Rio Preto - SP"/>
    <x v="3"/>
    <x v="0"/>
    <n v="0"/>
  </r>
  <r>
    <n v="11393874"/>
    <d v="2025-02-18T17:29:47"/>
    <s v="NÃO"/>
    <x v="5"/>
    <x v="2"/>
    <s v="google - cpc"/>
    <s v="Rio Preto - SP"/>
    <x v="3"/>
    <x v="0"/>
    <n v="0"/>
  </r>
  <r>
    <n v="10808173"/>
    <d v="2024-12-23T12:17:04"/>
    <s v="NÃO"/>
    <x v="5"/>
    <x v="2"/>
    <s v="google - cpc"/>
    <s v="Colatina - ES"/>
    <x v="4"/>
    <x v="0"/>
    <n v="0"/>
  </r>
  <r>
    <n v="10918335"/>
    <d v="2025-01-08T16:53:19"/>
    <s v="NÃO"/>
    <x v="6"/>
    <x v="0"/>
    <n v="0"/>
    <s v="Rio Preto - SP"/>
    <x v="4"/>
    <x v="2"/>
    <n v="0"/>
  </r>
  <r>
    <n v="11558932"/>
    <d v="2025-03-06T12:56:13"/>
    <s v="NÃO"/>
    <x v="3"/>
    <x v="0"/>
    <n v="0"/>
    <s v="Santos - SP"/>
    <x v="0"/>
    <x v="3"/>
    <n v="0"/>
  </r>
  <r>
    <n v="11634655"/>
    <d v="2025-03-14T14:33:24"/>
    <s v="NÃO"/>
    <x v="4"/>
    <x v="2"/>
    <s v="google - cpc"/>
    <s v="São Paulo - SP"/>
    <x v="3"/>
    <x v="3"/>
    <n v="0"/>
  </r>
  <r>
    <n v="11606409"/>
    <d v="2025-03-10T18:30:33"/>
    <s v="NÃO"/>
    <x v="4"/>
    <x v="2"/>
    <s v="google - cpc"/>
    <s v="São Carlos - SP"/>
    <x v="0"/>
    <x v="3"/>
    <n v="0"/>
  </r>
  <r>
    <n v="10800533"/>
    <d v="2024-12-22T14:53:28"/>
    <s v="NÃO"/>
    <x v="4"/>
    <x v="2"/>
    <s v="google - cpc"/>
    <s v="São Paulo - SP"/>
    <x v="0"/>
    <x v="6"/>
    <n v="0"/>
  </r>
  <r>
    <n v="11419977"/>
    <d v="2025-02-22T13:15:53"/>
    <s v="NÃO"/>
    <x v="4"/>
    <x v="0"/>
    <n v="0"/>
    <s v="Itabaiana - PB"/>
    <x v="0"/>
    <x v="2"/>
    <n v="0"/>
  </r>
  <r>
    <n v="11686300"/>
    <d v="2025-03-18T11:38:16"/>
    <s v="NÃO"/>
    <x v="4"/>
    <x v="0"/>
    <n v="0"/>
    <s v="São Paulo - SP"/>
    <x v="0"/>
    <x v="6"/>
    <n v="0"/>
  </r>
  <r>
    <n v="11720665"/>
    <d v="2025-03-22T15:07:30"/>
    <s v="NÃO"/>
    <x v="3"/>
    <x v="2"/>
    <s v="google - cpc"/>
    <s v="São Paulo - SP"/>
    <x v="1"/>
    <x v="2"/>
    <n v="0"/>
  </r>
  <r>
    <n v="11016916"/>
    <d v="2025-01-18T10:19:53"/>
    <s v="NÃO"/>
    <x v="3"/>
    <x v="2"/>
    <s v="google - cpc"/>
    <s v="Curitiba - PR"/>
    <x v="0"/>
    <x v="6"/>
    <n v="0"/>
  </r>
  <r>
    <n v="10750150"/>
    <d v="2024-12-16T20:16:43"/>
    <s v="NÃO"/>
    <x v="4"/>
    <x v="8"/>
    <s v="rep - ximena-cubillos"/>
    <s v="São Paulo - SP"/>
    <x v="0"/>
    <x v="3"/>
    <n v="0"/>
  </r>
  <r>
    <n v="10884778"/>
    <d v="2025-01-06T10:21:50"/>
    <s v="NÃO"/>
    <x v="5"/>
    <x v="2"/>
    <s v="google - cpc"/>
    <s v="Taubate - SP"/>
    <x v="3"/>
    <x v="0"/>
    <n v="0"/>
  </r>
  <r>
    <n v="10939883"/>
    <d v="2025-01-12T08:25:33"/>
    <s v="NÃO"/>
    <x v="3"/>
    <x v="2"/>
    <s v="google - cpc"/>
    <s v="Sorocaba - SP"/>
    <x v="3"/>
    <x v="3"/>
    <n v="0"/>
  </r>
  <r>
    <n v="11424189"/>
    <d v="2025-02-22T17:05:44"/>
    <s v="NÃO"/>
    <x v="8"/>
    <x v="0"/>
    <n v="0"/>
    <s v="Campinas - SP"/>
    <x v="4"/>
    <x v="0"/>
    <n v="0"/>
  </r>
  <r>
    <n v="10699973"/>
    <d v="2024-12-11T17:00:22"/>
    <s v="NÃO"/>
    <x v="4"/>
    <x v="2"/>
    <s v="google - cpc"/>
    <s v="Tatuí - SP"/>
    <x v="4"/>
    <x v="0"/>
    <n v="0"/>
  </r>
  <r>
    <n v="10782637"/>
    <d v="2024-12-20T22:38:41"/>
    <s v="NÃO"/>
    <x v="0"/>
    <x v="0"/>
    <n v="0"/>
    <s v="Sorocaba - SP"/>
    <x v="3"/>
    <x v="0"/>
    <n v="0"/>
  </r>
  <r>
    <n v="10623536"/>
    <d v="2024-12-06T13:40:30"/>
    <s v="NÃO"/>
    <x v="6"/>
    <x v="0"/>
    <n v="0"/>
    <s v="Uberlândia - MG"/>
    <x v="0"/>
    <x v="2"/>
    <n v="0"/>
  </r>
  <r>
    <n v="11580101"/>
    <d v="2025-03-09T08:40:02"/>
    <s v="NÃO"/>
    <x v="0"/>
    <x v="4"/>
    <s v="facebook - cpc"/>
    <s v="Guarulhos - SP"/>
    <x v="0"/>
    <x v="2"/>
    <n v="0"/>
  </r>
  <r>
    <n v="11205931"/>
    <d v="2025-02-01T12:51:02"/>
    <s v="NÃO"/>
    <x v="4"/>
    <x v="0"/>
    <n v="0"/>
    <s v="Palmas - TO"/>
    <x v="3"/>
    <x v="2"/>
    <n v="0"/>
  </r>
  <r>
    <n v="11379021"/>
    <d v="2025-02-17T15:35:07"/>
    <s v="NÃO"/>
    <x v="0"/>
    <x v="4"/>
    <s v="facebook - cpc"/>
    <s v="Juiz de Fora - MG"/>
    <x v="0"/>
    <x v="0"/>
    <n v="0"/>
  </r>
  <r>
    <n v="11229198"/>
    <d v="2025-02-02T19:11:30"/>
    <s v="NÃO"/>
    <x v="0"/>
    <x v="0"/>
    <n v="0"/>
    <s v="Limeira - SP"/>
    <x v="1"/>
    <x v="2"/>
    <n v="0"/>
  </r>
  <r>
    <n v="11792213"/>
    <d v="2025-03-29T05:28:44"/>
    <s v="NÃO"/>
    <x v="6"/>
    <x v="2"/>
    <s v="google - cpc"/>
    <s v="Sorocaba - SP"/>
    <x v="5"/>
    <x v="4"/>
    <n v="0"/>
  </r>
  <r>
    <n v="11405987"/>
    <d v="2025-02-19T23:48:37"/>
    <s v="NÃO"/>
    <x v="4"/>
    <x v="4"/>
    <s v="facebook - cpc"/>
    <s v="São Paulo - SP"/>
    <x v="3"/>
    <x v="2"/>
    <n v="0"/>
  </r>
  <r>
    <n v="10714472"/>
    <d v="2024-12-14T13:11:59"/>
    <s v="NÃO"/>
    <x v="3"/>
    <x v="0"/>
    <n v="0"/>
    <s v="-"/>
    <x v="0"/>
    <x v="6"/>
    <n v="0"/>
  </r>
  <r>
    <n v="10921075"/>
    <d v="2025-01-09T15:19:31"/>
    <s v="NÃO"/>
    <x v="3"/>
    <x v="2"/>
    <s v="google - cpc"/>
    <s v="Duque de Caxias - RJ"/>
    <x v="0"/>
    <x v="3"/>
    <n v="0"/>
  </r>
  <r>
    <n v="10596750"/>
    <d v="2024-12-03T09:08:54"/>
    <s v="NÃO"/>
    <x v="1"/>
    <x v="6"/>
    <s v="bing - cpc"/>
    <s v="Porto Ferreira - SP"/>
    <x v="1"/>
    <x v="2"/>
    <n v="0"/>
  </r>
  <r>
    <n v="10932494"/>
    <d v="2025-01-11T12:47:43"/>
    <s v="NÃO"/>
    <x v="6"/>
    <x v="2"/>
    <s v="google - cpc"/>
    <s v="Sao Vicente - SP"/>
    <x v="1"/>
    <x v="3"/>
    <n v="0"/>
  </r>
  <r>
    <n v="11611681"/>
    <d v="2025-03-11T11:54:52"/>
    <s v="NÃO"/>
    <x v="0"/>
    <x v="2"/>
    <s v="google - cpc"/>
    <s v="Ribeirão Preto - SP"/>
    <x v="0"/>
    <x v="2"/>
    <n v="0"/>
  </r>
  <r>
    <n v="11131503"/>
    <d v="2025-01-27T10:43:51"/>
    <s v="NÃO"/>
    <x v="2"/>
    <x v="6"/>
    <s v="bing - cpc"/>
    <s v="São Paulo - SP"/>
    <x v="0"/>
    <x v="6"/>
    <n v="0"/>
  </r>
  <r>
    <n v="10923434"/>
    <d v="2025-01-10T18:32:27"/>
    <s v="NÃO"/>
    <x v="7"/>
    <x v="0"/>
    <n v="0"/>
    <s v="São Bernardo do Campo - SP"/>
    <x v="3"/>
    <x v="0"/>
    <n v="0"/>
  </r>
  <r>
    <n v="12025086"/>
    <d v="2025-04-18T19:17:41"/>
    <s v="NÃO"/>
    <x v="7"/>
    <x v="0"/>
    <n v="0"/>
    <s v="Santo André - SP"/>
    <x v="3"/>
    <x v="5"/>
    <n v="0"/>
  </r>
  <r>
    <n v="10800572"/>
    <d v="2024-12-22T14:56:10"/>
    <s v="NÃO"/>
    <x v="0"/>
    <x v="10"/>
    <s v="email - economapas"/>
    <s v="São Paulo, SP"/>
    <x v="0"/>
    <x v="0"/>
    <n v="0"/>
  </r>
  <r>
    <n v="11067209"/>
    <d v="2025-01-21T09:53:29"/>
    <s v="NÃO"/>
    <x v="5"/>
    <x v="0"/>
    <n v="0"/>
    <s v="Santos - SP"/>
    <x v="1"/>
    <x v="0"/>
    <n v="0"/>
  </r>
  <r>
    <n v="10848984"/>
    <d v="2025-01-01T14:21:26"/>
    <s v="NÃO"/>
    <x v="7"/>
    <x v="0"/>
    <n v="0"/>
    <s v="Ribeirão Preto - SP"/>
    <x v="3"/>
    <x v="0"/>
    <n v="0"/>
  </r>
  <r>
    <n v="10893550"/>
    <d v="2025-01-06T19:55:29"/>
    <s v="NÃO"/>
    <x v="7"/>
    <x v="0"/>
    <n v="0"/>
    <s v="Ribeirão Preto - SP"/>
    <x v="3"/>
    <x v="0"/>
    <n v="0"/>
  </r>
  <r>
    <n v="10824528"/>
    <d v="2024-12-28T15:22:21"/>
    <s v="NÃO"/>
    <x v="4"/>
    <x v="0"/>
    <n v="0"/>
    <s v="Rio Preto - SP"/>
    <x v="0"/>
    <x v="0"/>
    <n v="0"/>
  </r>
  <r>
    <n v="11593009"/>
    <d v="2025-03-09T23:03:15"/>
    <s v="NÃO"/>
    <x v="8"/>
    <x v="7"/>
    <s v="instagram - social"/>
    <s v="Ribeirão Preto - SP"/>
    <x v="0"/>
    <x v="4"/>
    <n v="0"/>
  </r>
  <r>
    <n v="10623079"/>
    <d v="2024-12-06T09:59:33"/>
    <s v="NÃO"/>
    <x v="0"/>
    <x v="2"/>
    <s v="google - cpc"/>
    <s v="Olimpia - SP"/>
    <x v="1"/>
    <x v="2"/>
    <n v="0"/>
  </r>
  <r>
    <n v="10595345"/>
    <d v="2024-12-02T21:56:30"/>
    <s v="NÃO"/>
    <x v="7"/>
    <x v="2"/>
    <s v="google - cpc"/>
    <s v="São Paulo - SP"/>
    <x v="0"/>
    <x v="6"/>
    <n v="0"/>
  </r>
  <r>
    <n v="11847311"/>
    <d v="2025-04-01T15:31:03"/>
    <s v="NÃO"/>
    <x v="5"/>
    <x v="2"/>
    <s v="google - cpc"/>
    <s v="Lencois Paulista - SP"/>
    <x v="0"/>
    <x v="0"/>
    <n v="0"/>
  </r>
  <r>
    <n v="10583012"/>
    <d v="2024-12-01T20:31:11"/>
    <s v="NÃO"/>
    <x v="1"/>
    <x v="2"/>
    <s v="google - cpc"/>
    <s v="Caragua - SP"/>
    <x v="0"/>
    <x v="0"/>
    <n v="0"/>
  </r>
  <r>
    <n v="11402457"/>
    <d v="2025-02-19T14:47:21"/>
    <s v="NÃO"/>
    <x v="6"/>
    <x v="0"/>
    <n v="0"/>
    <s v="São Paulo - SP"/>
    <x v="0"/>
    <x v="4"/>
    <n v="0"/>
  </r>
  <r>
    <n v="11561180"/>
    <d v="2025-03-07T14:37:18"/>
    <s v="NÃO"/>
    <x v="2"/>
    <x v="4"/>
    <s v="facebook - cpc"/>
    <s v="Ourinhos - SP"/>
    <x v="3"/>
    <x v="0"/>
    <n v="0"/>
  </r>
  <r>
    <n v="10827980"/>
    <d v="2024-12-28T23:27:31"/>
    <s v="NÃO"/>
    <x v="0"/>
    <x v="2"/>
    <s v="google - cpc"/>
    <s v="Borborema - SP"/>
    <x v="4"/>
    <x v="6"/>
    <n v="0"/>
  </r>
  <r>
    <n v="11348270"/>
    <d v="2025-02-14T23:20:02"/>
    <s v="NÃO"/>
    <x v="4"/>
    <x v="2"/>
    <s v="google - cpc"/>
    <s v="Marília - SP"/>
    <x v="3"/>
    <x v="0"/>
    <n v="0"/>
  </r>
  <r>
    <n v="10940809"/>
    <d v="2025-01-12T09:45:21"/>
    <s v="NÃO"/>
    <x v="3"/>
    <x v="0"/>
    <n v="0"/>
    <s v="Ferraz de Vasconcelos - SP"/>
    <x v="4"/>
    <x v="0"/>
    <n v="0"/>
  </r>
  <r>
    <n v="11193291"/>
    <d v="2025-01-29T20:24:31"/>
    <s v="NÃO"/>
    <x v="6"/>
    <x v="6"/>
    <s v="bing - cpc"/>
    <s v="Piracicaba - SP"/>
    <x v="1"/>
    <x v="0"/>
    <n v="0"/>
  </r>
  <r>
    <n v="11668093"/>
    <d v="2025-03-17T10:23:34"/>
    <s v="NÃO"/>
    <x v="6"/>
    <x v="2"/>
    <s v="google - cpc"/>
    <s v="São Paulo - SP"/>
    <x v="1"/>
    <x v="5"/>
    <n v="0"/>
  </r>
  <r>
    <n v="10658821"/>
    <d v="2024-12-09T09:09:20"/>
    <s v="NÃO"/>
    <x v="7"/>
    <x v="0"/>
    <n v="0"/>
    <s v="Sorocaba - SP"/>
    <x v="3"/>
    <x v="5"/>
    <n v="0"/>
  </r>
  <r>
    <n v="11434027"/>
    <d v="2025-02-23T14:22:44"/>
    <s v="NÃO"/>
    <x v="6"/>
    <x v="0"/>
    <n v="0"/>
    <s v="Itú, SP"/>
    <x v="6"/>
    <x v="3"/>
    <n v="0"/>
  </r>
  <r>
    <n v="10795841"/>
    <d v="2024-12-22T09:42:37"/>
    <s v="NÃO"/>
    <x v="5"/>
    <x v="2"/>
    <s v="google - cpc"/>
    <s v="Poços de Caldas - MG"/>
    <x v="1"/>
    <x v="6"/>
    <n v="0"/>
  </r>
  <r>
    <n v="11831921"/>
    <d v="2025-03-31T11:59:34"/>
    <s v="NÃO"/>
    <x v="6"/>
    <x v="2"/>
    <s v="google - cpc"/>
    <s v="São Paulo - SP"/>
    <x v="0"/>
    <x v="4"/>
    <n v="0"/>
  </r>
  <r>
    <n v="11425056"/>
    <d v="2025-02-22T18:14:44"/>
    <s v="NÃO"/>
    <x v="4"/>
    <x v="2"/>
    <s v="google - cpc"/>
    <s v="Itai - SP"/>
    <x v="0"/>
    <x v="5"/>
    <n v="0"/>
  </r>
  <r>
    <n v="11416829"/>
    <d v="2025-02-22T11:07:13"/>
    <s v="NÃO"/>
    <x v="8"/>
    <x v="9"/>
    <s v="leads - email"/>
    <s v="Mongagua - SP"/>
    <x v="3"/>
    <x v="4"/>
    <n v="0"/>
  </r>
  <r>
    <n v="10730410"/>
    <d v="2024-12-15T13:36:41"/>
    <s v="NÃO"/>
    <x v="6"/>
    <x v="6"/>
    <s v="bing - cpc"/>
    <s v="São Paulo - SP"/>
    <x v="4"/>
    <x v="3"/>
    <n v="0"/>
  </r>
  <r>
    <n v="11252877"/>
    <d v="2025-02-04T17:29:40"/>
    <s v="NÃO"/>
    <x v="8"/>
    <x v="0"/>
    <n v="0"/>
    <s v="-"/>
    <x v="0"/>
    <x v="1"/>
    <n v="0"/>
  </r>
  <r>
    <n v="11879790"/>
    <d v="2025-04-06T11:37:31"/>
    <s v="NÃO"/>
    <x v="2"/>
    <x v="2"/>
    <s v="google - cpc"/>
    <s v="São Paulo - SP"/>
    <x v="3"/>
    <x v="0"/>
    <n v="0"/>
  </r>
  <r>
    <n v="11702139"/>
    <d v="2025-03-19T16:15:31"/>
    <s v="NÃO"/>
    <x v="4"/>
    <x v="2"/>
    <s v="google - cpc"/>
    <s v="Itatiba - SP"/>
    <x v="0"/>
    <x v="3"/>
    <n v="0"/>
  </r>
  <r>
    <n v="11271339"/>
    <d v="2025-02-07T10:56:33"/>
    <s v="NÃO"/>
    <x v="4"/>
    <x v="0"/>
    <n v="0"/>
    <s v="Itatiba - SP"/>
    <x v="3"/>
    <x v="0"/>
    <n v="0"/>
  </r>
  <r>
    <n v="10861677"/>
    <d v="2025-01-04T14:04:48"/>
    <s v="NÃO"/>
    <x v="4"/>
    <x v="2"/>
    <s v="google - cpc"/>
    <s v="São Paulo - SP"/>
    <x v="1"/>
    <x v="6"/>
    <n v="0"/>
  </r>
  <r>
    <n v="11027461"/>
    <d v="2025-01-18T17:45:54"/>
    <s v="NÃO"/>
    <x v="7"/>
    <x v="0"/>
    <n v="0"/>
    <s v="Florianópolis - SC"/>
    <x v="1"/>
    <x v="2"/>
    <n v="0"/>
  </r>
  <r>
    <n v="11197293"/>
    <d v="2025-01-31T14:14:15"/>
    <s v="NÃO"/>
    <x v="7"/>
    <x v="0"/>
    <n v="0"/>
    <s v="Florianópolis - SC"/>
    <x v="3"/>
    <x v="0"/>
    <n v="0"/>
  </r>
  <r>
    <n v="11723155"/>
    <d v="2025-03-22T16:38:32"/>
    <s v="NÃO"/>
    <x v="5"/>
    <x v="2"/>
    <n v="0"/>
    <s v="Florianópolis - SC"/>
    <x v="4"/>
    <x v="0"/>
    <n v="0"/>
  </r>
  <r>
    <n v="11406903"/>
    <d v="2025-02-20T10:42:42"/>
    <s v="NÃO"/>
    <x v="8"/>
    <x v="4"/>
    <s v="facebook - cpc"/>
    <s v="Corrego Grande - SC"/>
    <x v="0"/>
    <x v="2"/>
    <n v="0"/>
  </r>
  <r>
    <n v="10829028"/>
    <d v="2024-12-29T09:28:55"/>
    <s v="NÃO"/>
    <x v="4"/>
    <x v="2"/>
    <s v="google - cpc"/>
    <s v="Aracaju - SE"/>
    <x v="0"/>
    <x v="0"/>
    <n v="0"/>
  </r>
  <r>
    <n v="11606762"/>
    <d v="2025-03-10T20:23:53"/>
    <s v="NÃO"/>
    <x v="4"/>
    <x v="7"/>
    <s v="instagram - social"/>
    <s v="Osasco - SP"/>
    <x v="0"/>
    <x v="6"/>
    <n v="0"/>
  </r>
  <r>
    <n v="11068661"/>
    <d v="2025-01-21T11:24:45"/>
    <s v="NÃO"/>
    <x v="6"/>
    <x v="8"/>
    <s v="rep - ximena-cubillos"/>
    <s v="São Paulo, SP"/>
    <x v="1"/>
    <x v="3"/>
    <n v="0"/>
  </r>
  <r>
    <n v="11433631"/>
    <d v="2025-02-23T14:04:12"/>
    <s v="NÃO"/>
    <x v="5"/>
    <x v="0"/>
    <n v="0"/>
    <s v="São Paulo, SP"/>
    <x v="4"/>
    <x v="0"/>
    <n v="0"/>
  </r>
  <r>
    <n v="10596002"/>
    <d v="2024-12-03T07:49:22"/>
    <s v="NÃO"/>
    <x v="1"/>
    <x v="0"/>
    <n v="0"/>
    <s v="São Paulo - SP"/>
    <x v="3"/>
    <x v="4"/>
    <n v="0"/>
  </r>
  <r>
    <n v="10876950"/>
    <d v="2025-01-05T14:54:27"/>
    <s v="NÃO"/>
    <x v="3"/>
    <x v="10"/>
    <s v="email - economapas"/>
    <s v="São Paulo, SP"/>
    <x v="1"/>
    <x v="6"/>
    <n v="0"/>
  </r>
  <r>
    <n v="10882580"/>
    <d v="2025-01-06T08:34:09"/>
    <s v="NÃO"/>
    <x v="4"/>
    <x v="2"/>
    <s v="google - cpc"/>
    <s v="Campinas - SP"/>
    <x v="4"/>
    <x v="6"/>
    <n v="0"/>
  </r>
  <r>
    <n v="10938307"/>
    <d v="2025-01-11T18:22:56"/>
    <s v="NÃO"/>
    <x v="2"/>
    <x v="2"/>
    <s v="google - cpc"/>
    <s v="Campinas - SP"/>
    <x v="0"/>
    <x v="0"/>
    <n v="0"/>
  </r>
  <r>
    <n v="11559384"/>
    <d v="2025-03-06T17:40:02"/>
    <s v="NÃO"/>
    <x v="2"/>
    <x v="0"/>
    <n v="0"/>
    <s v="São Paulo - SP"/>
    <x v="0"/>
    <x v="2"/>
    <n v="0"/>
  </r>
  <r>
    <n v="11539094"/>
    <d v="2025-03-04T15:59:57"/>
    <s v="NÃO"/>
    <x v="4"/>
    <x v="6"/>
    <s v="bing - cpc"/>
    <s v="Indaiatuba - SP"/>
    <x v="1"/>
    <x v="2"/>
    <n v="0"/>
  </r>
  <r>
    <n v="11505536"/>
    <d v="2025-03-02T12:27:23"/>
    <s v="NÃO"/>
    <x v="8"/>
    <x v="0"/>
    <n v="0"/>
    <s v="São Paulo - SP"/>
    <x v="4"/>
    <x v="0"/>
    <n v="0"/>
  </r>
  <r>
    <n v="10770176"/>
    <d v="2024-12-18T10:14:05"/>
    <s v="NÃO"/>
    <x v="0"/>
    <x v="10"/>
    <s v="email - economapas"/>
    <s v="Diadema, SP"/>
    <x v="4"/>
    <x v="1"/>
    <n v="0"/>
  </r>
  <r>
    <n v="11385847"/>
    <d v="2025-02-18T10:45:13"/>
    <s v="NÃO"/>
    <x v="0"/>
    <x v="4"/>
    <s v="facebook - cpc"/>
    <s v="São Paulo - SP"/>
    <x v="0"/>
    <x v="6"/>
    <n v="0"/>
  </r>
  <r>
    <n v="11553893"/>
    <d v="2025-03-05T14:35:33"/>
    <s v="NÃO"/>
    <x v="6"/>
    <x v="0"/>
    <n v="0"/>
    <s v="São Paulo - SP"/>
    <x v="4"/>
    <x v="0"/>
    <n v="0"/>
  </r>
  <r>
    <n v="11905344"/>
    <d v="2025-04-07T18:18:32"/>
    <s v="NÃO"/>
    <x v="4"/>
    <x v="10"/>
    <s v="email - economapas"/>
    <s v="Praia Grande - SP"/>
    <x v="1"/>
    <x v="2"/>
    <n v="0"/>
  </r>
  <r>
    <n v="11570421"/>
    <d v="2025-03-08T14:11:53"/>
    <s v="NÃO"/>
    <x v="2"/>
    <x v="0"/>
    <n v="0"/>
    <s v="São Paulo, SP"/>
    <x v="0"/>
    <x v="6"/>
    <n v="0"/>
  </r>
  <r>
    <n v="11007572"/>
    <d v="2025-01-15T21:42:35"/>
    <s v="NÃO"/>
    <x v="4"/>
    <x v="2"/>
    <s v="google - cpc"/>
    <s v="Guarulhos - SP"/>
    <x v="1"/>
    <x v="2"/>
    <n v="0"/>
  </r>
  <r>
    <n v="10857291"/>
    <d v="2025-01-04T10:25:08"/>
    <s v="NÃO"/>
    <x v="6"/>
    <x v="0"/>
    <n v="0"/>
    <s v="Guarulhos -SP"/>
    <x v="4"/>
    <x v="3"/>
    <n v="0"/>
  </r>
  <r>
    <n v="11600361"/>
    <d v="2025-03-10T13:13:21"/>
    <s v="NÃO"/>
    <x v="7"/>
    <x v="0"/>
    <n v="0"/>
    <s v="São Paulo - SP"/>
    <x v="0"/>
    <x v="2"/>
    <n v="0"/>
  </r>
  <r>
    <n v="10588433"/>
    <d v="2024-12-02T11:45:39"/>
    <s v="NÃO"/>
    <x v="0"/>
    <x v="0"/>
    <n v="0"/>
    <s v="-"/>
    <x v="0"/>
    <x v="3"/>
    <n v="0"/>
  </r>
  <r>
    <n v="10609110"/>
    <d v="2024-12-03T18:58:50"/>
    <s v="NÃO"/>
    <x v="0"/>
    <x v="2"/>
    <s v="google - cpc"/>
    <s v="Osasco - SP"/>
    <x v="1"/>
    <x v="3"/>
    <n v="0"/>
  </r>
  <r>
    <n v="11457922"/>
    <d v="2025-02-25T10:49:53"/>
    <s v="NÃO"/>
    <x v="8"/>
    <x v="0"/>
    <n v="0"/>
    <s v="Charqueada - SP"/>
    <x v="1"/>
    <x v="2"/>
    <n v="0"/>
  </r>
  <r>
    <n v="11405888"/>
    <d v="2025-02-19T22:54:58"/>
    <s v="NÃO"/>
    <x v="7"/>
    <x v="4"/>
    <s v="facebook - cpc"/>
    <s v="Sao Goncalo - RJ"/>
    <x v="3"/>
    <x v="3"/>
    <n v="0"/>
  </r>
  <r>
    <n v="11600276"/>
    <d v="2025-03-10T13:04:46"/>
    <s v="NÃO"/>
    <x v="3"/>
    <x v="0"/>
    <n v="0"/>
    <s v="Rio de Janeiro - RJ"/>
    <x v="1"/>
    <x v="6"/>
    <n v="0"/>
  </r>
  <r>
    <n v="10704692"/>
    <d v="2024-12-13T08:27:00"/>
    <s v="NÃO"/>
    <x v="8"/>
    <x v="8"/>
    <s v="rep - juliana-gomes"/>
    <s v="Baia Formosa - RN"/>
    <x v="0"/>
    <x v="2"/>
    <n v="0"/>
  </r>
  <r>
    <n v="10638715"/>
    <d v="2024-12-07T16:18:59"/>
    <s v="NÃO"/>
    <x v="5"/>
    <x v="2"/>
    <s v="google - cpc"/>
    <s v="Natal - RN"/>
    <x v="4"/>
    <x v="0"/>
    <n v="0"/>
  </r>
  <r>
    <n v="10793286"/>
    <d v="2024-12-21T17:52:02"/>
    <s v="NÃO"/>
    <x v="4"/>
    <x v="2"/>
    <s v="google - cpc"/>
    <s v="Araruama - RJ"/>
    <x v="0"/>
    <x v="3"/>
    <n v="0"/>
  </r>
  <r>
    <n v="10758645"/>
    <d v="2024-12-17T13:58:50"/>
    <s v="NÃO"/>
    <x v="2"/>
    <x v="2"/>
    <s v="google - cpc"/>
    <s v="V Redonda - RJ"/>
    <x v="1"/>
    <x v="2"/>
    <n v="0"/>
  </r>
  <r>
    <n v="10852088"/>
    <d v="2025-01-03T08:47:20"/>
    <s v="NÃO"/>
    <x v="8"/>
    <x v="0"/>
    <n v="0"/>
    <s v="Tibau - RN"/>
    <x v="3"/>
    <x v="6"/>
    <n v="0"/>
  </r>
  <r>
    <n v="10639119"/>
    <d v="2024-12-07T16:36:12"/>
    <s v="NÃO"/>
    <x v="2"/>
    <x v="0"/>
    <n v="0"/>
    <s v="Rio de Janeiro - RJ"/>
    <x v="0"/>
    <x v="0"/>
    <n v="0"/>
  </r>
  <r>
    <n v="11929300"/>
    <d v="2025-04-09T11:58:34"/>
    <s v="NÃO"/>
    <x v="4"/>
    <x v="0"/>
    <n v="0"/>
    <s v="Rio de Janeiro - RJ"/>
    <x v="4"/>
    <x v="5"/>
    <n v="0"/>
  </r>
  <r>
    <n v="11710981"/>
    <d v="2025-03-21T19:01:06"/>
    <s v="NÃO"/>
    <x v="5"/>
    <x v="2"/>
    <s v="google - cpc"/>
    <s v="Gravataí - RS"/>
    <x v="3"/>
    <x v="0"/>
    <n v="0"/>
  </r>
  <r>
    <n v="10598370"/>
    <d v="2024-12-03T10:50:00"/>
    <s v="NÃO"/>
    <x v="2"/>
    <x v="2"/>
    <s v="google - cpc"/>
    <s v="Cachoeirinha - RS"/>
    <x v="0"/>
    <x v="6"/>
    <n v="0"/>
  </r>
  <r>
    <n v="10676625"/>
    <d v="2024-12-09T19:51:27"/>
    <s v="NÃO"/>
    <x v="8"/>
    <x v="8"/>
    <s v="rep - juliana-gomes"/>
    <s v="Natal - RN"/>
    <x v="3"/>
    <x v="5"/>
    <n v="0"/>
  </r>
  <r>
    <n v="11921737"/>
    <d v="2025-04-08T20:57:40"/>
    <s v="NÃO"/>
    <x v="4"/>
    <x v="4"/>
    <s v="facebook - cpc"/>
    <s v="Cuiabá - MT"/>
    <x v="0"/>
    <x v="3"/>
    <n v="0"/>
  </r>
  <r>
    <n v="10724498"/>
    <d v="2024-12-14T22:16:47"/>
    <s v="NÃO"/>
    <x v="7"/>
    <x v="0"/>
    <n v="0"/>
    <s v="Bento Gonçalves - RS"/>
    <x v="3"/>
    <x v="6"/>
    <n v="0"/>
  </r>
  <r>
    <n v="11635289"/>
    <d v="2025-03-14T18:53:24"/>
    <s v="NÃO"/>
    <x v="0"/>
    <x v="2"/>
    <s v="google - cpc"/>
    <s v="Porto Alegre - RS"/>
    <x v="5"/>
    <x v="0"/>
    <n v="0"/>
  </r>
  <r>
    <n v="10747347"/>
    <d v="2024-12-16T15:37:05"/>
    <s v="NÃO"/>
    <x v="4"/>
    <x v="2"/>
    <s v="google - cpc"/>
    <s v="Bento Gonçalves - RS"/>
    <x v="1"/>
    <x v="6"/>
    <n v="0"/>
  </r>
  <r>
    <n v="11999381"/>
    <d v="2025-04-15T12:12:13"/>
    <s v="NÃO"/>
    <x v="8"/>
    <x v="0"/>
    <n v="0"/>
    <s v="-"/>
    <x v="1"/>
    <x v="6"/>
    <n v="0"/>
  </r>
  <r>
    <n v="11012233"/>
    <d v="2025-01-17T16:57:01"/>
    <s v="NÃO"/>
    <x v="2"/>
    <x v="2"/>
    <s v="google - cpc"/>
    <s v="Caxias do Sul - RS"/>
    <x v="0"/>
    <x v="0"/>
    <n v="0"/>
  </r>
  <r>
    <n v="11373937"/>
    <d v="2025-02-17T10:17:05"/>
    <s v="NÃO"/>
    <x v="5"/>
    <x v="0"/>
    <n v="0"/>
    <s v="-"/>
    <x v="1"/>
    <x v="3"/>
    <n v="0"/>
  </r>
  <r>
    <n v="11464860"/>
    <d v="2025-02-25T16:10:44"/>
    <s v="NÃO"/>
    <x v="4"/>
    <x v="0"/>
    <n v="0"/>
    <s v="Frederico Westphalen - RS"/>
    <x v="2"/>
    <x v="0"/>
    <n v="0"/>
  </r>
  <r>
    <n v="11496214"/>
    <d v="2025-03-01T16:36:52"/>
    <s v="NÃO"/>
    <x v="5"/>
    <x v="2"/>
    <s v="google - cpc"/>
    <s v="Passo Fundo - RS"/>
    <x v="0"/>
    <x v="0"/>
    <n v="0"/>
  </r>
  <r>
    <n v="11434554"/>
    <d v="2025-02-23T15:00:17"/>
    <s v="NÃO"/>
    <x v="0"/>
    <x v="0"/>
    <n v="0"/>
    <s v="Pelotas - RS"/>
    <x v="0"/>
    <x v="3"/>
    <n v="0"/>
  </r>
  <r>
    <n v="10843920"/>
    <d v="2024-12-30T16:34:36"/>
    <s v="NÃO"/>
    <x v="0"/>
    <x v="0"/>
    <n v="0"/>
    <s v="Porto Alegre - RS"/>
    <x v="5"/>
    <x v="3"/>
    <n v="0"/>
  </r>
  <r>
    <n v="10949862"/>
    <d v="2025-01-12T14:52:46"/>
    <s v="NÃO"/>
    <x v="0"/>
    <x v="2"/>
    <s v="google - cpc"/>
    <s v="Porto Alegre - RS"/>
    <x v="0"/>
    <x v="0"/>
    <n v="0"/>
  </r>
  <r>
    <n v="10822228"/>
    <d v="2024-12-28T11:47:04"/>
    <s v="NÃO"/>
    <x v="5"/>
    <x v="0"/>
    <n v="0"/>
    <s v="Porto Alegre, RS"/>
    <x v="0"/>
    <x v="0"/>
    <n v="0"/>
  </r>
  <r>
    <n v="11271605"/>
    <d v="2025-02-07T13:16:27"/>
    <s v="NÃO"/>
    <x v="7"/>
    <x v="2"/>
    <s v="google - cpc"/>
    <s v="Ivoti - RS"/>
    <x v="3"/>
    <x v="0"/>
    <n v="0"/>
  </r>
  <r>
    <n v="11600830"/>
    <d v="2025-03-10T13:46:46"/>
    <s v="NÃO"/>
    <x v="7"/>
    <x v="2"/>
    <s v="google - cpc"/>
    <s v="Porto Alegre - RS"/>
    <x v="0"/>
    <x v="2"/>
    <n v="0"/>
  </r>
  <r>
    <n v="11739087"/>
    <d v="2025-03-24T08:20:03"/>
    <s v="NÃO"/>
    <x v="4"/>
    <x v="2"/>
    <s v="google - cpc"/>
    <s v="São Paulo - SP"/>
    <x v="1"/>
    <x v="2"/>
    <n v="0"/>
  </r>
  <r>
    <n v="12007587"/>
    <d v="2025-04-15T22:50:11"/>
    <s v="NÃO"/>
    <x v="4"/>
    <x v="2"/>
    <s v="google - cpc"/>
    <s v="Porto Alegre - RS"/>
    <x v="0"/>
    <x v="0"/>
    <n v="0"/>
  </r>
  <r>
    <n v="11847721"/>
    <d v="2025-04-01T15:52:03"/>
    <s v="NÃO"/>
    <x v="4"/>
    <x v="2"/>
    <s v="google - cpc"/>
    <s v="Petropolis - RS"/>
    <x v="1"/>
    <x v="2"/>
    <n v="0"/>
  </r>
  <r>
    <n v="11607864"/>
    <d v="2025-03-11T07:05:07"/>
    <s v="NÃO"/>
    <x v="8"/>
    <x v="4"/>
    <s v="facebook - cpc"/>
    <s v="Icara - SC"/>
    <x v="0"/>
    <x v="2"/>
    <n v="0"/>
  </r>
  <r>
    <n v="11959280"/>
    <d v="2025-04-12T19:04:31"/>
    <s v="NÃO"/>
    <x v="7"/>
    <x v="0"/>
    <n v="0"/>
    <s v="Joinville - SC"/>
    <x v="0"/>
    <x v="3"/>
    <n v="0"/>
  </r>
  <r>
    <n v="11407630"/>
    <d v="2025-02-20T15:38:17"/>
    <s v="NÃO"/>
    <x v="8"/>
    <x v="4"/>
    <s v="facebook - cpc"/>
    <s v="Florianópolis - SC"/>
    <x v="3"/>
    <x v="2"/>
    <n v="0"/>
  </r>
  <r>
    <n v="11358751"/>
    <d v="2025-02-15T23:08:35"/>
    <s v="NÃO"/>
    <x v="3"/>
    <x v="4"/>
    <s v="facebook - cpc"/>
    <s v="Itapema - SC"/>
    <x v="1"/>
    <x v="2"/>
    <n v="0"/>
  </r>
  <r>
    <n v="11500961"/>
    <d v="2025-03-02T09:03:44"/>
    <s v="NÃO"/>
    <x v="4"/>
    <x v="0"/>
    <n v="0"/>
    <s v="Joinville - SC"/>
    <x v="4"/>
    <x v="6"/>
    <n v="0"/>
  </r>
  <r>
    <n v="10919837"/>
    <d v="2025-01-08T23:22:26"/>
    <s v="NÃO"/>
    <x v="4"/>
    <x v="2"/>
    <s v="google - cpc"/>
    <s v="Joinville - SC"/>
    <x v="0"/>
    <x v="2"/>
    <n v="0"/>
  </r>
  <r>
    <n v="12012615"/>
    <d v="2025-04-16T11:39:25"/>
    <s v="NÃO"/>
    <x v="7"/>
    <x v="0"/>
    <n v="0"/>
    <s v="Balneário Camboriú - SC"/>
    <x v="0"/>
    <x v="0"/>
    <n v="0"/>
  </r>
  <r>
    <n v="11038970"/>
    <d v="2025-01-19T14:21:10"/>
    <s v="NÃO"/>
    <x v="0"/>
    <x v="0"/>
    <n v="0"/>
    <s v="Jaraguá do Sul - SC"/>
    <x v="5"/>
    <x v="3"/>
    <n v="0"/>
  </r>
  <r>
    <n v="10623857"/>
    <d v="2024-12-06T15:58:32"/>
    <s v="NÃO"/>
    <x v="0"/>
    <x v="0"/>
    <n v="0"/>
    <s v="Florianópolis - SC"/>
    <x v="0"/>
    <x v="0"/>
    <n v="0"/>
  </r>
  <r>
    <n v="11591999"/>
    <d v="2025-03-09T18:57:44"/>
    <s v="NÃO"/>
    <x v="0"/>
    <x v="2"/>
    <s v="google - cpc"/>
    <s v="Florianópolis - SC"/>
    <x v="4"/>
    <x v="2"/>
    <n v="0"/>
  </r>
  <r>
    <n v="11835273"/>
    <d v="2025-03-31T15:54:24"/>
    <s v="NÃO"/>
    <x v="4"/>
    <x v="2"/>
    <n v="0"/>
    <s v="Florianópolis - SC"/>
    <x v="0"/>
    <x v="3"/>
    <n v="0"/>
  </r>
  <r>
    <n v="10948125"/>
    <d v="2025-01-12T13:18:22"/>
    <s v="NÃO"/>
    <x v="3"/>
    <x v="2"/>
    <s v="google - cpc"/>
    <s v="Navegantes - SC"/>
    <x v="1"/>
    <x v="6"/>
    <n v="0"/>
  </r>
  <r>
    <n v="11751347"/>
    <d v="2025-03-24T17:53:36"/>
    <s v="NÃO"/>
    <x v="3"/>
    <x v="0"/>
    <n v="0"/>
    <s v="Sao Jose - SC"/>
    <x v="0"/>
    <x v="3"/>
    <n v="0"/>
  </r>
  <r>
    <n v="11642856"/>
    <d v="2025-03-15T13:52:21"/>
    <s v="NÃO"/>
    <x v="6"/>
    <x v="6"/>
    <s v="bing - cpc"/>
    <s v="Sao Joao Batista - SC"/>
    <x v="0"/>
    <x v="0"/>
    <n v="0"/>
  </r>
  <r>
    <n v="11289716"/>
    <d v="2025-02-08T17:27:23"/>
    <s v="NÃO"/>
    <x v="5"/>
    <x v="6"/>
    <s v="bing - cpc"/>
    <s v="Joinville - SC"/>
    <x v="0"/>
    <x v="0"/>
    <n v="0"/>
  </r>
  <r>
    <n v="11679220"/>
    <d v="2025-03-17T18:45:49"/>
    <s v="NÃO"/>
    <x v="7"/>
    <x v="2"/>
    <s v="google - cpc"/>
    <s v="Palhoca - SC"/>
    <x v="0"/>
    <x v="0"/>
    <n v="0"/>
  </r>
  <r>
    <n v="11661499"/>
    <d v="2025-03-16T16:22:01"/>
    <s v="NÃO"/>
    <x v="8"/>
    <x v="3"/>
    <s v="linkedin - cpc"/>
    <s v="Itapema - SC"/>
    <x v="0"/>
    <x v="2"/>
    <n v="0"/>
  </r>
  <r>
    <n v="11632169"/>
    <d v="2025-03-13T15:46:00"/>
    <s v="NÃO"/>
    <x v="6"/>
    <x v="4"/>
    <s v="facebook - cpc"/>
    <s v="Rio do Sul - SC"/>
    <x v="5"/>
    <x v="4"/>
    <n v="0"/>
  </r>
  <r>
    <n v="10918693"/>
    <d v="2025-01-08T17:18:29"/>
    <s v="NÃO"/>
    <x v="8"/>
    <x v="2"/>
    <s v="google - cpc"/>
    <s v="Porto Alegre - RS"/>
    <x v="0"/>
    <x v="2"/>
    <n v="0"/>
  </r>
  <r>
    <n v="11543130"/>
    <d v="2025-03-04T20:27:18"/>
    <s v="NÃO"/>
    <x v="2"/>
    <x v="4"/>
    <s v="facebook - cpc"/>
    <s v="Passo Fundo - RS"/>
    <x v="5"/>
    <x v="6"/>
    <n v="0"/>
  </r>
  <r>
    <n v="11557905"/>
    <d v="2025-03-06T00:24:48"/>
    <s v="NÃO"/>
    <x v="2"/>
    <x v="4"/>
    <s v="facebook - cpc"/>
    <s v="Porto Alegre - RS"/>
    <x v="0"/>
    <x v="5"/>
    <n v="0"/>
  </r>
  <r>
    <n v="10947732"/>
    <d v="2025-01-12T12:31:19"/>
    <s v="NÃO"/>
    <x v="4"/>
    <x v="0"/>
    <n v="0"/>
    <s v="Balneário Camboriú - SC"/>
    <x v="0"/>
    <x v="4"/>
    <n v="0"/>
  </r>
  <r>
    <n v="10911709"/>
    <d v="2025-01-08T11:23:36"/>
    <s v="NÃO"/>
    <x v="4"/>
    <x v="2"/>
    <s v="google - cpc"/>
    <s v="Porto Alegre - RS"/>
    <x v="6"/>
    <x v="0"/>
    <n v="0"/>
  </r>
  <r>
    <n v="10920068"/>
    <d v="2025-01-09T04:40:25"/>
    <s v="NÃO"/>
    <x v="8"/>
    <x v="4"/>
    <s v="facebook - cpc"/>
    <s v="Santa Maria - RS"/>
    <x v="0"/>
    <x v="6"/>
    <n v="0"/>
  </r>
  <r>
    <n v="11010194"/>
    <d v="2025-01-16T17:49:17"/>
    <s v="NÃO"/>
    <x v="2"/>
    <x v="2"/>
    <s v="google - cpc"/>
    <s v="Alecrim - RS"/>
    <x v="1"/>
    <x v="5"/>
    <n v="0"/>
  </r>
  <r>
    <n v="11599311"/>
    <d v="2025-03-10T11:41:48"/>
    <s v="NÃO"/>
    <x v="7"/>
    <x v="9"/>
    <s v="leads - email"/>
    <s v="Santiago - RS"/>
    <x v="0"/>
    <x v="2"/>
    <n v="0"/>
  </r>
  <r>
    <n v="10954335"/>
    <d v="2025-01-12T19:00:24"/>
    <s v="NÃO"/>
    <x v="4"/>
    <x v="2"/>
    <s v="google - cpc"/>
    <s v="Curitiba - PR"/>
    <x v="0"/>
    <x v="4"/>
    <n v="0"/>
  </r>
  <r>
    <n v="11871153"/>
    <d v="2025-04-05T16:38:00"/>
    <s v="NÃO"/>
    <x v="2"/>
    <x v="2"/>
    <s v="google - cpc"/>
    <s v="Chapecó - SC"/>
    <x v="3"/>
    <x v="4"/>
    <n v="0"/>
  </r>
  <r>
    <n v="11492454"/>
    <d v="2025-03-01T13:51:38"/>
    <s v="NÃO"/>
    <x v="4"/>
    <x v="2"/>
    <s v="google - cpc"/>
    <s v="Criciúma - SC"/>
    <x v="6"/>
    <x v="2"/>
    <n v="0"/>
  </r>
  <r>
    <n v="10746239"/>
    <d v="2024-12-16T14:27:08"/>
    <s v="NÃO"/>
    <x v="4"/>
    <x v="2"/>
    <s v="google - cpc"/>
    <s v="Criciúma - SC"/>
    <x v="0"/>
    <x v="4"/>
    <n v="0"/>
  </r>
  <r>
    <n v="10926762"/>
    <d v="2025-01-11T09:26:19"/>
    <s v="NÃO"/>
    <x v="7"/>
    <x v="2"/>
    <s v="google - cpc"/>
    <s v="Criciúma - SC"/>
    <x v="3"/>
    <x v="3"/>
    <n v="0"/>
  </r>
  <r>
    <n v="11894363"/>
    <d v="2025-04-07T09:09:51"/>
    <s v="NÃO"/>
    <x v="3"/>
    <x v="2"/>
    <s v="google - cpc"/>
    <s v="Ararangua - SC"/>
    <x v="1"/>
    <x v="6"/>
    <n v="0"/>
  </r>
  <r>
    <n v="10936804"/>
    <d v="2025-01-11T16:45:18"/>
    <s v="NÃO"/>
    <x v="7"/>
    <x v="4"/>
    <s v="facebook - cpc"/>
    <s v="Belém - PA"/>
    <x v="3"/>
    <x v="2"/>
    <n v="0"/>
  </r>
  <r>
    <n v="11555571"/>
    <d v="2025-03-05T16:13:23"/>
    <s v="NÃO"/>
    <x v="0"/>
    <x v="4"/>
    <s v="facebook - cpc"/>
    <s v="Gravatal - SC"/>
    <x v="0"/>
    <x v="0"/>
    <n v="0"/>
  </r>
  <r>
    <n v="11335242"/>
    <d v="2025-02-12T11:06:42"/>
    <s v="NÃO"/>
    <x v="4"/>
    <x v="0"/>
    <n v="0"/>
    <s v="Balneário Camboriú, SC"/>
    <x v="1"/>
    <x v="6"/>
    <n v="0"/>
  </r>
  <r>
    <n v="11453940"/>
    <d v="2025-02-24T22:40:59"/>
    <s v="NÃO"/>
    <x v="5"/>
    <x v="0"/>
    <n v="0"/>
    <s v="Balneário Camboriú - SC"/>
    <x v="5"/>
    <x v="0"/>
    <n v="0"/>
  </r>
  <r>
    <n v="11640596"/>
    <d v="2025-03-15T11:12:08"/>
    <s v="NÃO"/>
    <x v="6"/>
    <x v="2"/>
    <s v="google - cpc"/>
    <s v="Gravatal - SC"/>
    <x v="4"/>
    <x v="4"/>
    <n v="0"/>
  </r>
  <r>
    <n v="10607463"/>
    <d v="2024-12-03T16:23:37"/>
    <s v="NÃO"/>
    <x v="3"/>
    <x v="2"/>
    <s v="google - cpc"/>
    <s v="Brusque - SC"/>
    <x v="4"/>
    <x v="6"/>
    <n v="0"/>
  </r>
  <r>
    <n v="10828526"/>
    <d v="2024-12-29T08:46:19"/>
    <s v="NÃO"/>
    <x v="5"/>
    <x v="2"/>
    <s v="google - cpc"/>
    <s v="Balneário Camboriú - SC"/>
    <x v="4"/>
    <x v="0"/>
    <n v="0"/>
  </r>
  <r>
    <n v="11009193"/>
    <d v="2025-01-16T11:34:52"/>
    <s v="NÃO"/>
    <x v="7"/>
    <x v="2"/>
    <s v="google - cpc"/>
    <s v="Ipatinga - MG"/>
    <x v="0"/>
    <x v="0"/>
    <n v="0"/>
  </r>
  <r>
    <n v="11006523"/>
    <d v="2025-01-15T17:56:19"/>
    <s v="NÃO"/>
    <x v="7"/>
    <x v="2"/>
    <s v="google - cpc"/>
    <s v="Ipatinga - MG"/>
    <x v="0"/>
    <x v="2"/>
    <n v="0"/>
  </r>
  <r>
    <n v="10906597"/>
    <d v="2025-01-07T19:51:30"/>
    <s v="NÃO"/>
    <x v="6"/>
    <x v="2"/>
    <s v="google - cpc"/>
    <s v="Uba - MG"/>
    <x v="1"/>
    <x v="2"/>
    <n v="0"/>
  </r>
  <r>
    <n v="11847124"/>
    <d v="2025-04-01T15:12:50"/>
    <s v="NÃO"/>
    <x v="4"/>
    <x v="0"/>
    <n v="0"/>
    <s v="Uberaba - MG"/>
    <x v="0"/>
    <x v="0"/>
    <n v="0"/>
  </r>
  <r>
    <n v="10700405"/>
    <d v="2024-12-11T17:41:41"/>
    <s v="NÃO"/>
    <x v="2"/>
    <x v="0"/>
    <n v="0"/>
    <s v="Uberlândia - MG"/>
    <x v="1"/>
    <x v="5"/>
    <n v="0"/>
  </r>
  <r>
    <n v="10851617"/>
    <d v="2025-01-02T22:13:21"/>
    <s v="NÃO"/>
    <x v="4"/>
    <x v="0"/>
    <n v="0"/>
    <s v="Belo Horizonte - MG"/>
    <x v="3"/>
    <x v="4"/>
    <n v="0"/>
  </r>
  <r>
    <n v="11740157"/>
    <d v="2025-03-24T09:27:22"/>
    <s v="NÃO"/>
    <x v="2"/>
    <x v="2"/>
    <s v="google - cpc"/>
    <s v="Uberaba - MG"/>
    <x v="0"/>
    <x v="5"/>
    <n v="0"/>
  </r>
  <r>
    <n v="10921822"/>
    <d v="2025-01-09T22:23:52"/>
    <s v="NÃO"/>
    <x v="4"/>
    <x v="0"/>
    <n v="0"/>
    <s v="Uberlândia - MG"/>
    <x v="1"/>
    <x v="4"/>
    <n v="0"/>
  </r>
  <r>
    <n v="10721256"/>
    <d v="2024-12-14T16:32:05"/>
    <s v="NÃO"/>
    <x v="4"/>
    <x v="2"/>
    <s v="google - cpc"/>
    <s v="Rio de Janeiro - RJ"/>
    <x v="4"/>
    <x v="6"/>
    <n v="0"/>
  </r>
  <r>
    <n v="11728881"/>
    <d v="2025-03-23T09:37:17"/>
    <s v="NÃO"/>
    <x v="4"/>
    <x v="0"/>
    <n v="0"/>
    <s v="Leopoldina - MG"/>
    <x v="1"/>
    <x v="5"/>
    <n v="0"/>
  </r>
  <r>
    <n v="11766700"/>
    <d v="2025-03-25T19:12:27"/>
    <s v="NÃO"/>
    <x v="4"/>
    <x v="2"/>
    <s v="google - cpc"/>
    <s v="Juiz de Fora - MG"/>
    <x v="5"/>
    <x v="0"/>
    <n v="0"/>
  </r>
  <r>
    <n v="12006715"/>
    <d v="2025-04-15T18:50:18"/>
    <s v="NÃO"/>
    <x v="2"/>
    <x v="2"/>
    <s v="google - cpc"/>
    <s v="Petrópolis - RJ"/>
    <x v="0"/>
    <x v="6"/>
    <n v="0"/>
  </r>
  <r>
    <n v="11277382"/>
    <d v="2025-02-08T10:45:47"/>
    <s v="NÃO"/>
    <x v="2"/>
    <x v="2"/>
    <s v="google - cpc"/>
    <s v="Pompeu - MG"/>
    <x v="1"/>
    <x v="6"/>
    <n v="0"/>
  </r>
  <r>
    <n v="11797023"/>
    <d v="2025-03-29T09:41:11"/>
    <s v="NÃO"/>
    <x v="2"/>
    <x v="0"/>
    <n v="0"/>
    <s v="Petrópolis - RJ"/>
    <x v="0"/>
    <x v="6"/>
    <n v="0"/>
  </r>
  <r>
    <n v="11544223"/>
    <d v="2025-03-05T07:44:26"/>
    <s v="NÃO"/>
    <x v="8"/>
    <x v="4"/>
    <s v="facebook - cpc"/>
    <s v="Juiz de Fora - MG"/>
    <x v="0"/>
    <x v="6"/>
    <n v="0"/>
  </r>
  <r>
    <n v="11769610"/>
    <d v="2025-03-25T22:04:43"/>
    <s v="NÃO"/>
    <x v="0"/>
    <x v="2"/>
    <s v="google - cpc"/>
    <s v="Manhuacu - MG"/>
    <x v="3"/>
    <x v="4"/>
    <n v="0"/>
  </r>
  <r>
    <n v="11391397"/>
    <d v="2025-02-18T15:30:11"/>
    <s v="NÃO"/>
    <x v="0"/>
    <x v="0"/>
    <n v="0"/>
    <s v="Mariana, MG"/>
    <x v="0"/>
    <x v="2"/>
    <n v="0"/>
  </r>
  <r>
    <n v="10816792"/>
    <d v="2024-12-26T01:32:36"/>
    <s v="NÃO"/>
    <x v="4"/>
    <x v="2"/>
    <s v="google - cpc"/>
    <s v="Icarai de Minas - MG"/>
    <x v="0"/>
    <x v="0"/>
    <n v="0"/>
  </r>
  <r>
    <n v="11019482"/>
    <d v="2025-01-18T12:06:47"/>
    <s v="NÃO"/>
    <x v="4"/>
    <x v="2"/>
    <s v="google - cpc"/>
    <s v="Montes Claros - MG"/>
    <x v="0"/>
    <x v="3"/>
    <n v="0"/>
  </r>
  <r>
    <n v="11393126"/>
    <d v="2025-02-18T16:58:27"/>
    <s v="NÃO"/>
    <x v="0"/>
    <x v="2"/>
    <s v="google - cpc"/>
    <s v="Engenheiro Navarro, MG"/>
    <x v="1"/>
    <x v="0"/>
    <n v="0"/>
  </r>
  <r>
    <n v="11320857"/>
    <d v="2025-02-11T10:04:57"/>
    <s v="NÃO"/>
    <x v="8"/>
    <x v="0"/>
    <n v="0"/>
    <s v="São Paulo - SP"/>
    <x v="1"/>
    <x v="3"/>
    <n v="0"/>
  </r>
  <r>
    <n v="11109123"/>
    <d v="2025-01-25T15:57:22"/>
    <s v="NÃO"/>
    <x v="0"/>
    <x v="0"/>
    <n v="0"/>
    <s v="Paracatu - MG"/>
    <x v="0"/>
    <x v="0"/>
    <n v="0"/>
  </r>
  <r>
    <n v="11706299"/>
    <d v="2025-03-19T20:48:34"/>
    <s v="NÃO"/>
    <x v="4"/>
    <x v="0"/>
    <n v="0"/>
    <s v="Uberlândia - MG"/>
    <x v="1"/>
    <x v="3"/>
    <n v="0"/>
  </r>
  <r>
    <n v="11560860"/>
    <d v="2025-03-07T12:26:59"/>
    <s v="NÃO"/>
    <x v="0"/>
    <x v="0"/>
    <n v="0"/>
    <s v="Santarém - PA"/>
    <x v="6"/>
    <x v="0"/>
    <n v="0"/>
  </r>
  <r>
    <n v="11346491"/>
    <d v="2025-02-14T08:26:53"/>
    <s v="NÃO"/>
    <x v="2"/>
    <x v="4"/>
    <s v="facebook - cpc"/>
    <s v="Igarape Acu - PA"/>
    <x v="0"/>
    <x v="3"/>
    <n v="0"/>
  </r>
  <r>
    <n v="11876761"/>
    <d v="2025-04-06T09:59:04"/>
    <s v="NÃO"/>
    <x v="4"/>
    <x v="0"/>
    <n v="0"/>
    <s v="João Pessoa - PB"/>
    <x v="5"/>
    <x v="2"/>
    <n v="0"/>
  </r>
  <r>
    <n v="11559467"/>
    <d v="2025-03-06T18:20:48"/>
    <s v="NÃO"/>
    <x v="7"/>
    <x v="4"/>
    <s v="facebook - cpc"/>
    <s v="Brasília - DF"/>
    <x v="0"/>
    <x v="6"/>
    <n v="0"/>
  </r>
  <r>
    <n v="11223364"/>
    <d v="2025-02-02T14:15:03"/>
    <s v="NÃO"/>
    <x v="4"/>
    <x v="2"/>
    <s v="google - cpc"/>
    <s v="Sinop - MT"/>
    <x v="1"/>
    <x v="4"/>
    <n v="0"/>
  </r>
  <r>
    <n v="11406027"/>
    <d v="2025-02-20T00:25:38"/>
    <s v="NÃO"/>
    <x v="4"/>
    <x v="4"/>
    <s v="facebook - cpc"/>
    <s v="Sorriso - MT"/>
    <x v="0"/>
    <x v="2"/>
    <n v="0"/>
  </r>
  <r>
    <n v="11623862"/>
    <d v="2025-03-12T12:22:22"/>
    <s v="NÃO"/>
    <x v="4"/>
    <x v="2"/>
    <s v="google - cpc"/>
    <s v="Cuiabá - MT"/>
    <x v="3"/>
    <x v="6"/>
    <n v="0"/>
  </r>
  <r>
    <n v="11556796"/>
    <d v="2025-03-05T17:50:25"/>
    <s v="NÃO"/>
    <x v="4"/>
    <x v="0"/>
    <n v="0"/>
    <s v="Jaciara - MT"/>
    <x v="0"/>
    <x v="3"/>
    <n v="0"/>
  </r>
  <r>
    <n v="10621630"/>
    <d v="2024-12-05T12:29:30"/>
    <s v="NÃO"/>
    <x v="0"/>
    <x v="0"/>
    <n v="0"/>
    <s v="Ananindeua - PA"/>
    <x v="3"/>
    <x v="3"/>
    <n v="0"/>
  </r>
  <r>
    <n v="11048291"/>
    <d v="2025-01-19T19:36:30"/>
    <s v="NÃO"/>
    <x v="4"/>
    <x v="2"/>
    <s v="google - cpc"/>
    <s v="Castanhal - PA"/>
    <x v="0"/>
    <x v="4"/>
    <n v="0"/>
  </r>
  <r>
    <n v="11707617"/>
    <d v="2025-03-20T10:42:30"/>
    <s v="NÃO"/>
    <x v="6"/>
    <x v="2"/>
    <s v="bing - cpc"/>
    <s v="Belém - PA"/>
    <x v="5"/>
    <x v="0"/>
    <n v="0"/>
  </r>
  <r>
    <n v="11407763"/>
    <d v="2025-02-20T16:46:18"/>
    <s v="NÃO"/>
    <x v="2"/>
    <x v="4"/>
    <s v="facebook - cpc"/>
    <s v="Belém - PA"/>
    <x v="0"/>
    <x v="2"/>
    <n v="0"/>
  </r>
  <r>
    <n v="11905196"/>
    <d v="2025-04-07T17:50:35"/>
    <s v="NÃO"/>
    <x v="7"/>
    <x v="2"/>
    <s v="google - cpc"/>
    <s v="Maringá - PR"/>
    <x v="0"/>
    <x v="4"/>
    <n v="0"/>
  </r>
  <r>
    <n v="11495335"/>
    <d v="2025-03-01T15:45:45"/>
    <s v="NÃO"/>
    <x v="4"/>
    <x v="5"/>
    <s v="youtube - cpc"/>
    <s v="Campo Grande - MS"/>
    <x v="0"/>
    <x v="4"/>
    <n v="0"/>
  </r>
  <r>
    <n v="11390038"/>
    <d v="2025-02-18T14:30:24"/>
    <s v="NÃO"/>
    <x v="0"/>
    <x v="0"/>
    <n v="0"/>
    <s v="Paranaiba - MS"/>
    <x v="0"/>
    <x v="3"/>
    <n v="0"/>
  </r>
  <r>
    <n v="10626499"/>
    <d v="2024-12-07T09:35:54"/>
    <s v="NÃO"/>
    <x v="6"/>
    <x v="0"/>
    <n v="0"/>
    <s v="-"/>
    <x v="1"/>
    <x v="3"/>
    <n v="0"/>
  </r>
  <r>
    <n v="11608445"/>
    <d v="2025-03-11T08:56:11"/>
    <s v="NÃO"/>
    <x v="0"/>
    <x v="4"/>
    <s v="facebook - cpc"/>
    <s v="Cuiabá - MT"/>
    <x v="0"/>
    <x v="4"/>
    <n v="0"/>
  </r>
  <r>
    <n v="10784228"/>
    <d v="2024-12-21T09:44:14"/>
    <s v="NÃO"/>
    <x v="4"/>
    <x v="0"/>
    <n v="0"/>
    <s v="-"/>
    <x v="0"/>
    <x v="1"/>
    <n v="0"/>
  </r>
  <r>
    <n v="11607959"/>
    <d v="2025-03-11T07:54:55"/>
    <s v="NÃO"/>
    <x v="6"/>
    <x v="4"/>
    <s v="facebook - cpc"/>
    <s v="São Miguel do Oeste - SC"/>
    <x v="3"/>
    <x v="6"/>
    <n v="0"/>
  </r>
  <r>
    <n v="11559552"/>
    <d v="2025-03-06T19:19:10"/>
    <s v="NÃO"/>
    <x v="8"/>
    <x v="4"/>
    <s v="facebook - cpc"/>
    <s v="Cuiabá - MT"/>
    <x v="0"/>
    <x v="0"/>
    <n v="0"/>
  </r>
  <r>
    <n v="11607907"/>
    <d v="2025-03-11T07:32:53"/>
    <s v="NÃO"/>
    <x v="8"/>
    <x v="4"/>
    <s v="facebook - cpc"/>
    <s v="Várzea Grande - MT"/>
    <x v="3"/>
    <x v="6"/>
    <n v="0"/>
  </r>
  <r>
    <n v="10703869"/>
    <d v="2024-12-12T17:29:01"/>
    <s v="NÃO"/>
    <x v="4"/>
    <x v="2"/>
    <s v="google - cpc"/>
    <s v="Cuiabá - MT"/>
    <x v="1"/>
    <x v="0"/>
    <n v="0"/>
  </r>
  <r>
    <n v="11891250"/>
    <d v="2025-04-06T18:02:06"/>
    <s v="NÃO"/>
    <x v="4"/>
    <x v="2"/>
    <n v="0"/>
    <s v="-"/>
    <x v="4"/>
    <x v="3"/>
    <n v="0"/>
  </r>
  <r>
    <n v="11407295"/>
    <d v="2025-02-20T12:53:11"/>
    <s v="NÃO"/>
    <x v="4"/>
    <x v="4"/>
    <n v="0"/>
    <s v="São Luís - MA"/>
    <x v="1"/>
    <x v="6"/>
    <n v="0"/>
  </r>
  <r>
    <n v="11022861"/>
    <d v="2025-01-18T14:40:56"/>
    <s v="NÃO"/>
    <x v="4"/>
    <x v="2"/>
    <s v="google - cpc"/>
    <s v="São Luís - MA"/>
    <x v="0"/>
    <x v="0"/>
    <n v="0"/>
  </r>
  <r>
    <n v="11578188"/>
    <d v="2025-03-08T23:44:46"/>
    <s v="NÃO"/>
    <x v="8"/>
    <x v="4"/>
    <s v="facebook - cpc"/>
    <s v="Goiânia - GO"/>
    <x v="3"/>
    <x v="2"/>
    <n v="0"/>
  </r>
  <r>
    <n v="11783911"/>
    <d v="2025-03-26T17:33:32"/>
    <s v="NÃO"/>
    <x v="4"/>
    <x v="0"/>
    <n v="0"/>
    <s v="Goiânia - GO"/>
    <x v="5"/>
    <x v="0"/>
    <n v="0"/>
  </r>
  <r>
    <n v="11857166"/>
    <d v="2025-04-03T10:31:49"/>
    <s v="NÃO"/>
    <x v="7"/>
    <x v="2"/>
    <s v="google - cpc"/>
    <s v="Goiânia - GO"/>
    <x v="0"/>
    <x v="2"/>
    <n v="0"/>
  </r>
  <r>
    <n v="11026499"/>
    <d v="2025-01-18T16:41:15"/>
    <s v="NÃO"/>
    <x v="7"/>
    <x v="0"/>
    <n v="0"/>
    <s v="Goiânia - GO"/>
    <x v="0"/>
    <x v="6"/>
    <n v="0"/>
  </r>
  <r>
    <n v="10919744"/>
    <d v="2025-01-08T22:25:37"/>
    <s v="NÃO"/>
    <x v="0"/>
    <x v="2"/>
    <s v="google - cpc"/>
    <s v="Goiânia - GO"/>
    <x v="0"/>
    <x v="2"/>
    <n v="0"/>
  </r>
  <r>
    <n v="11423882"/>
    <d v="2025-02-22T16:46:45"/>
    <s v="NÃO"/>
    <x v="0"/>
    <x v="2"/>
    <s v="google - cpc"/>
    <s v="Brasília - DF"/>
    <x v="0"/>
    <x v="0"/>
    <n v="0"/>
  </r>
  <r>
    <n v="11395337"/>
    <d v="2025-02-18T23:04:18"/>
    <s v="NÃO"/>
    <x v="3"/>
    <x v="4"/>
    <s v="facebook - cpc"/>
    <s v="Rio Verde - GO"/>
    <x v="0"/>
    <x v="6"/>
    <n v="0"/>
  </r>
  <r>
    <n v="10578004"/>
    <d v="2024-12-01T15:34:59"/>
    <s v="NÃO"/>
    <x v="1"/>
    <x v="2"/>
    <s v="google - cpc"/>
    <s v="Terezopolis de Goias - GO"/>
    <x v="0"/>
    <x v="0"/>
    <n v="0"/>
  </r>
  <r>
    <n v="11630545"/>
    <d v="2025-03-13T00:23:59"/>
    <s v="NÃO"/>
    <x v="5"/>
    <x v="2"/>
    <s v="google - cpc"/>
    <s v="Imperatriz - MA"/>
    <x v="1"/>
    <x v="2"/>
    <n v="0"/>
  </r>
  <r>
    <n v="11348409"/>
    <d v="2025-02-15T01:01:50"/>
    <s v="NÃO"/>
    <x v="7"/>
    <x v="7"/>
    <s v="instagram - social"/>
    <s v="São Luís - MA"/>
    <x v="3"/>
    <x v="3"/>
    <n v="0"/>
  </r>
  <r>
    <n v="10708462"/>
    <d v="2024-12-14T09:41:19"/>
    <s v="NÃO"/>
    <x v="4"/>
    <x v="0"/>
    <n v="0"/>
    <s v="-"/>
    <x v="1"/>
    <x v="1"/>
    <n v="0"/>
  </r>
  <r>
    <n v="11606454"/>
    <d v="2025-03-10T18:39:11"/>
    <s v="NÃO"/>
    <x v="2"/>
    <x v="4"/>
    <s v="facebook - cpc"/>
    <s v="Goiânia - GO"/>
    <x v="1"/>
    <x v="6"/>
    <n v="0"/>
  </r>
  <r>
    <n v="11543100"/>
    <d v="2025-03-04T20:01:43"/>
    <s v="NÃO"/>
    <x v="6"/>
    <x v="4"/>
    <s v="facebook - cpc"/>
    <s v="Inhumas - GO"/>
    <x v="0"/>
    <x v="3"/>
    <n v="0"/>
  </r>
  <r>
    <n v="10876945"/>
    <d v="2025-01-05T14:54:12"/>
    <s v="NÃO"/>
    <x v="4"/>
    <x v="2"/>
    <s v="google - cpc"/>
    <s v="Vitória - ES"/>
    <x v="4"/>
    <x v="6"/>
    <n v="0"/>
  </r>
  <r>
    <n v="11562526"/>
    <d v="2025-03-08T00:41:12"/>
    <s v="NÃO"/>
    <x v="4"/>
    <x v="4"/>
    <s v="facebook - cpc"/>
    <s v="Vitória - ES"/>
    <x v="3"/>
    <x v="5"/>
    <n v="0"/>
  </r>
  <r>
    <n v="11552141"/>
    <d v="2025-03-05T12:58:45"/>
    <s v="NÃO"/>
    <x v="4"/>
    <x v="4"/>
    <s v="facebook - cpc"/>
    <s v="Vila Velha - ES"/>
    <x v="0"/>
    <x v="2"/>
    <n v="0"/>
  </r>
  <r>
    <n v="11645999"/>
    <d v="2025-03-15T16:24:42"/>
    <s v="NÃO"/>
    <x v="5"/>
    <x v="0"/>
    <n v="0"/>
    <s v="São Paulo - SP"/>
    <x v="1"/>
    <x v="0"/>
    <n v="0"/>
  </r>
  <r>
    <n v="10809501"/>
    <d v="2024-12-23T14:53:33"/>
    <s v="NÃO"/>
    <x v="6"/>
    <x v="2"/>
    <s v="google - cpc"/>
    <s v="São Bernardo do Campo - SP"/>
    <x v="0"/>
    <x v="0"/>
    <n v="0"/>
  </r>
  <r>
    <n v="11734676"/>
    <d v="2025-03-23T15:21:12"/>
    <s v="NÃO"/>
    <x v="4"/>
    <x v="2"/>
    <s v="google - cpc"/>
    <s v="Fernandopolis - SP"/>
    <x v="1"/>
    <x v="6"/>
    <n v="0"/>
  </r>
  <r>
    <n v="11667217"/>
    <d v="2025-03-17T09:42:01"/>
    <s v="NÃO"/>
    <x v="3"/>
    <x v="6"/>
    <s v="bing - cpc"/>
    <s v="São Paulo - SP"/>
    <x v="4"/>
    <x v="6"/>
    <n v="0"/>
  </r>
  <r>
    <n v="11698452"/>
    <d v="2025-03-19T12:17:40"/>
    <s v="NÃO"/>
    <x v="3"/>
    <x v="2"/>
    <n v="0"/>
    <s v="Belo Horizonte, MG"/>
    <x v="4"/>
    <x v="3"/>
    <n v="0"/>
  </r>
  <r>
    <n v="11104423"/>
    <d v="2025-01-25T11:49:06"/>
    <s v="NÃO"/>
    <x v="4"/>
    <x v="0"/>
    <n v="0"/>
    <s v="Belo Horizonte - MG"/>
    <x v="4"/>
    <x v="2"/>
    <n v="0"/>
  </r>
  <r>
    <n v="11089774"/>
    <d v="2025-01-22T17:36:32"/>
    <s v="NÃO"/>
    <x v="4"/>
    <x v="0"/>
    <n v="0"/>
    <s v="São Paulo - SP"/>
    <x v="1"/>
    <x v="6"/>
    <n v="0"/>
  </r>
  <r>
    <n v="11772727"/>
    <d v="2025-03-26T10:02:17"/>
    <s v="NÃO"/>
    <x v="7"/>
    <x v="0"/>
    <n v="0"/>
    <s v="Baependi - MG"/>
    <x v="1"/>
    <x v="2"/>
    <n v="0"/>
  </r>
  <r>
    <n v="11556630"/>
    <d v="2025-03-05T17:43:41"/>
    <s v="NÃO"/>
    <x v="3"/>
    <x v="0"/>
    <n v="0"/>
    <s v="Baependi - MG"/>
    <x v="0"/>
    <x v="2"/>
    <n v="0"/>
  </r>
  <r>
    <n v="11630006"/>
    <d v="2025-03-12T19:58:59"/>
    <s v="NÃO"/>
    <x v="3"/>
    <x v="0"/>
    <n v="0"/>
    <s v="Belo Horizonte - MG"/>
    <x v="0"/>
    <x v="3"/>
    <n v="0"/>
  </r>
  <r>
    <n v="11562403"/>
    <d v="2025-03-07T23:22:26"/>
    <s v="NÃO"/>
    <x v="4"/>
    <x v="4"/>
    <s v="facebook - cpc"/>
    <s v="Belo Horizonte - MG"/>
    <x v="4"/>
    <x v="2"/>
    <n v="0"/>
  </r>
  <r>
    <n v="11621115"/>
    <d v="2025-03-12T10:08:22"/>
    <s v="NÃO"/>
    <x v="4"/>
    <x v="9"/>
    <s v="leads - email"/>
    <s v="Belo Horizonte - MG"/>
    <x v="0"/>
    <x v="0"/>
    <n v="0"/>
  </r>
  <r>
    <n v="11382055"/>
    <d v="2025-02-17T20:50:36"/>
    <s v="NÃO"/>
    <x v="7"/>
    <x v="4"/>
    <s v="facebook - cpc"/>
    <s v="Parauapebas - PA"/>
    <x v="3"/>
    <x v="0"/>
    <n v="0"/>
  </r>
  <r>
    <n v="11664768"/>
    <d v="2025-03-16T22:19:50"/>
    <s v="NÃO"/>
    <x v="0"/>
    <x v="2"/>
    <s v="google - cpc"/>
    <s v="Viana - MA"/>
    <x v="0"/>
    <x v="4"/>
    <n v="0"/>
  </r>
  <r>
    <n v="11948685"/>
    <d v="2025-04-12T11:34:48"/>
    <s v="NÃO"/>
    <x v="7"/>
    <x v="2"/>
    <s v="google - cpc"/>
    <s v="Conselheiro Lafaiete - MG"/>
    <x v="0"/>
    <x v="0"/>
    <n v="0"/>
  </r>
  <r>
    <n v="10937639"/>
    <d v="2025-01-11T17:36:47"/>
    <s v="NÃO"/>
    <x v="8"/>
    <x v="0"/>
    <n v="0"/>
    <s v="Para de Minas, MG"/>
    <x v="0"/>
    <x v="3"/>
    <n v="0"/>
  </r>
  <r>
    <n v="10931004"/>
    <d v="2025-01-11T11:48:01"/>
    <s v="NÃO"/>
    <x v="2"/>
    <x v="2"/>
    <s v="google - cpc"/>
    <s v="Rio Preto - MG"/>
    <x v="3"/>
    <x v="3"/>
    <n v="0"/>
  </r>
  <r>
    <n v="10838230"/>
    <d v="2024-12-30T10:26:06"/>
    <s v="NÃO"/>
    <x v="7"/>
    <x v="6"/>
    <s v="bing - cpc"/>
    <s v="Merces de agua Limpa - MG"/>
    <x v="5"/>
    <x v="6"/>
    <n v="0"/>
  </r>
  <r>
    <n v="11710571"/>
    <d v="2025-03-21T15:40:10"/>
    <s v="NÃO"/>
    <x v="7"/>
    <x v="2"/>
    <s v="google - cpc"/>
    <s v="Londrina - PR"/>
    <x v="0"/>
    <x v="0"/>
    <n v="0"/>
  </r>
  <r>
    <n v="11403261"/>
    <d v="2025-02-19T15:45:19"/>
    <s v="NÃO"/>
    <x v="4"/>
    <x v="2"/>
    <s v="google - cpc"/>
    <s v="Londrina - PR"/>
    <x v="3"/>
    <x v="0"/>
    <n v="0"/>
  </r>
  <r>
    <n v="11027262"/>
    <d v="2025-01-18T17:25:41"/>
    <s v="NÃO"/>
    <x v="4"/>
    <x v="0"/>
    <n v="0"/>
    <s v="Londrina - PR"/>
    <x v="3"/>
    <x v="4"/>
    <n v="0"/>
  </r>
  <r>
    <n v="11812580"/>
    <d v="2025-03-29T18:44:28"/>
    <s v="NÃO"/>
    <x v="2"/>
    <x v="0"/>
    <s v="Orgânico"/>
    <s v="-"/>
    <x v="0"/>
    <x v="2"/>
    <n v="0"/>
  </r>
  <r>
    <n v="11670357"/>
    <d v="2025-03-17T12:07:29"/>
    <s v="NÃO"/>
    <x v="2"/>
    <x v="0"/>
    <n v="0"/>
    <s v="Londrina - PR"/>
    <x v="1"/>
    <x v="6"/>
    <n v="0"/>
  </r>
  <r>
    <n v="11456770"/>
    <d v="2025-02-25T09:44:17"/>
    <s v="NÃO"/>
    <x v="4"/>
    <x v="0"/>
    <n v="0"/>
    <s v="Curitiba - PR"/>
    <x v="0"/>
    <x v="5"/>
    <n v="0"/>
  </r>
  <r>
    <n v="11383213"/>
    <d v="2025-02-18T08:23:04"/>
    <s v="NÃO"/>
    <x v="6"/>
    <x v="0"/>
    <n v="0"/>
    <s v="Cascavel - PR"/>
    <x v="1"/>
    <x v="3"/>
    <n v="0"/>
  </r>
  <r>
    <n v="11593583"/>
    <d v="2025-03-10T07:30:26"/>
    <s v="NÃO"/>
    <x v="6"/>
    <x v="4"/>
    <s v="facebook - cpc"/>
    <s v="Londrina - PR"/>
    <x v="1"/>
    <x v="3"/>
    <n v="0"/>
  </r>
  <r>
    <n v="10700664"/>
    <d v="2024-12-11T17:50:32"/>
    <s v="NÃO"/>
    <x v="4"/>
    <x v="2"/>
    <s v="google - cpc"/>
    <s v="Curitiba - PR"/>
    <x v="3"/>
    <x v="5"/>
    <n v="0"/>
  </r>
  <r>
    <n v="10835291"/>
    <d v="2024-12-29T23:53:17"/>
    <s v="NÃO"/>
    <x v="2"/>
    <x v="2"/>
    <s v="google - cpc"/>
    <s v="Campo Largo - PR"/>
    <x v="0"/>
    <x v="5"/>
    <n v="0"/>
  </r>
  <r>
    <n v="10849171"/>
    <d v="2025-01-01T16:40:14"/>
    <s v="NÃO"/>
    <x v="0"/>
    <x v="2"/>
    <s v="google - cpc"/>
    <s v="João Pessoa - PB"/>
    <x v="0"/>
    <x v="0"/>
    <n v="0"/>
  </r>
  <r>
    <n v="11310938"/>
    <d v="2025-02-10T12:08:25"/>
    <s v="NÃO"/>
    <x v="6"/>
    <x v="0"/>
    <n v="0"/>
    <s v="João Pessoa - PB"/>
    <x v="1"/>
    <x v="0"/>
    <n v="0"/>
  </r>
  <r>
    <n v="10931540"/>
    <d v="2025-01-11T12:14:19"/>
    <s v="NÃO"/>
    <x v="7"/>
    <x v="0"/>
    <n v="0"/>
    <s v="Aparecida - PB"/>
    <x v="3"/>
    <x v="0"/>
    <n v="0"/>
  </r>
  <r>
    <n v="10940586"/>
    <d v="2025-01-12T09:26:32"/>
    <s v="NÃO"/>
    <x v="7"/>
    <x v="0"/>
    <n v="0"/>
    <s v="Araripina - PE"/>
    <x v="3"/>
    <x v="2"/>
    <n v="0"/>
  </r>
  <r>
    <n v="10848765"/>
    <d v="2025-01-01T11:35:01"/>
    <s v="NÃO"/>
    <x v="2"/>
    <x v="2"/>
    <s v="google - cpc"/>
    <s v="Saloa - PE"/>
    <x v="0"/>
    <x v="5"/>
    <n v="0"/>
  </r>
  <r>
    <n v="11942913"/>
    <d v="2025-04-12T07:47:46"/>
    <s v="NÃO"/>
    <x v="7"/>
    <x v="7"/>
    <s v="instagram - social"/>
    <s v="Buenos Aires - PE"/>
    <x v="3"/>
    <x v="3"/>
    <n v="0"/>
  </r>
  <r>
    <n v="11708412"/>
    <d v="2025-03-20T16:32:38"/>
    <s v="NÃO"/>
    <x v="4"/>
    <x v="2"/>
    <s v="google - cpc"/>
    <s v="Jaboatao dos Guararapes - PE"/>
    <x v="0"/>
    <x v="4"/>
    <n v="0"/>
  </r>
  <r>
    <n v="11407359"/>
    <d v="2025-02-20T13:25:07"/>
    <s v="NÃO"/>
    <x v="4"/>
    <x v="4"/>
    <s v="facebook - cpc"/>
    <s v="Carpina - PE"/>
    <x v="1"/>
    <x v="0"/>
    <n v="0"/>
  </r>
  <r>
    <n v="10889329"/>
    <d v="2025-01-06T14:21:15"/>
    <s v="NÃO"/>
    <x v="4"/>
    <x v="0"/>
    <n v="0"/>
    <s v="-"/>
    <x v="5"/>
    <x v="1"/>
    <n v="0"/>
  </r>
  <r>
    <n v="11725316"/>
    <d v="2025-03-22T20:37:19"/>
    <s v="NÃO"/>
    <x v="4"/>
    <x v="6"/>
    <s v="bing - cpc"/>
    <s v="Recife - PE"/>
    <x v="6"/>
    <x v="4"/>
    <n v="0"/>
  </r>
  <r>
    <n v="11543633"/>
    <d v="2025-03-04T23:07:49"/>
    <s v="NÃO"/>
    <x v="8"/>
    <x v="4"/>
    <s v="facebook - cpc"/>
    <s v="Recife - PE"/>
    <x v="1"/>
    <x v="6"/>
    <n v="0"/>
  </r>
  <r>
    <n v="11405918"/>
    <d v="2025-02-19T23:11:36"/>
    <s v="NÃO"/>
    <x v="4"/>
    <x v="4"/>
    <s v="facebook - cpc"/>
    <s v="Recife - PE"/>
    <x v="0"/>
    <x v="6"/>
    <n v="0"/>
  </r>
  <r>
    <n v="10957865"/>
    <d v="2025-01-13T10:05:08"/>
    <s v="NÃO"/>
    <x v="3"/>
    <x v="0"/>
    <n v="0"/>
    <s v="Salvador - BA"/>
    <x v="4"/>
    <x v="6"/>
    <n v="0"/>
  </r>
  <r>
    <n v="11543871"/>
    <d v="2025-03-05T01:27:28"/>
    <s v="NÃO"/>
    <x v="5"/>
    <x v="4"/>
    <s v="facebook - cpc"/>
    <s v="Vitoria de Santo Antao - PE"/>
    <x v="1"/>
    <x v="0"/>
    <n v="0"/>
  </r>
  <r>
    <n v="11427456"/>
    <d v="2025-02-23T07:52:13"/>
    <s v="NÃO"/>
    <x v="0"/>
    <x v="2"/>
    <s v="google - cpc"/>
    <s v="Teresina - PI"/>
    <x v="0"/>
    <x v="3"/>
    <n v="0"/>
  </r>
  <r>
    <n v="11300428"/>
    <d v="2025-02-09T14:55:40"/>
    <s v="NÃO"/>
    <x v="5"/>
    <x v="2"/>
    <s v="google - cpc"/>
    <s v="Curitiba - PR"/>
    <x v="1"/>
    <x v="3"/>
    <n v="0"/>
  </r>
  <r>
    <n v="11870485"/>
    <d v="2025-04-05T16:10:25"/>
    <s v="NÃO"/>
    <x v="7"/>
    <x v="0"/>
    <n v="0"/>
    <s v="Curitiba - PR"/>
    <x v="3"/>
    <x v="2"/>
    <n v="0"/>
  </r>
  <r>
    <n v="11828805"/>
    <d v="2025-03-31T08:26:35"/>
    <s v="NÃO"/>
    <x v="0"/>
    <x v="2"/>
    <s v="google - cpc"/>
    <s v="São José dos Pinhais - PR"/>
    <x v="0"/>
    <x v="2"/>
    <n v="0"/>
  </r>
  <r>
    <n v="11116799"/>
    <d v="2025-01-26T10:46:24"/>
    <s v="NÃO"/>
    <x v="4"/>
    <x v="0"/>
    <n v="0"/>
    <s v="Tapejara - PR"/>
    <x v="0"/>
    <x v="4"/>
    <n v="0"/>
  </r>
  <r>
    <n v="11593129"/>
    <d v="2025-03-10T00:00:51"/>
    <s v="NÃO"/>
    <x v="4"/>
    <x v="4"/>
    <s v="facebook - cpc"/>
    <s v="Curitiba - PR"/>
    <x v="0"/>
    <x v="2"/>
    <n v="0"/>
  </r>
  <r>
    <n v="11483746"/>
    <d v="2025-02-28T12:50:37"/>
    <s v="NÃO"/>
    <x v="6"/>
    <x v="2"/>
    <s v="google - cpc"/>
    <s v="Curitiba - PR"/>
    <x v="1"/>
    <x v="0"/>
    <n v="0"/>
  </r>
  <r>
    <n v="11037020"/>
    <d v="2025-01-19T12:11:23"/>
    <s v="NÃO"/>
    <x v="3"/>
    <x v="2"/>
    <s v="google - cpc"/>
    <s v="Curitiba - PR"/>
    <x v="4"/>
    <x v="2"/>
    <n v="0"/>
  </r>
  <r>
    <n v="11300155"/>
    <d v="2025-02-09T14:39:05"/>
    <s v="NÃO"/>
    <x v="4"/>
    <x v="0"/>
    <n v="0"/>
    <s v="Porto União - SC"/>
    <x v="3"/>
    <x v="4"/>
    <n v="0"/>
  </r>
  <r>
    <n v="10817894"/>
    <d v="2024-12-26T19:30:26"/>
    <s v="NÃO"/>
    <x v="4"/>
    <x v="2"/>
    <s v="google - cpc"/>
    <s v="Curitiba - PR"/>
    <x v="0"/>
    <x v="0"/>
    <n v="0"/>
  </r>
  <r>
    <n v="11282287"/>
    <d v="2025-02-08T14:39:32"/>
    <s v="NÃO"/>
    <x v="0"/>
    <x v="0"/>
    <n v="0"/>
    <s v="Maringá - PR"/>
    <x v="3"/>
    <x v="4"/>
    <n v="0"/>
  </r>
  <r>
    <n v="10964370"/>
    <d v="2025-01-13T14:46:57"/>
    <s v="NÃO"/>
    <x v="4"/>
    <x v="0"/>
    <n v="0"/>
    <s v="Maringá - PR"/>
    <x v="1"/>
    <x v="3"/>
    <n v="0"/>
  </r>
  <r>
    <n v="11396005"/>
    <d v="2025-02-19T06:19:38"/>
    <s v="NÃO"/>
    <x v="3"/>
    <x v="4"/>
    <s v="facebook - cpc"/>
    <s v="Pato Branco - PR"/>
    <x v="0"/>
    <x v="4"/>
    <n v="0"/>
  </r>
  <r>
    <n v="11397580"/>
    <d v="2025-02-19T09:44:35"/>
    <s v="NÃO"/>
    <x v="6"/>
    <x v="4"/>
    <s v="facebook - cpc"/>
    <s v="Curitiba - PR"/>
    <x v="0"/>
    <x v="2"/>
    <n v="0"/>
  </r>
  <r>
    <n v="11916493"/>
    <d v="2025-04-08T14:45:07"/>
    <s v="NÃO"/>
    <x v="6"/>
    <x v="0"/>
    <n v="0"/>
    <s v="Pinhais - PR"/>
    <x v="0"/>
    <x v="2"/>
    <n v="0"/>
  </r>
  <r>
    <n v="10619822"/>
    <d v="2024-12-04T18:01:11"/>
    <s v="NÃO"/>
    <x v="3"/>
    <x v="2"/>
    <s v="google - cpc"/>
    <s v="Curitiba - PR"/>
    <x v="3"/>
    <x v="0"/>
    <n v="0"/>
  </r>
  <r>
    <n v="10877427"/>
    <d v="2025-01-05T15:24:26"/>
    <s v="NÃO"/>
    <x v="3"/>
    <x v="0"/>
    <n v="0"/>
    <s v="Curitiba - PR"/>
    <x v="0"/>
    <x v="0"/>
    <n v="0"/>
  </r>
  <r>
    <n v="11262017"/>
    <d v="2025-02-05T13:34:21"/>
    <s v="NÃO"/>
    <x v="5"/>
    <x v="8"/>
    <s v="rep - ximena-cubillos"/>
    <s v="Curitiba - PR"/>
    <x v="1"/>
    <x v="6"/>
    <n v="0"/>
  </r>
  <r>
    <n v="11546153"/>
    <d v="2025-03-05T09:14:49"/>
    <s v="NÃO"/>
    <x v="2"/>
    <x v="0"/>
    <n v="0"/>
    <s v="Maringá - PR"/>
    <x v="0"/>
    <x v="4"/>
    <n v="0"/>
  </r>
  <r>
    <n v="11890620"/>
    <d v="2025-04-06T17:17:53"/>
    <s v="NÃO"/>
    <x v="6"/>
    <x v="2"/>
    <n v="0"/>
    <s v="Campo Grande - MS"/>
    <x v="1"/>
    <x v="6"/>
    <n v="0"/>
  </r>
  <r>
    <n v="11965527"/>
    <d v="2025-04-13T10:59:11"/>
    <s v="NÃO"/>
    <x v="5"/>
    <x v="2"/>
    <n v="0"/>
    <s v="Curitiba - PR"/>
    <x v="1"/>
    <x v="2"/>
    <n v="0"/>
  </r>
  <r>
    <n v="11242878"/>
    <d v="2025-02-03T21:47:23"/>
    <s v="NÃO"/>
    <x v="7"/>
    <x v="6"/>
    <s v="bing - cpc"/>
    <s v="Palmas - PR"/>
    <x v="3"/>
    <x v="0"/>
    <n v="0"/>
  </r>
  <r>
    <n v="11725616"/>
    <d v="2025-03-22T21:47:17"/>
    <s v="NÃO"/>
    <x v="7"/>
    <x v="6"/>
    <s v="bing - cpc"/>
    <s v="Curitiba - PR"/>
    <x v="0"/>
    <x v="4"/>
    <n v="0"/>
  </r>
  <r>
    <n v="11858224"/>
    <d v="2025-04-03T17:30:04"/>
    <s v="NÃO"/>
    <x v="0"/>
    <x v="2"/>
    <s v="google - cpc"/>
    <s v="Sao Jose - SC"/>
    <x v="5"/>
    <x v="2"/>
    <n v="0"/>
  </r>
  <r>
    <n v="10612933"/>
    <d v="2024-12-04T09:45:34"/>
    <s v="NÃO"/>
    <x v="0"/>
    <x v="0"/>
    <n v="0"/>
    <s v="-"/>
    <x v="0"/>
    <x v="1"/>
    <n v="0"/>
  </r>
  <r>
    <n v="11790438"/>
    <d v="2025-03-28T12:57:01"/>
    <s v="NÃO"/>
    <x v="7"/>
    <x v="2"/>
    <s v="google - cpc"/>
    <s v="Rio de Janeiro - RJ"/>
    <x v="3"/>
    <x v="3"/>
    <n v="0"/>
  </r>
  <r>
    <n v="11394935"/>
    <d v="2025-02-18T20:44:06"/>
    <s v="NÃO"/>
    <x v="7"/>
    <x v="0"/>
    <n v="0"/>
    <s v="Angra dos Reis - RJ"/>
    <x v="3"/>
    <x v="0"/>
    <n v="0"/>
  </r>
  <r>
    <n v="11981766"/>
    <d v="2025-04-14T10:24:22"/>
    <s v="NÃO"/>
    <x v="7"/>
    <x v="2"/>
    <s v="google - cpc"/>
    <s v="Rio de Janeiro - RJ"/>
    <x v="0"/>
    <x v="2"/>
    <n v="0"/>
  </r>
  <r>
    <n v="11592970"/>
    <d v="2025-03-09T22:49:39"/>
    <s v="NÃO"/>
    <x v="5"/>
    <x v="2"/>
    <s v="google - cpc"/>
    <s v="Rio de Janeiro - RJ"/>
    <x v="0"/>
    <x v="6"/>
    <n v="0"/>
  </r>
  <r>
    <n v="11124836"/>
    <d v="2025-01-26T16:59:35"/>
    <s v="NÃO"/>
    <x v="5"/>
    <x v="0"/>
    <n v="0"/>
    <s v="Rio de Janeiro - RJ"/>
    <x v="4"/>
    <x v="0"/>
    <n v="0"/>
  </r>
  <r>
    <n v="10849481"/>
    <d v="2025-01-01T20:01:53"/>
    <s v="NÃO"/>
    <x v="5"/>
    <x v="0"/>
    <n v="0"/>
    <s v="Rio de Janeiro - RJ"/>
    <x v="0"/>
    <x v="0"/>
    <n v="0"/>
  </r>
  <r>
    <n v="11667512"/>
    <d v="2025-03-17T10:01:17"/>
    <s v="NÃO"/>
    <x v="4"/>
    <x v="2"/>
    <s v="google - cpc"/>
    <s v="Marica - RJ"/>
    <x v="0"/>
    <x v="2"/>
    <n v="0"/>
  </r>
  <r>
    <n v="10596772"/>
    <d v="2024-12-03T09:12:25"/>
    <s v="NÃO"/>
    <x v="2"/>
    <x v="0"/>
    <n v="0"/>
    <s v="Rio de Janeiro - RJ"/>
    <x v="4"/>
    <x v="5"/>
    <n v="0"/>
  </r>
  <r>
    <n v="11001963"/>
    <d v="2025-01-15T15:18:46"/>
    <s v="NÃO"/>
    <x v="7"/>
    <x v="2"/>
    <s v="google - cpc"/>
    <s v="Niterói - RJ"/>
    <x v="3"/>
    <x v="0"/>
    <n v="0"/>
  </r>
  <r>
    <n v="11738374"/>
    <d v="2025-03-24T02:09:15"/>
    <s v="NÃO"/>
    <x v="2"/>
    <x v="2"/>
    <s v="google - cpc"/>
    <s v="Niterói - RJ"/>
    <x v="0"/>
    <x v="6"/>
    <n v="0"/>
  </r>
  <r>
    <n v="10633197"/>
    <d v="2024-12-07T12:24:46"/>
    <s v="NÃO"/>
    <x v="1"/>
    <x v="2"/>
    <s v="google - cpc"/>
    <s v="Rio de Janeiro - RJ"/>
    <x v="0"/>
    <x v="3"/>
    <n v="0"/>
  </r>
  <r>
    <n v="11918945"/>
    <d v="2025-04-08T16:21:22"/>
    <s v="NÃO"/>
    <x v="4"/>
    <x v="2"/>
    <s v="google - cpc"/>
    <s v="Rio de Janeiro - RJ"/>
    <x v="3"/>
    <x v="0"/>
    <n v="0"/>
  </r>
  <r>
    <n v="11936527"/>
    <d v="2025-04-09T23:34:38"/>
    <s v="NÃO"/>
    <x v="4"/>
    <x v="0"/>
    <n v="0"/>
    <s v="Mesquita - RJ"/>
    <x v="0"/>
    <x v="5"/>
    <n v="0"/>
  </r>
  <r>
    <n v="11327939"/>
    <d v="2025-02-11T15:52:07"/>
    <s v="NÃO"/>
    <x v="0"/>
    <x v="2"/>
    <s v="google - cpc"/>
    <s v="Curitiba - PR"/>
    <x v="1"/>
    <x v="0"/>
    <n v="0"/>
  </r>
  <r>
    <n v="11737167"/>
    <d v="2025-03-23T19:31:28"/>
    <s v="NÃO"/>
    <x v="0"/>
    <x v="5"/>
    <s v="youtube - cpc"/>
    <s v="Curitiba - PR"/>
    <x v="3"/>
    <x v="2"/>
    <n v="0"/>
  </r>
  <r>
    <n v="11632926"/>
    <d v="2025-03-13T20:41:51"/>
    <s v="NÃO"/>
    <x v="7"/>
    <x v="4"/>
    <s v="facebook - cpc"/>
    <s v="Rio de Janeiro - RJ"/>
    <x v="3"/>
    <x v="6"/>
    <n v="0"/>
  </r>
  <r>
    <n v="11941801"/>
    <d v="2025-04-11T18:23:59"/>
    <s v="NÃO"/>
    <x v="6"/>
    <x v="0"/>
    <n v="0"/>
    <s v="São Paulo - SP"/>
    <x v="5"/>
    <x v="6"/>
    <n v="0"/>
  </r>
  <r>
    <n v="11215699"/>
    <d v="2025-02-02T07:06:25"/>
    <s v="NÃO"/>
    <x v="0"/>
    <x v="8"/>
    <s v="rep - ximena-cubillos"/>
    <s v="Niterói - RJ"/>
    <x v="4"/>
    <x v="5"/>
    <n v="0"/>
  </r>
  <r>
    <n v="10816822"/>
    <d v="2024-12-26T03:47:37"/>
    <s v="NÃO"/>
    <x v="0"/>
    <x v="0"/>
    <n v="0"/>
    <s v="Duque de Caxias - RJ"/>
    <x v="3"/>
    <x v="0"/>
    <n v="0"/>
  </r>
  <r>
    <n v="10821010"/>
    <d v="2024-12-28T09:44:35"/>
    <s v="NÃO"/>
    <x v="4"/>
    <x v="0"/>
    <n v="0"/>
    <s v="Duque de Caxias - RJ"/>
    <x v="0"/>
    <x v="0"/>
    <n v="0"/>
  </r>
  <r>
    <n v="11037348"/>
    <d v="2025-01-19T12:50:37"/>
    <s v="NÃO"/>
    <x v="4"/>
    <x v="2"/>
    <s v="google - cpc"/>
    <s v="Rio de Janeiro - RJ"/>
    <x v="0"/>
    <x v="6"/>
    <n v="0"/>
  </r>
  <r>
    <n v="10823699"/>
    <d v="2024-12-28T14:01:52"/>
    <s v="NÃO"/>
    <x v="4"/>
    <x v="2"/>
    <s v="google - cpc"/>
    <s v="Rio de Janeiro - RJ"/>
    <x v="0"/>
    <x v="2"/>
    <n v="0"/>
  </r>
  <r>
    <n v="10852630"/>
    <d v="2025-01-03T14:07:16"/>
    <s v="NÃO"/>
    <x v="4"/>
    <x v="2"/>
    <s v="google - cpc"/>
    <s v="Rio de Janeiro - RJ"/>
    <x v="1"/>
    <x v="3"/>
    <n v="0"/>
  </r>
  <r>
    <n v="10973177"/>
    <d v="2025-01-14T09:41:44"/>
    <s v="NÃO"/>
    <x v="4"/>
    <x v="10"/>
    <s v="email - economapas"/>
    <s v="Rio de Janeiro, RJ"/>
    <x v="0"/>
    <x v="3"/>
    <n v="0"/>
  </r>
  <r>
    <n v="10638310"/>
    <d v="2024-12-07T16:02:21"/>
    <s v="NÃO"/>
    <x v="0"/>
    <x v="0"/>
    <n v="0"/>
    <s v="Cheyenne, WY"/>
    <x v="5"/>
    <x v="0"/>
    <n v="0"/>
  </r>
  <r>
    <n v="11087312"/>
    <d v="2025-01-22T15:59:16"/>
    <s v="NÃO"/>
    <x v="0"/>
    <x v="0"/>
    <n v="0"/>
    <s v="Rio de Janeiro - RJ"/>
    <x v="0"/>
    <x v="2"/>
    <n v="0"/>
  </r>
  <r>
    <n v="11307145"/>
    <d v="2025-02-10T09:06:48"/>
    <s v="NÃO"/>
    <x v="0"/>
    <x v="0"/>
    <n v="0"/>
    <s v="Itaborai - RJ"/>
    <x v="3"/>
    <x v="0"/>
    <n v="0"/>
  </r>
  <r>
    <n v="11831700"/>
    <d v="2025-03-31T11:44:08"/>
    <s v="NÃO"/>
    <x v="2"/>
    <x v="2"/>
    <s v="google - cpc"/>
    <s v="Rio de Janeiro - RJ"/>
    <x v="0"/>
    <x v="6"/>
    <n v="0"/>
  </r>
  <r>
    <n v="11983924"/>
    <d v="2025-04-14T11:53:09"/>
    <s v="NÃO"/>
    <x v="2"/>
    <x v="6"/>
    <s v="bing - cpc"/>
    <s v="Rio de Janeiro - RJ"/>
    <x v="3"/>
    <x v="6"/>
    <n v="0"/>
  </r>
  <r>
    <n v="11560028"/>
    <d v="2025-03-07T00:50:51"/>
    <s v="NÃO"/>
    <x v="2"/>
    <x v="4"/>
    <s v="facebook - cpc"/>
    <s v="Rio de Janeiro - RJ"/>
    <x v="0"/>
    <x v="6"/>
    <n v="0"/>
  </r>
  <r>
    <n v="11676977"/>
    <d v="2025-03-17T16:36:28"/>
    <s v="NÃO"/>
    <x v="6"/>
    <x v="2"/>
    <n v="0"/>
    <s v="Rio de Janeiro, RJ"/>
    <x v="0"/>
    <x v="6"/>
    <n v="0"/>
  </r>
  <r>
    <n v="11425569"/>
    <d v="2025-02-22T20:33:04"/>
    <s v="NÃO"/>
    <x v="8"/>
    <x v="3"/>
    <s v="linkedin - cpc"/>
    <s v="Niterói - RJ"/>
    <x v="0"/>
    <x v="4"/>
    <n v="0"/>
  </r>
  <r>
    <n v="11719955"/>
    <d v="2025-03-22T14:53:57"/>
    <s v="NÃO"/>
    <x v="4"/>
    <x v="5"/>
    <s v="youtube - social"/>
    <s v="Rio de Janeiro - RJ"/>
    <x v="0"/>
    <x v="6"/>
    <n v="0"/>
  </r>
  <r>
    <n v="11424802"/>
    <d v="2025-02-22T17:49:19"/>
    <s v="NÃO"/>
    <x v="4"/>
    <x v="2"/>
    <s v="google - cpc"/>
    <s v="Niterói - RJ"/>
    <x v="0"/>
    <x v="6"/>
    <n v="0"/>
  </r>
  <r>
    <n v="11340180"/>
    <d v="2025-02-12T16:31:24"/>
    <s v="NÃO"/>
    <x v="4"/>
    <x v="4"/>
    <s v="facebook - cpc"/>
    <s v="São Paulo - SP"/>
    <x v="0"/>
    <x v="5"/>
    <n v="0"/>
  </r>
  <r>
    <n v="11562993"/>
    <d v="2025-03-08T07:34:13"/>
    <s v="NÃO"/>
    <x v="4"/>
    <x v="4"/>
    <s v="facebook - cpc"/>
    <s v="Rio de Janeiro - RJ"/>
    <x v="0"/>
    <x v="6"/>
    <n v="0"/>
  </r>
  <r>
    <n v="11557518"/>
    <d v="2025-03-05T21:15:02"/>
    <s v="NÃO"/>
    <x v="4"/>
    <x v="4"/>
    <s v="facebook - cpc"/>
    <s v="Rio de Janeiro - RJ"/>
    <x v="0"/>
    <x v="6"/>
    <n v="0"/>
  </r>
  <r>
    <n v="10624287"/>
    <d v="2024-12-06T20:10:02"/>
    <s v="NÃO"/>
    <x v="3"/>
    <x v="2"/>
    <s v="google - cpc"/>
    <s v="Rio de Janeiro - RJ"/>
    <x v="1"/>
    <x v="2"/>
    <n v="0"/>
  </r>
  <r>
    <n v="10630515"/>
    <d v="2024-12-07T11:26:06"/>
    <s v="NÃO"/>
    <x v="3"/>
    <x v="2"/>
    <s v="google - cpc"/>
    <s v="São Paulo - SP"/>
    <x v="1"/>
    <x v="0"/>
    <n v="0"/>
  </r>
  <r>
    <n v="10977553"/>
    <d v="2025-01-14T11:54:35"/>
    <s v="NÃO"/>
    <x v="3"/>
    <x v="2"/>
    <s v="google - cpc"/>
    <s v="Vitória - ES"/>
    <x v="0"/>
    <x v="2"/>
    <n v="0"/>
  </r>
  <r>
    <n v="11996368"/>
    <d v="2025-04-15T09:53:33"/>
    <s v="NÃO"/>
    <x v="2"/>
    <x v="2"/>
    <s v="google - cpc"/>
    <s v="Rio de Janeiro - RJ"/>
    <x v="1"/>
    <x v="5"/>
    <n v="0"/>
  </r>
  <r>
    <n v="11703261"/>
    <d v="2025-03-19T17:01:05"/>
    <s v="NÃO"/>
    <x v="8"/>
    <x v="2"/>
    <s v="google - cpc"/>
    <s v="Rio de Janeiro - RJ"/>
    <x v="0"/>
    <x v="5"/>
    <n v="0"/>
  </r>
  <r>
    <n v="10757007"/>
    <d v="2024-12-17T12:31:05"/>
    <s v="NÃO"/>
    <x v="8"/>
    <x v="2"/>
    <s v="google - cpc"/>
    <s v="Teresina - PI"/>
    <x v="1"/>
    <x v="3"/>
    <n v="0"/>
  </r>
  <r>
    <n v="11419493"/>
    <d v="2025-02-22T12:18:12"/>
    <s v="NÃO"/>
    <x v="2"/>
    <x v="9"/>
    <s v="leads - email"/>
    <s v="Salvador - BA"/>
    <x v="3"/>
    <x v="5"/>
    <n v="0"/>
  </r>
  <r>
    <n v="11426562"/>
    <d v="2025-02-22T22:46:30"/>
    <s v="NÃO"/>
    <x v="2"/>
    <x v="9"/>
    <s v="leads - email"/>
    <s v="Itauna - MG"/>
    <x v="3"/>
    <x v="6"/>
    <n v="0"/>
  </r>
  <r>
    <n v="11445400"/>
    <d v="2025-02-24T11:12:41"/>
    <s v="NÃO"/>
    <x v="2"/>
    <x v="9"/>
    <s v="leads - email"/>
    <s v="Curitiba - PR"/>
    <x v="0"/>
    <x v="5"/>
    <n v="0"/>
  </r>
  <r>
    <n v="11602153"/>
    <d v="2025-03-10T15:33:26"/>
    <s v="NÃO"/>
    <x v="2"/>
    <x v="9"/>
    <s v="leads - email"/>
    <s v="Rio Negrinho - SC"/>
    <x v="3"/>
    <x v="2"/>
    <n v="0"/>
  </r>
  <r>
    <n v="11557701"/>
    <d v="2025-03-05T22:26:02"/>
    <s v="NÃO"/>
    <x v="6"/>
    <x v="9"/>
    <s v="leads - email"/>
    <s v="Brasília - DF"/>
    <x v="0"/>
    <x v="4"/>
    <n v="0"/>
  </r>
  <r>
    <n v="11283789"/>
    <d v="2025-02-08T15:16:38"/>
    <s v="NÃO"/>
    <x v="6"/>
    <x v="9"/>
    <s v="leads - email"/>
    <s v="Limeira - SP"/>
    <x v="0"/>
    <x v="2"/>
    <n v="0"/>
  </r>
  <r>
    <n v="11488783"/>
    <d v="2025-03-01T10:34:09"/>
    <s v="NÃO"/>
    <x v="6"/>
    <x v="5"/>
    <s v="youtube - cpc"/>
    <s v="Diadema - SP"/>
    <x v="0"/>
    <x v="3"/>
    <n v="0"/>
  </r>
  <r>
    <n v="11698506"/>
    <d v="2025-03-19T12:33:26"/>
    <s v="NÃO"/>
    <x v="2"/>
    <x v="5"/>
    <s v="youtube - social"/>
    <s v="Guaruja - SP"/>
    <x v="0"/>
    <x v="2"/>
    <n v="0"/>
  </r>
  <r>
    <n v="11709366"/>
    <d v="2025-03-21T01:25:34"/>
    <s v="NÃO"/>
    <x v="6"/>
    <x v="5"/>
    <s v="youtube - cpc"/>
    <s v="Rio de Janeiro - RJ"/>
    <x v="3"/>
    <x v="4"/>
    <n v="0"/>
  </r>
  <r>
    <n v="11212439"/>
    <d v="2025-02-01T16:55:27"/>
    <s v="NÃO"/>
    <x v="6"/>
    <x v="6"/>
    <s v="bing - cpc"/>
    <s v="Lagoão - PR"/>
    <x v="6"/>
    <x v="2"/>
    <n v="0"/>
  </r>
  <r>
    <n v="11642661"/>
    <d v="2025-03-15T13:44:09"/>
    <s v="NÃO"/>
    <x v="6"/>
    <x v="6"/>
    <s v="bing - cpc"/>
    <s v="Sao Joao Batista - SC"/>
    <x v="0"/>
    <x v="0"/>
    <n v="0"/>
  </r>
  <r>
    <n v="11743421"/>
    <d v="2025-03-24T12:23:15"/>
    <s v="NÃO"/>
    <x v="6"/>
    <x v="6"/>
    <s v="bing - cpc"/>
    <s v="São Paulo - SP"/>
    <x v="1"/>
    <x v="3"/>
    <n v="0"/>
  </r>
  <r>
    <n v="11482056"/>
    <d v="2025-02-27T16:45:19"/>
    <s v="NÃO"/>
    <x v="6"/>
    <x v="2"/>
    <s v="google - cpc"/>
    <s v="Salvador - BA"/>
    <x v="1"/>
    <x v="2"/>
    <n v="0"/>
  </r>
  <r>
    <n v="11561488"/>
    <d v="2025-03-07T16:29:04"/>
    <s v="NÃO"/>
    <x v="6"/>
    <x v="4"/>
    <s v="facebook - cpc"/>
    <s v="Teresina - PI"/>
    <x v="0"/>
    <x v="5"/>
    <n v="0"/>
  </r>
  <r>
    <n v="11559549"/>
    <d v="2025-03-06T19:17:32"/>
    <s v="NÃO"/>
    <x v="6"/>
    <x v="4"/>
    <s v="facebook - cpc"/>
    <s v="São Paulo - SP"/>
    <x v="0"/>
    <x v="6"/>
    <n v="0"/>
  </r>
  <r>
    <n v="11557319"/>
    <d v="2025-03-05T20:20:14"/>
    <s v="NÃO"/>
    <x v="6"/>
    <x v="4"/>
    <s v="facebook - cpc"/>
    <s v="Belo Horizonte - MG"/>
    <x v="3"/>
    <x v="3"/>
    <n v="0"/>
  </r>
  <r>
    <n v="11557408"/>
    <d v="2025-03-05T20:44:13"/>
    <s v="NÃO"/>
    <x v="6"/>
    <x v="4"/>
    <s v="facebook - cpc"/>
    <s v="Chapecó - SC"/>
    <x v="3"/>
    <x v="6"/>
    <n v="0"/>
  </r>
  <r>
    <n v="11865530"/>
    <d v="2025-04-05T11:12:50"/>
    <s v="NÃO"/>
    <x v="6"/>
    <x v="10"/>
    <n v="0"/>
    <s v="São Paulo"/>
    <x v="1"/>
    <x v="6"/>
    <n v="0"/>
  </r>
  <r>
    <n v="11114472"/>
    <d v="2025-01-26T09:13:35"/>
    <s v="NÃO"/>
    <x v="6"/>
    <x v="8"/>
    <s v="rep - ximena-cubillos"/>
    <s v="Jaraguá do Sul - SC"/>
    <x v="5"/>
    <x v="0"/>
    <n v="0"/>
  </r>
  <r>
    <n v="11469928"/>
    <d v="2025-02-26T09:57:06"/>
    <s v="NÃO"/>
    <x v="6"/>
    <x v="8"/>
    <s v="rep - ximena-cubillos"/>
    <s v="Curitiba - PR"/>
    <x v="1"/>
    <x v="6"/>
    <n v="0"/>
  </r>
  <r>
    <n v="10957709"/>
    <d v="2025-01-13T09:50:46"/>
    <s v="NÃO"/>
    <x v="6"/>
    <x v="8"/>
    <s v="rep - ximena-cubillos"/>
    <s v="São José dos Campos - SP"/>
    <x v="1"/>
    <x v="4"/>
    <n v="0"/>
  </r>
  <r>
    <n v="11387888"/>
    <d v="2025-02-18T12:27:51"/>
    <s v="NÃO"/>
    <x v="6"/>
    <x v="4"/>
    <s v="facebook - cpc"/>
    <s v="Ararangua - SC"/>
    <x v="1"/>
    <x v="6"/>
    <n v="0"/>
  </r>
  <r>
    <n v="11381518"/>
    <d v="2025-02-17T18:25:08"/>
    <s v="NÃO"/>
    <x v="6"/>
    <x v="4"/>
    <s v="facebook - cpc"/>
    <s v="Belo Horizonte - MG"/>
    <x v="0"/>
    <x v="4"/>
    <n v="0"/>
  </r>
  <r>
    <n v="11787596"/>
    <d v="2025-03-27T09:23:24"/>
    <s v="NÃO"/>
    <x v="2"/>
    <x v="2"/>
    <s v="google - cpc"/>
    <s v="Brasília - DF"/>
    <x v="0"/>
    <x v="5"/>
    <n v="0"/>
  </r>
  <r>
    <n v="11725595"/>
    <d v="2025-03-22T21:42:10"/>
    <s v="NÃO"/>
    <x v="2"/>
    <x v="2"/>
    <s v="google - cpc"/>
    <s v="Jacareí - SP"/>
    <x v="3"/>
    <x v="6"/>
    <n v="0"/>
  </r>
  <r>
    <n v="11881003"/>
    <d v="2025-04-06T12:24:06"/>
    <s v="NÃO"/>
    <x v="2"/>
    <x v="2"/>
    <s v="google - cpc"/>
    <s v="Paraty - RJ"/>
    <x v="3"/>
    <x v="2"/>
    <n v="0"/>
  </r>
  <r>
    <n v="11707025"/>
    <d v="2025-03-20T06:05:11"/>
    <s v="NÃO"/>
    <x v="2"/>
    <x v="2"/>
    <s v="google - cpc"/>
    <s v="Salvador - BA"/>
    <x v="0"/>
    <x v="5"/>
    <n v="0"/>
  </r>
  <r>
    <n v="11404639"/>
    <d v="2025-02-19T17:13:56"/>
    <s v="NÃO"/>
    <x v="2"/>
    <x v="4"/>
    <s v="facebook - cpc"/>
    <s v="Nossa Senhora do Socorro - SE"/>
    <x v="3"/>
    <x v="2"/>
    <n v="0"/>
  </r>
  <r>
    <n v="11387718"/>
    <d v="2025-02-18T12:09:32"/>
    <s v="NÃO"/>
    <x v="2"/>
    <x v="4"/>
    <s v="facebook - cpc"/>
    <s v="Porto Seguro - BA"/>
    <x v="0"/>
    <x v="6"/>
    <n v="0"/>
  </r>
  <r>
    <n v="11357327"/>
    <d v="2025-02-15T17:29:19"/>
    <s v="NÃO"/>
    <x v="2"/>
    <x v="4"/>
    <s v="facebook - cpc"/>
    <s v="Uberlândia - MG"/>
    <x v="1"/>
    <x v="4"/>
    <n v="0"/>
  </r>
  <r>
    <n v="11348504"/>
    <d v="2025-02-15T02:55:35"/>
    <s v="NÃO"/>
    <x v="2"/>
    <x v="4"/>
    <s v="facebook - cpc"/>
    <s v="Belo Horizonte - MG"/>
    <x v="0"/>
    <x v="5"/>
    <n v="0"/>
  </r>
  <r>
    <n v="11406856"/>
    <d v="2025-02-20T10:27:52"/>
    <s v="NÃO"/>
    <x v="2"/>
    <x v="4"/>
    <s v="facebook - cpc"/>
    <s v="São Paulo - SP"/>
    <x v="3"/>
    <x v="2"/>
    <n v="0"/>
  </r>
  <r>
    <n v="11406089"/>
    <d v="2025-02-20T01:31:06"/>
    <s v="NÃO"/>
    <x v="2"/>
    <x v="4"/>
    <s v="facebook - cpc"/>
    <s v="Campo Novo do Parecis - MT"/>
    <x v="0"/>
    <x v="6"/>
    <n v="0"/>
  </r>
  <r>
    <n v="11697953"/>
    <d v="2025-03-19T11:34:55"/>
    <s v="NÃO"/>
    <x v="2"/>
    <x v="2"/>
    <n v="0"/>
    <s v="Brasília - DF"/>
    <x v="0"/>
    <x v="0"/>
    <n v="0"/>
  </r>
  <r>
    <n v="11267627"/>
    <d v="2025-02-05T22:11:01"/>
    <s v="NÃO"/>
    <x v="2"/>
    <x v="2"/>
    <s v="google - cpc"/>
    <s v="Rio Preto - SP"/>
    <x v="1"/>
    <x v="0"/>
    <n v="0"/>
  </r>
  <r>
    <n v="11299805"/>
    <d v="2025-02-09T14:24:38"/>
    <s v="NÃO"/>
    <x v="2"/>
    <x v="2"/>
    <s v="google - cpc"/>
    <s v="Recife - PE"/>
    <x v="3"/>
    <x v="5"/>
    <n v="0"/>
  </r>
  <r>
    <n v="11290394"/>
    <d v="2025-02-08T18:41:54"/>
    <s v="NÃO"/>
    <x v="2"/>
    <x v="2"/>
    <s v="google - cpc"/>
    <s v="Salvador - BA"/>
    <x v="0"/>
    <x v="2"/>
    <n v="0"/>
  </r>
  <r>
    <n v="11659177"/>
    <d v="2025-03-16T14:49:32"/>
    <s v="NÃO"/>
    <x v="2"/>
    <x v="2"/>
    <s v="google - cpc"/>
    <s v="Palmas - TO"/>
    <x v="3"/>
    <x v="0"/>
    <n v="0"/>
  </r>
  <r>
    <n v="11595858"/>
    <d v="2025-03-10T09:36:40"/>
    <s v="NÃO"/>
    <x v="2"/>
    <x v="2"/>
    <s v="google - cpc"/>
    <s v="Campos Lindos - TO"/>
    <x v="3"/>
    <x v="5"/>
    <n v="0"/>
  </r>
  <r>
    <n v="11939374"/>
    <d v="2025-04-10T16:34:38"/>
    <s v="NÃO"/>
    <x v="2"/>
    <x v="2"/>
    <s v="google - cpc"/>
    <s v="São Paulo - SP"/>
    <x v="0"/>
    <x v="6"/>
    <n v="0"/>
  </r>
  <r>
    <n v="11890180"/>
    <d v="2025-04-06T16:58:29"/>
    <s v="NÃO"/>
    <x v="2"/>
    <x v="2"/>
    <s v="google - cpc"/>
    <s v="Tres Pontas - MG"/>
    <x v="3"/>
    <x v="4"/>
    <n v="0"/>
  </r>
  <r>
    <n v="11933244"/>
    <d v="2025-04-09T15:12:36"/>
    <s v="NÃO"/>
    <x v="2"/>
    <x v="2"/>
    <s v="google - cpc"/>
    <s v="Coronel Fabriciano - MG"/>
    <x v="0"/>
    <x v="2"/>
    <n v="0"/>
  </r>
  <r>
    <n v="11020867"/>
    <d v="2025-01-18T13:40:16"/>
    <s v="NÃO"/>
    <x v="2"/>
    <x v="2"/>
    <s v="google - cpc"/>
    <s v="Guaruja - SP"/>
    <x v="1"/>
    <x v="6"/>
    <n v="0"/>
  </r>
  <r>
    <n v="10983811"/>
    <d v="2025-01-14T16:25:59"/>
    <s v="NÃO"/>
    <x v="2"/>
    <x v="2"/>
    <s v="google - cpc"/>
    <s v="Três Corações - MG"/>
    <x v="3"/>
    <x v="2"/>
    <n v="0"/>
  </r>
  <r>
    <n v="11001895"/>
    <d v="2025-01-15T15:13:00"/>
    <s v="NÃO"/>
    <x v="2"/>
    <x v="2"/>
    <s v="google - cpc"/>
    <s v="Juazeiro - BA"/>
    <x v="5"/>
    <x v="6"/>
    <n v="0"/>
  </r>
  <r>
    <n v="11001917"/>
    <d v="2025-01-15T15:14:24"/>
    <s v="NÃO"/>
    <x v="2"/>
    <x v="2"/>
    <s v="google - cpc"/>
    <s v="Juazeiro - BA"/>
    <x v="5"/>
    <x v="6"/>
    <n v="0"/>
  </r>
  <r>
    <n v="11345811"/>
    <d v="2025-02-13T20:46:31"/>
    <s v="NÃO"/>
    <x v="2"/>
    <x v="2"/>
    <s v="google - cpc"/>
    <s v="Rio de Janeiro - RJ"/>
    <x v="0"/>
    <x v="6"/>
    <n v="0"/>
  </r>
  <r>
    <n v="11348445"/>
    <d v="2025-02-15T01:35:56"/>
    <s v="NÃO"/>
    <x v="2"/>
    <x v="2"/>
    <s v="google - cpc"/>
    <s v="Rio Preto - SP"/>
    <x v="0"/>
    <x v="6"/>
    <n v="0"/>
  </r>
  <r>
    <n v="11272040"/>
    <d v="2025-02-07T15:14:27"/>
    <s v="NÃO"/>
    <x v="2"/>
    <x v="2"/>
    <s v="google - cpc"/>
    <s v="Belém - PA"/>
    <x v="3"/>
    <x v="0"/>
    <n v="0"/>
  </r>
  <r>
    <n v="11263319"/>
    <d v="2025-02-05T14:45:42"/>
    <s v="NÃO"/>
    <x v="2"/>
    <x v="2"/>
    <s v="google - cpc"/>
    <s v="São Paulo - SP"/>
    <x v="1"/>
    <x v="3"/>
    <n v="0"/>
  </r>
  <r>
    <n v="11434164"/>
    <d v="2025-02-23T14:33:46"/>
    <s v="NÃO"/>
    <x v="2"/>
    <x v="2"/>
    <s v="google - cpc"/>
    <s v="São Paulo - SP"/>
    <x v="0"/>
    <x v="5"/>
    <n v="0"/>
  </r>
  <r>
    <n v="11443744"/>
    <d v="2025-02-24T10:04:12"/>
    <s v="NÃO"/>
    <x v="2"/>
    <x v="2"/>
    <s v="google - cpc"/>
    <s v="Curitiba - PR"/>
    <x v="1"/>
    <x v="2"/>
    <n v="0"/>
  </r>
  <r>
    <n v="11391560"/>
    <d v="2025-02-18T15:44:03"/>
    <s v="NÃO"/>
    <x v="2"/>
    <x v="6"/>
    <s v="bing - cpc"/>
    <s v="Osasco - SP"/>
    <x v="0"/>
    <x v="4"/>
    <n v="0"/>
  </r>
  <r>
    <n v="11561463"/>
    <d v="2025-03-07T16:13:26"/>
    <s v="NÃO"/>
    <x v="2"/>
    <x v="4"/>
    <s v="facebook - cpc"/>
    <s v="São Paulo - SP"/>
    <x v="0"/>
    <x v="6"/>
    <n v="0"/>
  </r>
  <r>
    <n v="11569316"/>
    <d v="2025-03-08T12:49:26"/>
    <s v="NÃO"/>
    <x v="2"/>
    <x v="4"/>
    <s v="facebook - cpc"/>
    <s v="Camaçari - BA"/>
    <x v="0"/>
    <x v="6"/>
    <n v="0"/>
  </r>
  <r>
    <n v="11570077"/>
    <d v="2025-03-08T13:52:36"/>
    <s v="NÃO"/>
    <x v="2"/>
    <x v="4"/>
    <s v="facebook - cpc"/>
    <s v="Parnamirim - RN"/>
    <x v="3"/>
    <x v="2"/>
    <n v="0"/>
  </r>
  <r>
    <n v="11571867"/>
    <d v="2025-03-08T15:03:53"/>
    <s v="NÃO"/>
    <x v="2"/>
    <x v="4"/>
    <s v="facebook - cpc"/>
    <s v="Uberlândia - MG"/>
    <x v="0"/>
    <x v="6"/>
    <n v="0"/>
  </r>
  <r>
    <n v="11563069"/>
    <d v="2025-03-08T08:00:47"/>
    <s v="NÃO"/>
    <x v="2"/>
    <x v="4"/>
    <s v="facebook - cpc"/>
    <s v="Anápolis - GO"/>
    <x v="0"/>
    <x v="5"/>
    <n v="0"/>
  </r>
  <r>
    <n v="11345572"/>
    <d v="2025-02-13T18:39:39"/>
    <s v="NÃO"/>
    <x v="2"/>
    <x v="4"/>
    <s v="facebook - cpc"/>
    <s v="Brasília - DF"/>
    <x v="1"/>
    <x v="0"/>
    <n v="0"/>
  </r>
  <r>
    <n v="11446953"/>
    <d v="2025-02-24T13:21:05"/>
    <s v="NÃO"/>
    <x v="2"/>
    <x v="2"/>
    <s v="google - cpc"/>
    <s v="São Paulo - SP"/>
    <x v="3"/>
    <x v="2"/>
    <n v="0"/>
  </r>
  <r>
    <n v="11631896"/>
    <d v="2025-03-13T13:39:39"/>
    <s v="NÃO"/>
    <x v="2"/>
    <x v="6"/>
    <s v="bing - cpc"/>
    <s v="São Bernardo do Campo - SP"/>
    <x v="3"/>
    <x v="3"/>
    <n v="0"/>
  </r>
  <r>
    <n v="10701390"/>
    <d v="2024-12-11T22:08:34"/>
    <s v="NÃO"/>
    <x v="2"/>
    <x v="6"/>
    <s v="bing - cpc"/>
    <s v="Erechim - RS"/>
    <x v="3"/>
    <x v="5"/>
    <n v="0"/>
  </r>
  <r>
    <n v="11578041"/>
    <d v="2025-03-08T22:43:17"/>
    <s v="NÃO"/>
    <x v="2"/>
    <x v="7"/>
    <s v="instagram - social"/>
    <s v="Palhoca - SC"/>
    <x v="0"/>
    <x v="2"/>
    <n v="0"/>
  </r>
  <r>
    <n v="11557827"/>
    <d v="2025-03-05T23:31:32"/>
    <s v="NÃO"/>
    <x v="2"/>
    <x v="7"/>
    <s v="instagram - social"/>
    <s v="São Paulo - SP"/>
    <x v="0"/>
    <x v="2"/>
    <n v="0"/>
  </r>
  <r>
    <n v="11406061"/>
    <d v="2025-02-20T00:56:37"/>
    <s v="NÃO"/>
    <x v="2"/>
    <x v="7"/>
    <s v="instagram - social"/>
    <s v="São Paulo - SP"/>
    <x v="3"/>
    <x v="2"/>
    <n v="0"/>
  </r>
  <r>
    <n v="12003726"/>
    <d v="2025-04-15T15:37:43"/>
    <s v="NÃO"/>
    <x v="2"/>
    <x v="2"/>
    <s v="google - cpc"/>
    <s v="Belo Horizonte - MG"/>
    <x v="1"/>
    <x v="5"/>
    <n v="0"/>
  </r>
  <r>
    <n v="11915277"/>
    <d v="2025-04-08T14:15:16"/>
    <s v="NÃO"/>
    <x v="2"/>
    <x v="2"/>
    <s v="google - cpc"/>
    <s v="Marica - RJ"/>
    <x v="1"/>
    <x v="0"/>
    <n v="0"/>
  </r>
  <r>
    <n v="11927936"/>
    <d v="2025-04-09T10:35:13"/>
    <s v="NÃO"/>
    <x v="2"/>
    <x v="2"/>
    <s v="google - cpc"/>
    <s v="Piedade - SP"/>
    <x v="3"/>
    <x v="5"/>
    <n v="0"/>
  </r>
  <r>
    <n v="11722345"/>
    <d v="2025-03-22T15:52:33"/>
    <s v="NÃO"/>
    <x v="2"/>
    <x v="10"/>
    <n v="0"/>
    <s v="-"/>
    <x v="0"/>
    <x v="5"/>
    <n v="0"/>
  </r>
  <r>
    <n v="11118407"/>
    <d v="2025-01-26T11:30:30"/>
    <s v="NÃO"/>
    <x v="2"/>
    <x v="8"/>
    <s v="rep - ximena-cubillos"/>
    <s v="Curitiba - PR"/>
    <x v="0"/>
    <x v="0"/>
    <n v="0"/>
  </r>
  <r>
    <n v="11546605"/>
    <d v="2025-03-05T09:33:32"/>
    <s v="NÃO"/>
    <x v="2"/>
    <x v="4"/>
    <s v="facebook - cpc"/>
    <s v="Seropedica - RJ"/>
    <x v="0"/>
    <x v="0"/>
    <n v="0"/>
  </r>
  <r>
    <n v="11556974"/>
    <d v="2025-03-05T18:18:00"/>
    <s v="NÃO"/>
    <x v="2"/>
    <x v="4"/>
    <s v="facebook - cpc"/>
    <s v="Araxá - MG"/>
    <x v="0"/>
    <x v="6"/>
    <n v="0"/>
  </r>
  <r>
    <n v="11551951"/>
    <d v="2025-03-05T12:40:39"/>
    <s v="NÃO"/>
    <x v="2"/>
    <x v="4"/>
    <s v="facebook - cpc"/>
    <s v="Itapema - SC"/>
    <x v="0"/>
    <x v="0"/>
    <n v="0"/>
  </r>
  <r>
    <n v="11607906"/>
    <d v="2025-03-11T07:31:55"/>
    <s v="NÃO"/>
    <x v="2"/>
    <x v="4"/>
    <s v="facebook - cpc"/>
    <s v="Belo Horizonte - MG"/>
    <x v="3"/>
    <x v="6"/>
    <n v="0"/>
  </r>
  <r>
    <n v="11555511"/>
    <d v="2025-03-05T16:07:16"/>
    <s v="NÃO"/>
    <x v="4"/>
    <x v="4"/>
    <s v="facebook - cpc"/>
    <s v="Maceió - AL"/>
    <x v="0"/>
    <x v="2"/>
    <n v="0"/>
  </r>
  <r>
    <n v="11406696"/>
    <d v="2025-02-20T09:47:03"/>
    <s v="NÃO"/>
    <x v="3"/>
    <x v="4"/>
    <s v="facebook - cpc"/>
    <s v="Monte Dourado - PA"/>
    <x v="1"/>
    <x v="2"/>
    <n v="0"/>
  </r>
  <r>
    <n v="11611688"/>
    <d v="2025-03-11T11:55:17"/>
    <s v="NÃO"/>
    <x v="2"/>
    <x v="6"/>
    <s v="bing - cpc"/>
    <s v="Macapá - AP"/>
    <x v="0"/>
    <x v="6"/>
    <n v="0"/>
  </r>
  <r>
    <n v="10803906"/>
    <d v="2024-12-22T19:28:15"/>
    <s v="NÃO"/>
    <x v="7"/>
    <x v="2"/>
    <s v="google - cpc"/>
    <s v="Salvador - BA"/>
    <x v="3"/>
    <x v="3"/>
    <n v="0"/>
  </r>
  <r>
    <n v="11578096"/>
    <d v="2025-03-08T23:04:55"/>
    <s v="NÃO"/>
    <x v="2"/>
    <x v="4"/>
    <s v="facebook - cpc"/>
    <s v="Eunapolis - BA"/>
    <x v="3"/>
    <x v="3"/>
    <n v="0"/>
  </r>
  <r>
    <n v="11397768"/>
    <d v="2025-02-19T09:51:13"/>
    <s v="NÃO"/>
    <x v="4"/>
    <x v="4"/>
    <s v="facebook - cpc"/>
    <s v="Salvador - BA"/>
    <x v="0"/>
    <x v="6"/>
    <n v="0"/>
  </r>
  <r>
    <n v="11577519"/>
    <d v="2025-03-08T20:22:25"/>
    <s v="NÃO"/>
    <x v="7"/>
    <x v="4"/>
    <s v="facebook - cpc"/>
    <s v="Porto Seguro - BA"/>
    <x v="0"/>
    <x v="2"/>
    <n v="0"/>
  </r>
  <r>
    <n v="11543483"/>
    <d v="2025-03-04T22:12:15"/>
    <s v="NÃO"/>
    <x v="3"/>
    <x v="4"/>
    <s v="facebook - cpc"/>
    <s v="Jacobina - BA"/>
    <x v="0"/>
    <x v="6"/>
    <n v="0"/>
  </r>
  <r>
    <n v="11543243"/>
    <d v="2025-03-04T21:07:52"/>
    <s v="NÃO"/>
    <x v="0"/>
    <x v="4"/>
    <s v="facebook - cpc"/>
    <s v="Santana do Ipanema - AL"/>
    <x v="4"/>
    <x v="6"/>
    <n v="0"/>
  </r>
  <r>
    <n v="11410871"/>
    <d v="2025-02-21T21:13:36"/>
    <s v="NÃO"/>
    <x v="0"/>
    <x v="2"/>
    <s v="google - cpc"/>
    <s v="Vicosa - AL"/>
    <x v="0"/>
    <x v="4"/>
    <n v="0"/>
  </r>
  <r>
    <n v="11438527"/>
    <d v="2025-02-23T17:03:19"/>
    <s v="NÃO"/>
    <x v="0"/>
    <x v="2"/>
    <s v="google - cpc"/>
    <s v="Manaus - AM"/>
    <x v="4"/>
    <x v="0"/>
    <n v="0"/>
  </r>
  <r>
    <n v="11912313"/>
    <d v="2025-04-08T11:26:30"/>
    <s v="NÃO"/>
    <x v="0"/>
    <x v="6"/>
    <s v="bing - cpc"/>
    <s v="Manaus - AM"/>
    <x v="1"/>
    <x v="0"/>
    <n v="0"/>
  </r>
  <r>
    <n v="11450954"/>
    <d v="2025-02-24T16:53:32"/>
    <s v="NÃO"/>
    <x v="4"/>
    <x v="2"/>
    <s v="google - cpc"/>
    <s v="Manaus - AM"/>
    <x v="0"/>
    <x v="0"/>
    <n v="0"/>
  </r>
  <r>
    <n v="11983393"/>
    <d v="2025-04-14T11:30:18"/>
    <s v="NÃO"/>
    <x v="6"/>
    <x v="2"/>
    <s v="google - cpc"/>
    <s v="Manaus - AM"/>
    <x v="6"/>
    <x v="3"/>
    <n v="0"/>
  </r>
  <r>
    <n v="10848825"/>
    <d v="2025-01-01T12:18:39"/>
    <s v="NÃO"/>
    <x v="6"/>
    <x v="2"/>
    <s v="google - cpc"/>
    <s v="Canela - RS"/>
    <x v="0"/>
    <x v="2"/>
    <n v="0"/>
  </r>
  <r>
    <n v="10945780"/>
    <d v="2025-01-12T11:32:42"/>
    <s v="NÃO"/>
    <x v="6"/>
    <x v="2"/>
    <s v="google - cpc"/>
    <s v="Parada de Lucas - RJ"/>
    <x v="6"/>
    <x v="0"/>
    <n v="0"/>
  </r>
  <r>
    <n v="11557930"/>
    <d v="2025-03-06T00:39:01"/>
    <s v="NÃO"/>
    <x v="6"/>
    <x v="0"/>
    <n v="0"/>
    <s v="São Paulo - SP"/>
    <x v="0"/>
    <x v="6"/>
    <n v="0"/>
  </r>
  <r>
    <n v="11537969"/>
    <d v="2025-03-04T15:02:11"/>
    <s v="NÃO"/>
    <x v="6"/>
    <x v="0"/>
    <n v="0"/>
    <s v="São Paulo - SP"/>
    <x v="4"/>
    <x v="2"/>
    <n v="0"/>
  </r>
  <r>
    <n v="11363349"/>
    <d v="2025-02-16T12:40:07"/>
    <s v="NÃO"/>
    <x v="6"/>
    <x v="0"/>
    <n v="0"/>
    <s v="Brasília - DF"/>
    <x v="1"/>
    <x v="6"/>
    <n v="0"/>
  </r>
  <r>
    <n v="11266152"/>
    <d v="2025-02-05T17:23:49"/>
    <s v="NÃO"/>
    <x v="6"/>
    <x v="0"/>
    <n v="0"/>
    <s v="Uberlândia - MG"/>
    <x v="4"/>
    <x v="3"/>
    <n v="0"/>
  </r>
  <r>
    <n v="11299097"/>
    <d v="2025-02-09T13:31:16"/>
    <s v="NÃO"/>
    <x v="6"/>
    <x v="0"/>
    <n v="0"/>
    <s v="Barra de Sao Francisco - ES"/>
    <x v="1"/>
    <x v="6"/>
    <n v="0"/>
  </r>
  <r>
    <n v="10965606"/>
    <d v="2025-01-13T15:41:18"/>
    <s v="NÃO"/>
    <x v="6"/>
    <x v="0"/>
    <n v="0"/>
    <s v="Vargem Grande do Sul - SP"/>
    <x v="4"/>
    <x v="3"/>
    <n v="0"/>
  </r>
  <r>
    <n v="10923624"/>
    <d v="2025-01-10T20:40:41"/>
    <s v="NÃO"/>
    <x v="6"/>
    <x v="0"/>
    <n v="0"/>
    <s v="Caucaia - CE"/>
    <x v="3"/>
    <x v="4"/>
    <n v="0"/>
  </r>
  <r>
    <n v="10935352"/>
    <d v="2025-01-11T15:30:06"/>
    <s v="NÃO"/>
    <x v="6"/>
    <x v="0"/>
    <n v="0"/>
    <s v="-"/>
    <x v="4"/>
    <x v="3"/>
    <n v="0"/>
  </r>
  <r>
    <n v="10948184"/>
    <d v="2025-01-12T13:26:03"/>
    <s v="NÃO"/>
    <x v="6"/>
    <x v="0"/>
    <n v="0"/>
    <s v="-"/>
    <x v="6"/>
    <x v="3"/>
    <n v="0"/>
  </r>
  <r>
    <n v="10724396"/>
    <d v="2024-12-14T21:42:27"/>
    <s v="NÃO"/>
    <x v="6"/>
    <x v="0"/>
    <n v="0"/>
    <s v="Piracicaba - SP"/>
    <x v="0"/>
    <x v="4"/>
    <n v="0"/>
  </r>
  <r>
    <n v="10748632"/>
    <d v="2024-12-16T16:54:24"/>
    <s v="NÃO"/>
    <x v="6"/>
    <x v="0"/>
    <n v="0"/>
    <s v="Madalena - CE"/>
    <x v="3"/>
    <x v="4"/>
    <n v="0"/>
  </r>
  <r>
    <n v="10892112"/>
    <d v="2025-01-06T16:46:02"/>
    <s v="NÃO"/>
    <x v="6"/>
    <x v="0"/>
    <n v="0"/>
    <s v="Sao Jose de Ribamar - MA"/>
    <x v="3"/>
    <x v="4"/>
    <n v="0"/>
  </r>
  <r>
    <n v="10878619"/>
    <d v="2025-01-05T16:47:35"/>
    <s v="NÃO"/>
    <x v="6"/>
    <x v="0"/>
    <n v="0"/>
    <s v="Belo Horizonte - MG"/>
    <x v="0"/>
    <x v="4"/>
    <n v="0"/>
  </r>
  <r>
    <n v="10804208"/>
    <d v="2024-12-22T22:34:09"/>
    <s v="NÃO"/>
    <x v="6"/>
    <x v="0"/>
    <n v="0"/>
    <s v="Brasília - DF"/>
    <x v="5"/>
    <x v="5"/>
    <n v="0"/>
  </r>
  <r>
    <n v="10818064"/>
    <d v="2024-12-26T21:40:59"/>
    <s v="NÃO"/>
    <x v="6"/>
    <x v="0"/>
    <n v="0"/>
    <s v="Costa Rica - MS"/>
    <x v="0"/>
    <x v="4"/>
    <n v="0"/>
  </r>
  <r>
    <n v="10835424"/>
    <d v="2024-12-30T02:07:34"/>
    <s v="NÃO"/>
    <x v="6"/>
    <x v="0"/>
    <n v="0"/>
    <s v="Contagem - MG"/>
    <x v="0"/>
    <x v="4"/>
    <n v="0"/>
  </r>
  <r>
    <n v="10731532"/>
    <d v="2024-12-15T14:44:38"/>
    <s v="NÃO"/>
    <x v="6"/>
    <x v="2"/>
    <s v="google - cpc"/>
    <s v="Umuarama - PR"/>
    <x v="1"/>
    <x v="3"/>
    <n v="0"/>
  </r>
  <r>
    <n v="11890015"/>
    <d v="2025-04-06T16:47:57"/>
    <s v="NÃO"/>
    <x v="6"/>
    <x v="6"/>
    <s v="bing - cpc"/>
    <s v="Campo Grande - MS"/>
    <x v="4"/>
    <x v="6"/>
    <n v="0"/>
  </r>
  <r>
    <n v="11715288"/>
    <d v="2025-03-22T10:39:15"/>
    <s v="NÃO"/>
    <x v="6"/>
    <x v="0"/>
    <n v="0"/>
    <s v="São Paulo - SP"/>
    <x v="0"/>
    <x v="2"/>
    <n v="0"/>
  </r>
  <r>
    <n v="11723147"/>
    <d v="2025-03-22T16:37:44"/>
    <s v="NÃO"/>
    <x v="6"/>
    <x v="0"/>
    <n v="0"/>
    <s v="São José dos Campos - SP"/>
    <x v="5"/>
    <x v="4"/>
    <n v="0"/>
  </r>
  <r>
    <n v="11711387"/>
    <d v="2025-03-21T21:22:34"/>
    <s v="NÃO"/>
    <x v="6"/>
    <x v="2"/>
    <s v="google - cpc"/>
    <s v="São Borja - RS"/>
    <x v="5"/>
    <x v="3"/>
    <n v="0"/>
  </r>
  <r>
    <n v="11611514"/>
    <d v="2025-03-11T11:39:57"/>
    <s v="NÃO"/>
    <x v="6"/>
    <x v="2"/>
    <s v="google - cpc"/>
    <s v="Ipatinga - MG"/>
    <x v="3"/>
    <x v="0"/>
    <n v="0"/>
  </r>
  <r>
    <n v="11508898"/>
    <d v="2025-03-02T16:21:10"/>
    <s v="NÃO"/>
    <x v="6"/>
    <x v="2"/>
    <s v="google - cpc"/>
    <s v="Niterói - RJ"/>
    <x v="1"/>
    <x v="5"/>
    <n v="0"/>
  </r>
  <r>
    <n v="11274543"/>
    <d v="2025-02-08T08:47:26"/>
    <s v="NÃO"/>
    <x v="6"/>
    <x v="2"/>
    <s v="google - cpc"/>
    <s v="Tamboré - SP"/>
    <x v="1"/>
    <x v="6"/>
    <n v="0"/>
  </r>
  <r>
    <n v="11298995"/>
    <d v="2025-02-09T13:21:57"/>
    <s v="NÃO"/>
    <x v="6"/>
    <x v="2"/>
    <s v="google - cpc"/>
    <s v="São Paulo - SP"/>
    <x v="6"/>
    <x v="6"/>
    <n v="0"/>
  </r>
  <r>
    <n v="11325600"/>
    <d v="2025-02-11T13:54:07"/>
    <s v="NÃO"/>
    <x v="6"/>
    <x v="2"/>
    <s v="google - cpc"/>
    <s v="Recife - PE"/>
    <x v="6"/>
    <x v="0"/>
    <n v="0"/>
  </r>
  <r>
    <n v="11008042"/>
    <d v="2025-01-16T07:06:22"/>
    <s v="NÃO"/>
    <x v="6"/>
    <x v="2"/>
    <s v="google - cpc"/>
    <s v="Barretos - SP"/>
    <x v="1"/>
    <x v="3"/>
    <n v="0"/>
  </r>
  <r>
    <n v="11035343"/>
    <d v="2025-01-19T11:26:11"/>
    <s v="NÃO"/>
    <x v="6"/>
    <x v="2"/>
    <s v="google - cpc"/>
    <s v="Sorocaba - SP"/>
    <x v="1"/>
    <x v="4"/>
    <n v="0"/>
  </r>
  <r>
    <n v="11036625"/>
    <d v="2025-01-19T11:47:13"/>
    <s v="NÃO"/>
    <x v="6"/>
    <x v="2"/>
    <s v="google - cpc"/>
    <s v="Curitiba - PR"/>
    <x v="0"/>
    <x v="2"/>
    <n v="0"/>
  </r>
  <r>
    <n v="10802698"/>
    <d v="2024-12-22T16:53:36"/>
    <s v="NÃO"/>
    <x v="6"/>
    <x v="2"/>
    <s v="google - cpc"/>
    <s v="Fortaleza - CE"/>
    <x v="5"/>
    <x v="6"/>
    <n v="0"/>
  </r>
  <r>
    <n v="10763288"/>
    <d v="2024-12-17T16:16:47"/>
    <s v="NÃO"/>
    <x v="6"/>
    <x v="2"/>
    <s v="google - cpc"/>
    <s v="Uberlândia - MG"/>
    <x v="1"/>
    <x v="6"/>
    <n v="0"/>
  </r>
  <r>
    <n v="10767538"/>
    <d v="2024-12-18T09:05:45"/>
    <s v="NÃO"/>
    <x v="6"/>
    <x v="2"/>
    <s v="google - cpc"/>
    <s v="Joinville - SC"/>
    <x v="1"/>
    <x v="6"/>
    <n v="0"/>
  </r>
  <r>
    <n v="11591609"/>
    <d v="2025-03-09T17:57:03"/>
    <s v="NÃO"/>
    <x v="0"/>
    <x v="2"/>
    <s v="google - cpc"/>
    <s v="Salvador - BA"/>
    <x v="3"/>
    <x v="0"/>
    <n v="0"/>
  </r>
  <r>
    <n v="11348297"/>
    <d v="2025-02-14T23:38:23"/>
    <s v="NÃO"/>
    <x v="0"/>
    <x v="2"/>
    <s v="google - cpc"/>
    <s v="Salvador - BA"/>
    <x v="0"/>
    <x v="4"/>
    <n v="0"/>
  </r>
  <r>
    <n v="11944614"/>
    <d v="2025-04-12T09:22:04"/>
    <s v="NÃO"/>
    <x v="4"/>
    <x v="0"/>
    <n v="0"/>
    <s v="Salvador - BA"/>
    <x v="1"/>
    <x v="0"/>
    <n v="0"/>
  </r>
  <r>
    <n v="11711379"/>
    <d v="2025-03-21T21:20:26"/>
    <s v="NÃO"/>
    <x v="4"/>
    <x v="2"/>
    <s v="google - cpc"/>
    <s v="Salvador - BA"/>
    <x v="0"/>
    <x v="0"/>
    <n v="0"/>
  </r>
  <r>
    <n v="10955275"/>
    <d v="2025-01-13T01:40:43"/>
    <s v="NÃO"/>
    <x v="4"/>
    <x v="0"/>
    <n v="0"/>
    <s v="Lauro de Freitas - BA"/>
    <x v="0"/>
    <x v="2"/>
    <n v="0"/>
  </r>
  <r>
    <n v="11712731"/>
    <d v="2025-03-22T08:45:21"/>
    <s v="NÃO"/>
    <x v="2"/>
    <x v="2"/>
    <s v="google - cpc"/>
    <s v="Salvador - BA"/>
    <x v="1"/>
    <x v="5"/>
    <n v="0"/>
  </r>
  <r>
    <n v="11590342"/>
    <d v="2025-03-09T16:35:04"/>
    <s v="NÃO"/>
    <x v="8"/>
    <x v="3"/>
    <s v="linkedin - cpc"/>
    <s v="Salvador - BA"/>
    <x v="3"/>
    <x v="6"/>
    <n v="0"/>
  </r>
  <r>
    <n v="11348238"/>
    <d v="2025-02-14T23:00:53"/>
    <s v="NÃO"/>
    <x v="0"/>
    <x v="7"/>
    <s v="instagram - social"/>
    <s v="Fortaleza - CE"/>
    <x v="0"/>
    <x v="2"/>
    <n v="0"/>
  </r>
  <r>
    <n v="11622938"/>
    <d v="2025-03-12T11:19:42"/>
    <s v="NÃO"/>
    <x v="0"/>
    <x v="7"/>
    <s v="instagram - social"/>
    <s v="Fortaleza - CE"/>
    <x v="1"/>
    <x v="2"/>
    <n v="0"/>
  </r>
  <r>
    <n v="10573098"/>
    <d v="2024-12-01T13:35:21"/>
    <s v="NÃO"/>
    <x v="2"/>
    <x v="2"/>
    <s v="google - cpc"/>
    <s v="Fortaleza - CE"/>
    <x v="0"/>
    <x v="0"/>
    <n v="0"/>
  </r>
  <r>
    <n v="10698755"/>
    <d v="2024-12-11T15:41:49"/>
    <s v="NÃO"/>
    <x v="3"/>
    <x v="2"/>
    <s v="google - cpc"/>
    <s v="Fortaleza - CE"/>
    <x v="1"/>
    <x v="6"/>
    <n v="0"/>
  </r>
  <r>
    <n v="10737181"/>
    <d v="2024-12-15T20:00:48"/>
    <s v="NÃO"/>
    <x v="8"/>
    <x v="2"/>
    <s v="google - cpc"/>
    <s v="Eusebio - CE"/>
    <x v="3"/>
    <x v="0"/>
    <n v="0"/>
  </r>
  <r>
    <n v="11600848"/>
    <d v="2025-03-10T13:48:34"/>
    <s v="NÃO"/>
    <x v="4"/>
    <x v="2"/>
    <s v="google - cpc"/>
    <s v="Fortaleza - CE"/>
    <x v="1"/>
    <x v="0"/>
    <n v="0"/>
  </r>
  <r>
    <n v="10572729"/>
    <d v="2024-12-01T13:18:48"/>
    <s v="NÃO"/>
    <x v="1"/>
    <x v="0"/>
    <n v="0"/>
    <s v="Vitória da Conquista - BA"/>
    <x v="0"/>
    <x v="4"/>
    <n v="0"/>
  </r>
  <r>
    <n v="11654968"/>
    <d v="2025-03-16T11:34:06"/>
    <s v="NÃO"/>
    <x v="8"/>
    <x v="0"/>
    <n v="0"/>
    <s v="Fortaleza - CE"/>
    <x v="3"/>
    <x v="2"/>
    <n v="0"/>
  </r>
  <r>
    <n v="11634952"/>
    <d v="2025-03-14T16:04:56"/>
    <s v="NÃO"/>
    <x v="4"/>
    <x v="2"/>
    <s v="google - cpc"/>
    <s v="Fortaleza - CE"/>
    <x v="0"/>
    <x v="0"/>
    <n v="0"/>
  </r>
  <r>
    <n v="10620187"/>
    <d v="2024-12-04T20:04:02"/>
    <s v="NÃO"/>
    <x v="0"/>
    <x v="0"/>
    <n v="0"/>
    <s v="Iguatu - CE"/>
    <x v="0"/>
    <x v="0"/>
    <n v="0"/>
  </r>
  <r>
    <n v="11345506"/>
    <d v="2025-02-13T18:03:25"/>
    <s v="NÃO"/>
    <x v="4"/>
    <x v="4"/>
    <s v="facebook - cpc"/>
    <s v="Valparaiso de Goias - GO"/>
    <x v="3"/>
    <x v="4"/>
    <n v="0"/>
  </r>
  <r>
    <n v="11498317"/>
    <d v="2025-03-01T18:40:03"/>
    <s v="NÃO"/>
    <x v="3"/>
    <x v="0"/>
    <n v="0"/>
    <s v="Brasília - DF"/>
    <x v="1"/>
    <x v="0"/>
    <n v="0"/>
  </r>
  <r>
    <n v="11021786"/>
    <d v="2025-01-18T14:19:58"/>
    <s v="NÃO"/>
    <x v="4"/>
    <x v="0"/>
    <n v="0"/>
    <s v="Brasília - DF"/>
    <x v="3"/>
    <x v="0"/>
    <n v="0"/>
  </r>
  <r>
    <n v="11690662"/>
    <d v="2025-03-18T15:24:33"/>
    <s v="NÃO"/>
    <x v="4"/>
    <x v="2"/>
    <s v="google - cpc"/>
    <s v="Brasília - DF"/>
    <x v="1"/>
    <x v="0"/>
    <n v="0"/>
  </r>
  <r>
    <n v="10956450"/>
    <d v="2025-01-13T08:52:14"/>
    <s v="NÃO"/>
    <x v="4"/>
    <x v="2"/>
    <s v="google - cpc"/>
    <s v="Brasília - DF"/>
    <x v="0"/>
    <x v="6"/>
    <n v="0"/>
  </r>
  <r>
    <n v="11041689"/>
    <d v="2025-01-19T15:32:10"/>
    <s v="NÃO"/>
    <x v="2"/>
    <x v="2"/>
    <s v="google - cpc"/>
    <s v="Brasília - DF"/>
    <x v="0"/>
    <x v="2"/>
    <n v="0"/>
  </r>
  <r>
    <n v="12005155"/>
    <d v="2025-04-15T16:50:48"/>
    <s v="NÃO"/>
    <x v="0"/>
    <x v="2"/>
    <s v="google - cpc"/>
    <s v="Brasília - DF"/>
    <x v="0"/>
    <x v="3"/>
    <n v="0"/>
  </r>
  <r>
    <n v="11593000"/>
    <d v="2025-03-09T23:00:53"/>
    <s v="NÃO"/>
    <x v="7"/>
    <x v="2"/>
    <s v="google - cpc"/>
    <s v="Venda Nova do Imigrante - ES"/>
    <x v="0"/>
    <x v="2"/>
    <n v="0"/>
  </r>
  <r>
    <n v="11381522"/>
    <d v="2025-02-17T18:25:52"/>
    <s v="NÃO"/>
    <x v="4"/>
    <x v="6"/>
    <s v="bing - cpc"/>
    <s v="Caxambu - MG"/>
    <x v="0"/>
    <x v="4"/>
    <n v="0"/>
  </r>
  <r>
    <n v="10677014"/>
    <d v="2024-12-09T22:38:57"/>
    <s v="NÃO"/>
    <x v="4"/>
    <x v="6"/>
    <s v="bing - cpc"/>
    <s v="Itajuba - MG"/>
    <x v="3"/>
    <x v="3"/>
    <n v="0"/>
  </r>
  <r>
    <n v="11028387"/>
    <d v="2025-01-18T18:57:50"/>
    <s v="NÃO"/>
    <x v="4"/>
    <x v="6"/>
    <s v="bing - cpc"/>
    <s v="Salvador - BA"/>
    <x v="0"/>
    <x v="5"/>
    <n v="0"/>
  </r>
  <r>
    <n v="11042212"/>
    <d v="2025-01-19T15:48:05"/>
    <s v="NÃO"/>
    <x v="4"/>
    <x v="6"/>
    <s v="bing - cpc"/>
    <s v="Rio de Janeiro - RJ"/>
    <x v="0"/>
    <x v="0"/>
    <n v="0"/>
  </r>
  <r>
    <n v="10704999"/>
    <d v="2024-12-13T10:29:55"/>
    <s v="NÃO"/>
    <x v="4"/>
    <x v="6"/>
    <s v="bing - cpc"/>
    <s v="São Bernardo do Campo - SP"/>
    <x v="0"/>
    <x v="2"/>
    <n v="0"/>
  </r>
  <r>
    <n v="11253841"/>
    <d v="2025-02-04T19:33:33"/>
    <s v="NÃO"/>
    <x v="4"/>
    <x v="6"/>
    <s v="bing - cpc"/>
    <s v="Londrina - PR"/>
    <x v="1"/>
    <x v="2"/>
    <n v="0"/>
  </r>
  <r>
    <n v="11294430"/>
    <d v="2025-02-09T09:56:22"/>
    <s v="NÃO"/>
    <x v="4"/>
    <x v="6"/>
    <s v="bing - cpc"/>
    <s v="Barbacena - MG"/>
    <x v="5"/>
    <x v="3"/>
    <n v="0"/>
  </r>
  <r>
    <n v="11122779"/>
    <d v="2025-01-26T15:08:21"/>
    <s v="NÃO"/>
    <x v="4"/>
    <x v="6"/>
    <s v="bing - cpc"/>
    <s v="Itajaí - SC"/>
    <x v="3"/>
    <x v="0"/>
    <n v="0"/>
  </r>
  <r>
    <n v="11093398"/>
    <d v="2025-01-23T17:55:41"/>
    <s v="NÃO"/>
    <x v="4"/>
    <x v="6"/>
    <s v="bing - cpc"/>
    <s v="Patos de Minas - MG"/>
    <x v="0"/>
    <x v="2"/>
    <n v="0"/>
  </r>
  <r>
    <n v="11617289"/>
    <d v="2025-03-11T20:25:04"/>
    <s v="NÃO"/>
    <x v="4"/>
    <x v="7"/>
    <s v="instagram - social"/>
    <s v="Unai - MG"/>
    <x v="3"/>
    <x v="0"/>
    <n v="0"/>
  </r>
  <r>
    <n v="11591977"/>
    <d v="2025-03-09T18:51:28"/>
    <s v="NÃO"/>
    <x v="4"/>
    <x v="7"/>
    <s v="instagram - social"/>
    <s v="Catanduva - SP"/>
    <x v="3"/>
    <x v="3"/>
    <n v="0"/>
  </r>
  <r>
    <n v="11592484"/>
    <d v="2025-03-09T20:42:51"/>
    <s v="NÃO"/>
    <x v="4"/>
    <x v="7"/>
    <s v="instagram - social"/>
    <s v="Belford Roxo - RJ"/>
    <x v="3"/>
    <x v="5"/>
    <n v="0"/>
  </r>
  <r>
    <n v="11370765"/>
    <d v="2025-02-16T20:53:21"/>
    <s v="NÃO"/>
    <x v="4"/>
    <x v="7"/>
    <s v="instagram - social"/>
    <s v="Tamboré - SP"/>
    <x v="0"/>
    <x v="0"/>
    <n v="0"/>
  </r>
  <r>
    <n v="11391578"/>
    <d v="2025-02-18T15:45:35"/>
    <s v="NÃO"/>
    <x v="4"/>
    <x v="7"/>
    <s v="instagram - social"/>
    <s v="Presidente Prudente - SP"/>
    <x v="0"/>
    <x v="6"/>
    <n v="0"/>
  </r>
  <r>
    <n v="11557377"/>
    <d v="2025-03-05T20:39:46"/>
    <s v="NÃO"/>
    <x v="4"/>
    <x v="7"/>
    <s v="instagram - social"/>
    <s v="Joinville - SC"/>
    <x v="0"/>
    <x v="2"/>
    <n v="0"/>
  </r>
  <r>
    <n v="11448244"/>
    <d v="2025-02-24T14:01:34"/>
    <s v="NÃO"/>
    <x v="4"/>
    <x v="2"/>
    <s v="google - cpc"/>
    <s v="Presidente Prudente - SP"/>
    <x v="3"/>
    <x v="2"/>
    <n v="0"/>
  </r>
  <r>
    <n v="11449441"/>
    <d v="2025-02-24T15:18:36"/>
    <s v="NÃO"/>
    <x v="4"/>
    <x v="2"/>
    <s v="google - cpc"/>
    <s v="Rio das Ostras - RJ"/>
    <x v="0"/>
    <x v="2"/>
    <n v="0"/>
  </r>
  <r>
    <n v="11450712"/>
    <d v="2025-02-24T16:33:54"/>
    <s v="NÃO"/>
    <x v="4"/>
    <x v="2"/>
    <s v="google - cpc"/>
    <s v="São Paulo - SP"/>
    <x v="1"/>
    <x v="2"/>
    <n v="0"/>
  </r>
  <r>
    <n v="11854161"/>
    <d v="2025-04-02T15:06:57"/>
    <s v="NÃO"/>
    <x v="4"/>
    <x v="6"/>
    <s v="bing - cpc"/>
    <s v="Goiânia - GO"/>
    <x v="0"/>
    <x v="0"/>
    <n v="0"/>
  </r>
  <r>
    <n v="11754482"/>
    <d v="2025-03-25T09:43:28"/>
    <s v="NÃO"/>
    <x v="4"/>
    <x v="6"/>
    <s v="bing - cpc"/>
    <s v="Leopoldina - MG"/>
    <x v="6"/>
    <x v="3"/>
    <n v="0"/>
  </r>
  <r>
    <n v="11433582"/>
    <d v="2025-02-23T14:01:06"/>
    <s v="NÃO"/>
    <x v="4"/>
    <x v="6"/>
    <s v="bing - cpc"/>
    <s v="Osasco - SP"/>
    <x v="3"/>
    <x v="4"/>
    <n v="0"/>
  </r>
  <r>
    <n v="11284013"/>
    <d v="2025-02-08T15:22:37"/>
    <s v="NÃO"/>
    <x v="4"/>
    <x v="9"/>
    <s v="leads - email"/>
    <s v="Maringá - PR"/>
    <x v="1"/>
    <x v="2"/>
    <n v="0"/>
  </r>
  <r>
    <n v="11117786"/>
    <d v="2025-01-26T11:04:46"/>
    <s v="NÃO"/>
    <x v="4"/>
    <x v="9"/>
    <s v="leads - email"/>
    <s v="Campo Largo - PR"/>
    <x v="0"/>
    <x v="5"/>
    <n v="0"/>
  </r>
  <r>
    <n v="11498068"/>
    <d v="2025-03-01T17:58:56"/>
    <s v="NÃO"/>
    <x v="4"/>
    <x v="5"/>
    <s v="youtube - cpc"/>
    <s v="Juquitiba - SP"/>
    <x v="3"/>
    <x v="4"/>
    <n v="0"/>
  </r>
  <r>
    <n v="11630930"/>
    <d v="2025-03-13T07:51:21"/>
    <s v="NÃO"/>
    <x v="4"/>
    <x v="5"/>
    <s v="youtube - cpc"/>
    <s v="Itapecerica da Serra - SP"/>
    <x v="0"/>
    <x v="4"/>
    <n v="0"/>
  </r>
  <r>
    <n v="11633028"/>
    <d v="2025-03-13T21:27:10"/>
    <s v="NÃO"/>
    <x v="4"/>
    <x v="5"/>
    <s v="youtube - cpc"/>
    <s v="Juazeiro do Norte - CE"/>
    <x v="5"/>
    <x v="6"/>
    <n v="0"/>
  </r>
  <r>
    <n v="11481392"/>
    <d v="2025-02-27T11:39:38"/>
    <s v="NÃO"/>
    <x v="4"/>
    <x v="5"/>
    <s v="youtube - cpc"/>
    <s v="Rio de Janeiro - RJ"/>
    <x v="3"/>
    <x v="4"/>
    <n v="0"/>
  </r>
  <r>
    <n v="11425987"/>
    <d v="2025-02-22T21:47:34"/>
    <s v="NÃO"/>
    <x v="4"/>
    <x v="5"/>
    <s v="youtube - cpc"/>
    <s v="São Lourenço - MG"/>
    <x v="1"/>
    <x v="4"/>
    <n v="0"/>
  </r>
  <r>
    <n v="11406835"/>
    <d v="2025-02-20T10:21:29"/>
    <s v="NÃO"/>
    <x v="4"/>
    <x v="5"/>
    <s v="youtube - cpc"/>
    <s v="Lucas do Rio Verde - MT"/>
    <x v="3"/>
    <x v="4"/>
    <n v="0"/>
  </r>
  <r>
    <n v="11306154"/>
    <d v="2025-02-10T08:29:49"/>
    <s v="NÃO"/>
    <x v="4"/>
    <x v="5"/>
    <s v="youtube - cpc"/>
    <s v="São Paulo - SP"/>
    <x v="0"/>
    <x v="4"/>
    <n v="0"/>
  </r>
  <r>
    <n v="12003787"/>
    <d v="2025-04-15T15:42:15"/>
    <s v="NÃO"/>
    <x v="4"/>
    <x v="5"/>
    <s v="youtube - cpc"/>
    <s v="Torres - RS"/>
    <x v="0"/>
    <x v="3"/>
    <n v="0"/>
  </r>
  <r>
    <n v="11344789"/>
    <d v="2025-02-13T14:17:09"/>
    <s v="NÃO"/>
    <x v="4"/>
    <x v="5"/>
    <s v="youtube - cpc"/>
    <s v="Maringá - PR"/>
    <x v="3"/>
    <x v="0"/>
    <n v="0"/>
  </r>
  <r>
    <n v="11787134"/>
    <d v="2025-03-27T01:58:17"/>
    <s v="NÃO"/>
    <x v="4"/>
    <x v="5"/>
    <s v="youtube - cpc"/>
    <s v="Castanhal - PA"/>
    <x v="3"/>
    <x v="0"/>
    <n v="0"/>
  </r>
  <r>
    <n v="11347884"/>
    <d v="2025-02-14T20:04:26"/>
    <s v="NÃO"/>
    <x v="4"/>
    <x v="5"/>
    <s v="youtube - cpc"/>
    <s v="Igarape Miri - PA"/>
    <x v="0"/>
    <x v="4"/>
    <n v="0"/>
  </r>
  <r>
    <n v="11405326"/>
    <d v="2025-02-19T18:58:03"/>
    <s v="NÃO"/>
    <x v="4"/>
    <x v="5"/>
    <s v="youtube - cpc"/>
    <s v="Rio de Janeiro - RJ"/>
    <x v="0"/>
    <x v="4"/>
    <n v="0"/>
  </r>
  <r>
    <n v="11409096"/>
    <d v="2025-02-21T11:30:13"/>
    <s v="NÃO"/>
    <x v="4"/>
    <x v="5"/>
    <s v="youtube - cpc"/>
    <s v="Osasco - SP"/>
    <x v="3"/>
    <x v="0"/>
    <n v="0"/>
  </r>
  <r>
    <n v="11409166"/>
    <d v="2025-02-21T12:01:28"/>
    <s v="NÃO"/>
    <x v="4"/>
    <x v="5"/>
    <s v="youtube - cpc"/>
    <s v="São Paulo - SP"/>
    <x v="3"/>
    <x v="2"/>
    <n v="0"/>
  </r>
  <r>
    <n v="11409459"/>
    <d v="2025-02-21T14:49:25"/>
    <s v="NÃO"/>
    <x v="4"/>
    <x v="5"/>
    <s v="youtube - cpc"/>
    <s v="Campo Grande - MS"/>
    <x v="1"/>
    <x v="3"/>
    <n v="0"/>
  </r>
  <r>
    <n v="11410921"/>
    <d v="2025-02-21T21:42:29"/>
    <s v="NÃO"/>
    <x v="4"/>
    <x v="5"/>
    <s v="youtube - cpc"/>
    <s v="Itapeva - SP"/>
    <x v="3"/>
    <x v="4"/>
    <n v="0"/>
  </r>
  <r>
    <n v="11624828"/>
    <d v="2025-03-12T13:23:07"/>
    <s v="NÃO"/>
    <x v="4"/>
    <x v="9"/>
    <s v="leads - email"/>
    <s v="São Paulo - SP"/>
    <x v="1"/>
    <x v="6"/>
    <n v="0"/>
  </r>
  <r>
    <n v="11640357"/>
    <d v="2025-03-15T11:01:12"/>
    <s v="NÃO"/>
    <x v="4"/>
    <x v="9"/>
    <s v="leads - email"/>
    <s v="Manaus - AM"/>
    <x v="1"/>
    <x v="3"/>
    <n v="0"/>
  </r>
  <r>
    <n v="12018248"/>
    <d v="2025-04-16T17:08:47"/>
    <s v="NÃO"/>
    <x v="4"/>
    <x v="8"/>
    <s v="rep - elzir-souza"/>
    <s v="Guarulhos - SP"/>
    <x v="0"/>
    <x v="4"/>
    <n v="0"/>
  </r>
  <r>
    <n v="11664759"/>
    <d v="2025-03-16T22:16:55"/>
    <s v="NÃO"/>
    <x v="4"/>
    <x v="5"/>
    <s v="youtube - cpc"/>
    <s v="Vilhena - RO"/>
    <x v="3"/>
    <x v="2"/>
    <n v="0"/>
  </r>
  <r>
    <n v="11633138"/>
    <d v="2025-03-13T22:24:24"/>
    <s v="NÃO"/>
    <x v="8"/>
    <x v="5"/>
    <s v="youtube - cpc"/>
    <s v="Vitória - ES"/>
    <x v="3"/>
    <x v="0"/>
    <n v="0"/>
  </r>
  <r>
    <n v="11425589"/>
    <d v="2025-02-22T20:37:06"/>
    <s v="NÃO"/>
    <x v="8"/>
    <x v="9"/>
    <s v="leads - email"/>
    <s v="São Paulo - SP"/>
    <x v="3"/>
    <x v="0"/>
    <n v="0"/>
  </r>
  <r>
    <n v="11110876"/>
    <d v="2025-01-25T17:26:30"/>
    <s v="NÃO"/>
    <x v="8"/>
    <x v="9"/>
    <s v="leads - email"/>
    <s v="São Jorgé dos Ilhéos - BA"/>
    <x v="3"/>
    <x v="4"/>
    <n v="0"/>
  </r>
  <r>
    <n v="11416642"/>
    <d v="2025-02-22T10:55:02"/>
    <s v="NÃO"/>
    <x v="8"/>
    <x v="9"/>
    <s v="leads - email"/>
    <s v="São Paulo - SP"/>
    <x v="0"/>
    <x v="4"/>
    <n v="0"/>
  </r>
  <r>
    <n v="11416887"/>
    <d v="2025-02-22T11:09:33"/>
    <s v="NÃO"/>
    <x v="8"/>
    <x v="9"/>
    <s v="leads - email"/>
    <s v="São Paulo - SP"/>
    <x v="0"/>
    <x v="2"/>
    <n v="0"/>
  </r>
  <r>
    <n v="11707246"/>
    <d v="2025-03-20T09:07:40"/>
    <s v="NÃO"/>
    <x v="4"/>
    <x v="5"/>
    <s v="youtube - cpc"/>
    <s v="Salvador - BA"/>
    <x v="3"/>
    <x v="0"/>
    <n v="0"/>
  </r>
  <r>
    <n v="11290835"/>
    <d v="2025-02-08T20:50:02"/>
    <s v="NÃO"/>
    <x v="4"/>
    <x v="7"/>
    <s v="instagram - social"/>
    <s v="Belo Horizonte - MG"/>
    <x v="0"/>
    <x v="2"/>
    <n v="0"/>
  </r>
  <r>
    <n v="11348116"/>
    <d v="2025-02-14T22:02:46"/>
    <s v="NÃO"/>
    <x v="4"/>
    <x v="7"/>
    <s v="instagram - social"/>
    <s v="Ananindeua - PA"/>
    <x v="0"/>
    <x v="0"/>
    <n v="0"/>
  </r>
  <r>
    <n v="11876309"/>
    <d v="2025-04-06T09:28:40"/>
    <s v="NÃO"/>
    <x v="4"/>
    <x v="5"/>
    <n v="0"/>
    <s v="-"/>
    <x v="0"/>
    <x v="3"/>
    <n v="0"/>
  </r>
  <r>
    <n v="11362338"/>
    <d v="2025-02-16T11:02:43"/>
    <s v="NÃO"/>
    <x v="4"/>
    <x v="2"/>
    <s v="google - cpc"/>
    <s v="Santa Maria - RS"/>
    <x v="0"/>
    <x v="4"/>
    <n v="0"/>
  </r>
  <r>
    <n v="11362514"/>
    <d v="2025-02-16T11:18:55"/>
    <s v="NÃO"/>
    <x v="4"/>
    <x v="2"/>
    <s v="google - cpc"/>
    <s v="Cuiabá - MT"/>
    <x v="0"/>
    <x v="0"/>
    <n v="0"/>
  </r>
  <r>
    <n v="11387699"/>
    <d v="2025-02-18T12:07:10"/>
    <s v="NÃO"/>
    <x v="4"/>
    <x v="2"/>
    <s v="google - cpc"/>
    <s v="Uberlândia - MG"/>
    <x v="1"/>
    <x v="4"/>
    <n v="0"/>
  </r>
  <r>
    <n v="11371674"/>
    <d v="2025-02-17T08:10:59"/>
    <s v="NÃO"/>
    <x v="4"/>
    <x v="2"/>
    <s v="google - cpc"/>
    <s v="Vitória da Conquista - BA"/>
    <x v="4"/>
    <x v="2"/>
    <n v="0"/>
  </r>
  <r>
    <n v="11376681"/>
    <d v="2025-02-17T13:30:25"/>
    <s v="NÃO"/>
    <x v="4"/>
    <x v="2"/>
    <s v="google - cpc"/>
    <s v="Cuiabá - MT"/>
    <x v="0"/>
    <x v="3"/>
    <n v="0"/>
  </r>
  <r>
    <n v="11400629"/>
    <d v="2025-02-19T12:37:13"/>
    <s v="NÃO"/>
    <x v="4"/>
    <x v="2"/>
    <s v="google - cpc"/>
    <s v="Curitiba - PR"/>
    <x v="3"/>
    <x v="0"/>
    <n v="0"/>
  </r>
  <r>
    <n v="11442364"/>
    <d v="2025-02-24T08:28:26"/>
    <s v="NÃO"/>
    <x v="4"/>
    <x v="2"/>
    <s v="google - cpc"/>
    <s v="João Pessoa - PB"/>
    <x v="0"/>
    <x v="0"/>
    <n v="0"/>
  </r>
  <r>
    <n v="11440195"/>
    <d v="2025-02-23T18:07:35"/>
    <s v="NÃO"/>
    <x v="4"/>
    <x v="2"/>
    <s v="google - cpc"/>
    <s v="São Paulo - SP"/>
    <x v="0"/>
    <x v="4"/>
    <n v="0"/>
  </r>
  <r>
    <n v="11435335"/>
    <d v="2025-02-23T15:27:24"/>
    <s v="NÃO"/>
    <x v="4"/>
    <x v="2"/>
    <s v="google - cpc"/>
    <s v="Mesquita - RJ"/>
    <x v="1"/>
    <x v="2"/>
    <n v="0"/>
  </r>
  <r>
    <n v="11407907"/>
    <d v="2025-02-20T18:11:06"/>
    <s v="NÃO"/>
    <x v="4"/>
    <x v="2"/>
    <s v="google - cpc"/>
    <s v="Brasília - DF"/>
    <x v="3"/>
    <x v="2"/>
    <n v="0"/>
  </r>
  <r>
    <n v="11409021"/>
    <d v="2025-02-21T10:56:05"/>
    <s v="NÃO"/>
    <x v="4"/>
    <x v="2"/>
    <s v="google - cpc"/>
    <s v="São Paulo - SP"/>
    <x v="0"/>
    <x v="5"/>
    <n v="0"/>
  </r>
  <r>
    <n v="11407130"/>
    <d v="2025-02-20T11:53:25"/>
    <s v="NÃO"/>
    <x v="4"/>
    <x v="2"/>
    <s v="google - cpc"/>
    <s v="Rio de Janeiro - RJ"/>
    <x v="0"/>
    <x v="0"/>
    <n v="0"/>
  </r>
  <r>
    <n v="11559065"/>
    <d v="2025-03-06T14:03:45"/>
    <s v="NÃO"/>
    <x v="4"/>
    <x v="4"/>
    <s v="facebook - cpc"/>
    <s v="João Pessoa - PB"/>
    <x v="0"/>
    <x v="2"/>
    <n v="0"/>
  </r>
  <r>
    <n v="11558061"/>
    <d v="2025-03-06T02:23:31"/>
    <s v="NÃO"/>
    <x v="4"/>
    <x v="4"/>
    <s v="facebook - cpc"/>
    <s v="Porto Alegre - RS"/>
    <x v="0"/>
    <x v="6"/>
    <n v="0"/>
  </r>
  <r>
    <n v="11639160"/>
    <d v="2025-03-15T09:50:06"/>
    <s v="NÃO"/>
    <x v="4"/>
    <x v="2"/>
    <n v="0"/>
    <s v="-"/>
    <x v="0"/>
    <x v="1"/>
    <n v="0"/>
  </r>
  <r>
    <n v="11834524"/>
    <d v="2025-03-31T15:08:30"/>
    <s v="NÃO"/>
    <x v="4"/>
    <x v="2"/>
    <n v="0"/>
    <s v="São Paulo, SP"/>
    <x v="0"/>
    <x v="3"/>
    <n v="0"/>
  </r>
  <r>
    <n v="11028847"/>
    <d v="2025-01-18T21:09:56"/>
    <s v="NÃO"/>
    <x v="4"/>
    <x v="8"/>
    <s v="rep - ximena-cubillos"/>
    <s v="Curitiba - PR"/>
    <x v="0"/>
    <x v="0"/>
    <n v="0"/>
  </r>
  <r>
    <n v="11454466"/>
    <d v="2025-02-25T06:47:41"/>
    <s v="NÃO"/>
    <x v="4"/>
    <x v="3"/>
    <s v="linkedin - cpc"/>
    <s v="São Paulo - SP"/>
    <x v="3"/>
    <x v="4"/>
    <n v="0"/>
  </r>
  <r>
    <n v="11552000"/>
    <d v="2025-03-05T12:50:36"/>
    <s v="NÃO"/>
    <x v="4"/>
    <x v="4"/>
    <s v="facebook - cpc"/>
    <s v="Juazeiro do Norte - CE"/>
    <x v="3"/>
    <x v="3"/>
    <n v="0"/>
  </r>
  <r>
    <n v="11557557"/>
    <d v="2025-03-05T21:26:37"/>
    <s v="NÃO"/>
    <x v="4"/>
    <x v="4"/>
    <s v="facebook - cpc"/>
    <s v="Porto Alegre - RS"/>
    <x v="4"/>
    <x v="6"/>
    <n v="0"/>
  </r>
  <r>
    <n v="11559883"/>
    <d v="2025-03-06T22:49:36"/>
    <s v="NÃO"/>
    <x v="4"/>
    <x v="4"/>
    <s v="facebook - cpc"/>
    <s v="Iguaba Grande - RJ"/>
    <x v="3"/>
    <x v="6"/>
    <n v="0"/>
  </r>
  <r>
    <n v="11559976"/>
    <d v="2025-03-07T00:08:22"/>
    <s v="NÃO"/>
    <x v="4"/>
    <x v="4"/>
    <s v="facebook - cpc"/>
    <s v="São José dos Campos - SP"/>
    <x v="3"/>
    <x v="6"/>
    <n v="0"/>
  </r>
  <r>
    <n v="11561221"/>
    <d v="2025-03-07T14:54:46"/>
    <s v="NÃO"/>
    <x v="4"/>
    <x v="4"/>
    <s v="facebook - cpc"/>
    <s v="Campinas - SP"/>
    <x v="0"/>
    <x v="6"/>
    <n v="0"/>
  </r>
  <r>
    <n v="11561234"/>
    <d v="2025-03-07T14:59:22"/>
    <s v="NÃO"/>
    <x v="4"/>
    <x v="4"/>
    <s v="facebook - cpc"/>
    <s v="Belo Horizonte - MG"/>
    <x v="0"/>
    <x v="6"/>
    <n v="0"/>
  </r>
  <r>
    <n v="11597889"/>
    <d v="2025-03-10T10:31:29"/>
    <s v="NÃO"/>
    <x v="4"/>
    <x v="4"/>
    <s v="facebook - cpc"/>
    <s v="Itaguacu Da Bahia - BA"/>
    <x v="4"/>
    <x v="5"/>
    <n v="0"/>
  </r>
  <r>
    <n v="11559130"/>
    <d v="2025-03-06T14:51:31"/>
    <s v="NÃO"/>
    <x v="4"/>
    <x v="4"/>
    <s v="facebook - cpc"/>
    <s v="São Paulo - SP"/>
    <x v="1"/>
    <x v="6"/>
    <n v="0"/>
  </r>
  <r>
    <n v="11562133"/>
    <d v="2025-03-07T22:00:47"/>
    <s v="NÃO"/>
    <x v="4"/>
    <x v="4"/>
    <s v="facebook - cpc"/>
    <s v="Guaíra - PR"/>
    <x v="3"/>
    <x v="6"/>
    <n v="0"/>
  </r>
  <r>
    <n v="11561833"/>
    <d v="2025-03-07T19:26:46"/>
    <s v="NÃO"/>
    <x v="4"/>
    <x v="4"/>
    <s v="facebook - cpc"/>
    <s v="Salvador - BA"/>
    <x v="0"/>
    <x v="2"/>
    <n v="0"/>
  </r>
  <r>
    <n v="11561470"/>
    <d v="2025-03-07T16:18:35"/>
    <s v="NÃO"/>
    <x v="4"/>
    <x v="4"/>
    <s v="facebook - cpc"/>
    <s v="Belo Oriente - MG"/>
    <x v="3"/>
    <x v="2"/>
    <n v="0"/>
  </r>
  <r>
    <n v="11561520"/>
    <d v="2025-03-07T16:42:56"/>
    <s v="NÃO"/>
    <x v="4"/>
    <x v="4"/>
    <s v="facebook - cpc"/>
    <s v="Natal - RN"/>
    <x v="4"/>
    <x v="2"/>
    <n v="0"/>
  </r>
  <r>
    <n v="11562604"/>
    <d v="2025-03-08T01:53:42"/>
    <s v="NÃO"/>
    <x v="4"/>
    <x v="4"/>
    <s v="facebook - cpc"/>
    <s v="Queimados - RJ"/>
    <x v="3"/>
    <x v="0"/>
    <n v="0"/>
  </r>
  <r>
    <n v="11574977"/>
    <d v="2025-03-08T17:40:08"/>
    <s v="NÃO"/>
    <x v="4"/>
    <x v="4"/>
    <s v="facebook - cpc"/>
    <s v="Colatina - ES"/>
    <x v="3"/>
    <x v="6"/>
    <n v="0"/>
  </r>
  <r>
    <n v="11577189"/>
    <d v="2025-03-08T18:49:12"/>
    <s v="NÃO"/>
    <x v="4"/>
    <x v="4"/>
    <s v="facebook - cpc"/>
    <s v="João Pessoa - PB"/>
    <x v="3"/>
    <x v="2"/>
    <n v="0"/>
  </r>
  <r>
    <n v="11585905"/>
    <d v="2025-03-09T14:15:56"/>
    <s v="NÃO"/>
    <x v="4"/>
    <x v="4"/>
    <s v="facebook - cpc"/>
    <s v="São Luís - MA"/>
    <x v="3"/>
    <x v="4"/>
    <n v="0"/>
  </r>
  <r>
    <n v="11592409"/>
    <d v="2025-03-09T20:26:11"/>
    <s v="NÃO"/>
    <x v="4"/>
    <x v="4"/>
    <s v="facebook - cpc"/>
    <s v="Santa Rita - PB"/>
    <x v="3"/>
    <x v="6"/>
    <n v="0"/>
  </r>
  <r>
    <n v="11592602"/>
    <d v="2025-03-09T21:18:58"/>
    <s v="NÃO"/>
    <x v="4"/>
    <x v="4"/>
    <s v="facebook - cpc"/>
    <s v="Araci - BA"/>
    <x v="0"/>
    <x v="4"/>
    <n v="0"/>
  </r>
  <r>
    <n v="11591321"/>
    <d v="2025-03-09T17:27:42"/>
    <s v="NÃO"/>
    <x v="4"/>
    <x v="4"/>
    <s v="facebook - cpc"/>
    <s v="Cristino Castro - PI"/>
    <x v="0"/>
    <x v="6"/>
    <n v="0"/>
  </r>
  <r>
    <n v="11346354"/>
    <d v="2025-02-14T05:25:34"/>
    <s v="NÃO"/>
    <x v="4"/>
    <x v="4"/>
    <s v="facebook - cpc"/>
    <s v="Amaraji - PE"/>
    <x v="1"/>
    <x v="3"/>
    <n v="0"/>
  </r>
  <r>
    <n v="10808428"/>
    <d v="2024-12-23T12:25:05"/>
    <s v="NÃO"/>
    <x v="4"/>
    <x v="4"/>
    <s v="facebook - cpc"/>
    <s v="Joinville - SC"/>
    <x v="1"/>
    <x v="4"/>
    <n v="0"/>
  </r>
  <r>
    <n v="11445403"/>
    <d v="2025-02-24T11:12:58"/>
    <s v="NÃO"/>
    <x v="4"/>
    <x v="2"/>
    <s v="google - cpc"/>
    <s v="Salvador - BA"/>
    <x v="3"/>
    <x v="6"/>
    <n v="0"/>
  </r>
  <r>
    <n v="11484593"/>
    <d v="2025-02-28T20:15:57"/>
    <s v="NÃO"/>
    <x v="4"/>
    <x v="2"/>
    <s v="google - cpc"/>
    <s v="-"/>
    <x v="0"/>
    <x v="0"/>
    <n v="0"/>
  </r>
  <r>
    <n v="11483930"/>
    <d v="2025-02-28T14:32:13"/>
    <s v="NÃO"/>
    <x v="4"/>
    <x v="2"/>
    <s v="google - cpc"/>
    <s v="São Paulo - SP"/>
    <x v="3"/>
    <x v="2"/>
    <n v="0"/>
  </r>
  <r>
    <n v="11350395"/>
    <d v="2025-02-15T10:05:53"/>
    <s v="NÃO"/>
    <x v="4"/>
    <x v="2"/>
    <s v="google - cpc"/>
    <s v="Campo Grande - MS"/>
    <x v="3"/>
    <x v="3"/>
    <n v="0"/>
  </r>
  <r>
    <n v="11627287"/>
    <d v="2025-03-12T15:24:51"/>
    <s v="NÃO"/>
    <x v="4"/>
    <x v="4"/>
    <s v="facebook - cpc"/>
    <s v="Teresina - PI"/>
    <x v="0"/>
    <x v="4"/>
    <n v="0"/>
  </r>
  <r>
    <n v="11616011"/>
    <d v="2025-03-11T17:19:15"/>
    <s v="NÃO"/>
    <x v="4"/>
    <x v="4"/>
    <s v="facebook - cpc"/>
    <s v="Brasília - DF"/>
    <x v="3"/>
    <x v="2"/>
    <n v="0"/>
  </r>
  <r>
    <n v="11616419"/>
    <d v="2025-03-11T17:52:50"/>
    <s v="NÃO"/>
    <x v="4"/>
    <x v="4"/>
    <s v="facebook - cpc"/>
    <s v="Lauro de Freitas - BA"/>
    <x v="0"/>
    <x v="4"/>
    <n v="0"/>
  </r>
  <r>
    <n v="11543242"/>
    <d v="2025-03-04T21:07:16"/>
    <s v="NÃO"/>
    <x v="4"/>
    <x v="4"/>
    <s v="facebook - cpc"/>
    <s v="Itapema - SC"/>
    <x v="0"/>
    <x v="0"/>
    <n v="0"/>
  </r>
  <r>
    <n v="11632226"/>
    <d v="2025-03-13T16:20:17"/>
    <s v="NÃO"/>
    <x v="4"/>
    <x v="4"/>
    <s v="facebook - cpc"/>
    <s v="Nossa Senhora da Gloria - SE"/>
    <x v="3"/>
    <x v="4"/>
    <n v="0"/>
  </r>
  <r>
    <n v="11556016"/>
    <d v="2025-03-05T16:45:41"/>
    <s v="NÃO"/>
    <x v="4"/>
    <x v="4"/>
    <s v="facebook - cpc"/>
    <s v="Poços de Caldas - MG"/>
    <x v="1"/>
    <x v="2"/>
    <n v="0"/>
  </r>
  <r>
    <n v="11557330"/>
    <d v="2025-03-05T20:24:32"/>
    <s v="NÃO"/>
    <x v="4"/>
    <x v="4"/>
    <s v="facebook - cpc"/>
    <s v="Salvador - BA"/>
    <x v="0"/>
    <x v="6"/>
    <n v="0"/>
  </r>
  <r>
    <n v="11543702"/>
    <d v="2025-03-04T23:42:08"/>
    <s v="NÃO"/>
    <x v="4"/>
    <x v="4"/>
    <s v="facebook - cpc"/>
    <s v="Porto Alegre - RS"/>
    <x v="1"/>
    <x v="3"/>
    <n v="0"/>
  </r>
  <r>
    <n v="11583680"/>
    <d v="2025-03-09T11:46:35"/>
    <s v="NÃO"/>
    <x v="4"/>
    <x v="10"/>
    <n v="0"/>
    <s v="Brasília - DF"/>
    <x v="0"/>
    <x v="0"/>
    <n v="0"/>
  </r>
  <r>
    <n v="11599721"/>
    <d v="2025-03-10T12:12:17"/>
    <s v="NÃO"/>
    <x v="4"/>
    <x v="10"/>
    <n v="0"/>
    <s v="RJ"/>
    <x v="0"/>
    <x v="0"/>
    <n v="0"/>
  </r>
  <r>
    <n v="11644585"/>
    <d v="2025-03-15T15:01:49"/>
    <s v="NÃO"/>
    <x v="4"/>
    <x v="10"/>
    <n v="0"/>
    <s v="-"/>
    <x v="0"/>
    <x v="2"/>
    <n v="0"/>
  </r>
  <r>
    <n v="11877247"/>
    <d v="2025-04-06T10:09:02"/>
    <s v="NÃO"/>
    <x v="4"/>
    <x v="10"/>
    <n v="0"/>
    <s v="-"/>
    <x v="1"/>
    <x v="5"/>
    <n v="0"/>
  </r>
  <r>
    <n v="11817113"/>
    <d v="2025-03-30T09:22:34"/>
    <s v="NÃO"/>
    <x v="4"/>
    <x v="10"/>
    <n v="0"/>
    <s v="São Paulo"/>
    <x v="5"/>
    <x v="3"/>
    <n v="0"/>
  </r>
  <r>
    <n v="11837963"/>
    <d v="2025-03-31T16:57:37"/>
    <s v="NÃO"/>
    <x v="4"/>
    <x v="10"/>
    <n v="0"/>
    <s v="-"/>
    <x v="0"/>
    <x v="5"/>
    <n v="0"/>
  </r>
  <r>
    <n v="11709596"/>
    <d v="2025-03-21T06:26:20"/>
    <s v="NÃO"/>
    <x v="8"/>
    <x v="3"/>
    <s v="linkedin - cpc"/>
    <s v="Rio de Janeiro - RJ"/>
    <x v="3"/>
    <x v="6"/>
    <n v="0"/>
  </r>
  <r>
    <n v="11856720"/>
    <d v="2025-04-03T06:39:58"/>
    <s v="NÃO"/>
    <x v="8"/>
    <x v="3"/>
    <s v="linkedin - cpc"/>
    <s v="São Paulo - SP"/>
    <x v="4"/>
    <x v="3"/>
    <n v="0"/>
  </r>
  <r>
    <n v="11857826"/>
    <d v="2025-04-03T14:15:36"/>
    <s v="NÃO"/>
    <x v="8"/>
    <x v="3"/>
    <s v="linkedin - cpc"/>
    <s v="São Paulo - SP"/>
    <x v="3"/>
    <x v="6"/>
    <n v="0"/>
  </r>
  <r>
    <n v="11592678"/>
    <d v="2025-03-09T21:28:42"/>
    <s v="NÃO"/>
    <x v="8"/>
    <x v="4"/>
    <s v="bing - cpc"/>
    <s v="Goiânia - GO"/>
    <x v="0"/>
    <x v="2"/>
    <n v="0"/>
  </r>
  <r>
    <n v="11454080"/>
    <d v="2025-02-24T23:41:10"/>
    <s v="NÃO"/>
    <x v="8"/>
    <x v="3"/>
    <s v="linkedin - cpc"/>
    <s v="São Paulo - SP"/>
    <x v="3"/>
    <x v="5"/>
    <n v="0"/>
  </r>
  <r>
    <n v="11376455"/>
    <d v="2025-02-17T13:06:59"/>
    <s v="NÃO"/>
    <x v="8"/>
    <x v="4"/>
    <s v="facebook - cpc"/>
    <s v="Rio de Janeiro - RJ"/>
    <x v="3"/>
    <x v="6"/>
    <n v="0"/>
  </r>
  <r>
    <n v="11347934"/>
    <d v="2025-02-14T20:29:02"/>
    <s v="NÃO"/>
    <x v="8"/>
    <x v="4"/>
    <s v="facebook - cpc"/>
    <s v="Jundiaí - SP"/>
    <x v="0"/>
    <x v="6"/>
    <n v="0"/>
  </r>
  <r>
    <n v="11358173"/>
    <d v="2025-02-15T19:54:53"/>
    <s v="NÃO"/>
    <x v="8"/>
    <x v="4"/>
    <s v="facebook - cpc"/>
    <s v="São Paulo - SP"/>
    <x v="3"/>
    <x v="6"/>
    <n v="0"/>
  </r>
  <r>
    <n v="11358673"/>
    <d v="2025-02-15T22:38:20"/>
    <s v="NÃO"/>
    <x v="8"/>
    <x v="4"/>
    <s v="facebook - cpc"/>
    <s v="Umbauba - SE"/>
    <x v="3"/>
    <x v="2"/>
    <n v="0"/>
  </r>
  <r>
    <n v="11706401"/>
    <d v="2025-03-19T21:30:48"/>
    <s v="NÃO"/>
    <x v="8"/>
    <x v="2"/>
    <s v="google - cpc"/>
    <s v="Erechim - RS"/>
    <x v="0"/>
    <x v="2"/>
    <n v="0"/>
  </r>
  <r>
    <n v="11707666"/>
    <d v="2025-03-20T10:54:15"/>
    <s v="NÃO"/>
    <x v="8"/>
    <x v="2"/>
    <s v="google - cpc"/>
    <s v="São Paulo - SP"/>
    <x v="3"/>
    <x v="2"/>
    <n v="0"/>
  </r>
  <r>
    <n v="11790219"/>
    <d v="2025-03-28T10:52:06"/>
    <s v="NÃO"/>
    <x v="8"/>
    <x v="2"/>
    <s v="google - cpc"/>
    <s v="Brasília - DF"/>
    <x v="3"/>
    <x v="0"/>
    <n v="0"/>
  </r>
  <r>
    <n v="11918613"/>
    <d v="2025-04-08T16:04:57"/>
    <s v="NÃO"/>
    <x v="8"/>
    <x v="2"/>
    <s v="google - cpc"/>
    <s v="Cianorte - PR"/>
    <x v="3"/>
    <x v="4"/>
    <n v="0"/>
  </r>
  <r>
    <n v="11863526"/>
    <d v="2025-04-05T09:40:41"/>
    <s v="NÃO"/>
    <x v="8"/>
    <x v="2"/>
    <s v="google - cpc"/>
    <s v="Jose Bonifacio - SP"/>
    <x v="3"/>
    <x v="0"/>
    <n v="0"/>
  </r>
  <r>
    <n v="12020465"/>
    <d v="2025-04-17T00:08:43"/>
    <s v="NÃO"/>
    <x v="8"/>
    <x v="2"/>
    <s v="google - cpc"/>
    <s v="São Paulo - SP"/>
    <x v="0"/>
    <x v="3"/>
    <n v="0"/>
  </r>
  <r>
    <n v="11980456"/>
    <d v="2025-04-14T09:49:47"/>
    <s v="NÃO"/>
    <x v="8"/>
    <x v="2"/>
    <s v="google - cpc"/>
    <s v="Cuiabá - MT"/>
    <x v="4"/>
    <x v="0"/>
    <n v="0"/>
  </r>
  <r>
    <n v="11895664"/>
    <d v="2025-04-07T10:11:36"/>
    <s v="NÃO"/>
    <x v="8"/>
    <x v="2"/>
    <s v="google - cpc"/>
    <s v="São Paulo - SP"/>
    <x v="3"/>
    <x v="5"/>
    <n v="0"/>
  </r>
  <r>
    <n v="11839986"/>
    <d v="2025-04-01T01:52:35"/>
    <s v="NÃO"/>
    <x v="8"/>
    <x v="2"/>
    <s v="google - cpc"/>
    <s v="Rio de Janeiro - RJ"/>
    <x v="3"/>
    <x v="0"/>
    <n v="0"/>
  </r>
  <r>
    <n v="11927472"/>
    <d v="2025-04-09T10:10:28"/>
    <s v="NÃO"/>
    <x v="8"/>
    <x v="2"/>
    <s v="google - cpc"/>
    <s v="Jandira - SP"/>
    <x v="4"/>
    <x v="0"/>
    <n v="0"/>
  </r>
  <r>
    <n v="10704646"/>
    <d v="2024-12-13T07:42:05"/>
    <s v="NÃO"/>
    <x v="8"/>
    <x v="8"/>
    <s v="rep - juliana-gomes"/>
    <s v="Baia Formosa - RN"/>
    <x v="1"/>
    <x v="6"/>
    <n v="0"/>
  </r>
  <r>
    <n v="11663060"/>
    <d v="2025-03-16T17:21:59"/>
    <s v="NÃO"/>
    <x v="8"/>
    <x v="2"/>
    <s v="google - cpc"/>
    <s v="Florianópolis - SC"/>
    <x v="0"/>
    <x v="2"/>
    <n v="0"/>
  </r>
  <r>
    <n v="11048284"/>
    <d v="2025-01-19T19:34:11"/>
    <s v="NÃO"/>
    <x v="8"/>
    <x v="2"/>
    <s v="google - cpc"/>
    <s v="Gurupi - TO"/>
    <x v="3"/>
    <x v="2"/>
    <n v="0"/>
  </r>
  <r>
    <n v="10814399"/>
    <d v="2024-12-24T20:38:16"/>
    <s v="NÃO"/>
    <x v="8"/>
    <x v="2"/>
    <s v="google - cpc"/>
    <s v="Salto de Pirapora - SP"/>
    <x v="0"/>
    <x v="0"/>
    <n v="0"/>
  </r>
  <r>
    <n v="10825536"/>
    <d v="2024-12-28T16:55:53"/>
    <s v="NÃO"/>
    <x v="8"/>
    <x v="2"/>
    <s v="google - cpc"/>
    <s v="São Paulo - SP"/>
    <x v="3"/>
    <x v="4"/>
    <n v="0"/>
  </r>
  <r>
    <n v="10737786"/>
    <d v="2024-12-16T01:33:24"/>
    <s v="NÃO"/>
    <x v="8"/>
    <x v="2"/>
    <s v="google - cpc"/>
    <s v="São Paulo - SP"/>
    <x v="1"/>
    <x v="3"/>
    <n v="0"/>
  </r>
  <r>
    <n v="10760531"/>
    <d v="2024-12-17T14:55:40"/>
    <s v="NÃO"/>
    <x v="8"/>
    <x v="2"/>
    <s v="google - cpc"/>
    <s v="Brasília - DF"/>
    <x v="4"/>
    <x v="0"/>
    <n v="0"/>
  </r>
  <r>
    <n v="11346460"/>
    <d v="2025-02-14T07:58:30"/>
    <s v="NÃO"/>
    <x v="8"/>
    <x v="2"/>
    <s v="google - cpc"/>
    <s v="Natal - RN"/>
    <x v="3"/>
    <x v="0"/>
    <n v="0"/>
  </r>
  <r>
    <n v="11607950"/>
    <d v="2025-03-11T07:51:17"/>
    <s v="NÃO"/>
    <x v="8"/>
    <x v="4"/>
    <s v="facebook - cpc"/>
    <s v="Joinville - SC"/>
    <x v="3"/>
    <x v="6"/>
    <n v="0"/>
  </r>
  <r>
    <n v="11607171"/>
    <d v="2025-03-10T22:25:07"/>
    <s v="NÃO"/>
    <x v="8"/>
    <x v="4"/>
    <s v="facebook - cpc"/>
    <s v="Itajaí - SC"/>
    <x v="4"/>
    <x v="4"/>
    <n v="0"/>
  </r>
  <r>
    <n v="11543099"/>
    <d v="2025-03-04T20:01:12"/>
    <s v="NÃO"/>
    <x v="8"/>
    <x v="4"/>
    <s v="facebook - cpc"/>
    <s v="Caragua - SP"/>
    <x v="1"/>
    <x v="2"/>
    <n v="0"/>
  </r>
  <r>
    <n v="11543202"/>
    <d v="2025-03-04T20:54:41"/>
    <s v="NÃO"/>
    <x v="8"/>
    <x v="4"/>
    <s v="facebook - cpc"/>
    <s v="Salto - SP"/>
    <x v="0"/>
    <x v="2"/>
    <n v="0"/>
  </r>
  <r>
    <n v="11543494"/>
    <d v="2025-03-04T22:15:49"/>
    <s v="NÃO"/>
    <x v="8"/>
    <x v="4"/>
    <s v="facebook - cpc"/>
    <s v="Caxias do Sul - RS"/>
    <x v="3"/>
    <x v="6"/>
    <n v="0"/>
  </r>
  <r>
    <n v="11543421"/>
    <d v="2025-03-04T21:47:07"/>
    <s v="NÃO"/>
    <x v="8"/>
    <x v="4"/>
    <s v="facebook - cpc"/>
    <s v="Nossa Senhora do Socorro - SE"/>
    <x v="3"/>
    <x v="6"/>
    <n v="0"/>
  </r>
  <r>
    <n v="11886550"/>
    <d v="2025-04-06T15:41:21"/>
    <s v="NÃO"/>
    <x v="8"/>
    <x v="10"/>
    <n v="0"/>
    <s v="Pr"/>
    <x v="4"/>
    <x v="5"/>
    <n v="0"/>
  </r>
  <r>
    <n v="11369194"/>
    <d v="2025-02-16T17:00:49"/>
    <s v="NÃO"/>
    <x v="8"/>
    <x v="7"/>
    <s v="instagram - social"/>
    <s v="Hidrolandia - GO"/>
    <x v="3"/>
    <x v="2"/>
    <n v="0"/>
  </r>
  <r>
    <n v="11559466"/>
    <d v="2025-03-06T18:20:39"/>
    <s v="NÃO"/>
    <x v="8"/>
    <x v="7"/>
    <s v="instagram - social"/>
    <s v="Teresina - PI"/>
    <x v="0"/>
    <x v="2"/>
    <n v="0"/>
  </r>
  <r>
    <n v="11419700"/>
    <d v="2025-02-22T12:40:08"/>
    <s v="NÃO"/>
    <x v="8"/>
    <x v="7"/>
    <s v="instagram - social"/>
    <s v="Barbalha - CE"/>
    <x v="0"/>
    <x v="0"/>
    <n v="0"/>
  </r>
  <r>
    <n v="11598318"/>
    <d v="2025-03-10T10:53:06"/>
    <s v="NÃO"/>
    <x v="8"/>
    <x v="7"/>
    <s v="instagram - social"/>
    <s v="Rio de Janeiro - RJ"/>
    <x v="3"/>
    <x v="0"/>
    <n v="0"/>
  </r>
  <r>
    <n v="11585147"/>
    <d v="2025-03-09T13:20:35"/>
    <s v="NÃO"/>
    <x v="8"/>
    <x v="7"/>
    <s v="instagram - social"/>
    <s v="São Paulo - SP"/>
    <x v="0"/>
    <x v="2"/>
    <n v="0"/>
  </r>
  <r>
    <n v="11063460"/>
    <d v="2025-01-20T18:26:16"/>
    <s v="NÃO"/>
    <x v="8"/>
    <x v="6"/>
    <s v="bing - cpc"/>
    <s v="São Caetano do Sul - SP"/>
    <x v="0"/>
    <x v="5"/>
    <n v="0"/>
  </r>
  <r>
    <n v="11068571"/>
    <d v="2025-01-21T11:17:00"/>
    <s v="NÃO"/>
    <x v="8"/>
    <x v="6"/>
    <s v="bing - cpc"/>
    <s v="Itanhaem - SP"/>
    <x v="3"/>
    <x v="0"/>
    <n v="0"/>
  </r>
  <r>
    <n v="10911551"/>
    <d v="2025-01-08T11:17:00"/>
    <s v="NÃO"/>
    <x v="8"/>
    <x v="6"/>
    <s v="bing - cpc"/>
    <s v="São Paulo - SP"/>
    <x v="0"/>
    <x v="3"/>
    <n v="0"/>
  </r>
  <r>
    <n v="10703809"/>
    <d v="2024-12-12T16:48:40"/>
    <s v="NÃO"/>
    <x v="8"/>
    <x v="6"/>
    <s v="bing - cpc"/>
    <s v="Rio Preto - SP"/>
    <x v="3"/>
    <x v="4"/>
    <n v="0"/>
  </r>
  <r>
    <n v="11386976"/>
    <d v="2025-02-18T11:49:20"/>
    <s v="NÃO"/>
    <x v="8"/>
    <x v="6"/>
    <s v="bing - cpc"/>
    <s v="Ribeirão Preto - SP"/>
    <x v="0"/>
    <x v="4"/>
    <n v="0"/>
  </r>
  <r>
    <n v="11418511"/>
    <d v="2025-02-22T11:35:56"/>
    <s v="NÃO"/>
    <x v="8"/>
    <x v="2"/>
    <s v="google - cpc"/>
    <s v="Campinas - SP"/>
    <x v="3"/>
    <x v="2"/>
    <n v="0"/>
  </r>
  <r>
    <n v="11419237"/>
    <d v="2025-02-22T12:06:47"/>
    <s v="NÃO"/>
    <x v="8"/>
    <x v="2"/>
    <s v="google - cpc"/>
    <s v="Belo Horizonte - MG"/>
    <x v="4"/>
    <x v="5"/>
    <n v="0"/>
  </r>
  <r>
    <n v="11427900"/>
    <d v="2025-02-23T08:46:16"/>
    <s v="NÃO"/>
    <x v="8"/>
    <x v="2"/>
    <s v="google - cpc"/>
    <s v="Belo Horizonte - MG"/>
    <x v="1"/>
    <x v="0"/>
    <n v="0"/>
  </r>
  <r>
    <n v="11374073"/>
    <d v="2025-02-17T10:28:33"/>
    <s v="NÃO"/>
    <x v="8"/>
    <x v="2"/>
    <s v="google - cpc"/>
    <s v="Brasília - DF"/>
    <x v="0"/>
    <x v="3"/>
    <n v="0"/>
  </r>
  <r>
    <n v="11814984"/>
    <d v="2025-03-29T20:41:33"/>
    <s v="NÃO"/>
    <x v="8"/>
    <x v="3"/>
    <s v="linkedin - social"/>
    <s v="São Paulo - SP"/>
    <x v="1"/>
    <x v="2"/>
    <n v="0"/>
  </r>
  <r>
    <n v="11451801"/>
    <d v="2025-02-24T17:26:23"/>
    <s v="NÃO"/>
    <x v="8"/>
    <x v="2"/>
    <s v="google - cpc"/>
    <s v="Florianópolis - SC"/>
    <x v="3"/>
    <x v="0"/>
    <n v="0"/>
  </r>
  <r>
    <n v="11462993"/>
    <d v="2025-02-25T15:46:06"/>
    <s v="NÃO"/>
    <x v="8"/>
    <x v="2"/>
    <s v="google - cpc"/>
    <s v="Brasília - DF"/>
    <x v="3"/>
    <x v="0"/>
    <n v="0"/>
  </r>
  <r>
    <n v="11332040"/>
    <d v="2025-02-12T05:59:12"/>
    <s v="NÃO"/>
    <x v="8"/>
    <x v="4"/>
    <s v="facebook - cpc"/>
    <s v="São Paulo - SP"/>
    <x v="0"/>
    <x v="6"/>
    <n v="0"/>
  </r>
  <r>
    <n v="11346358"/>
    <d v="2025-02-14T05:39:04"/>
    <s v="NÃO"/>
    <x v="8"/>
    <x v="4"/>
    <s v="facebook - cpc"/>
    <s v="Campinas - SP"/>
    <x v="3"/>
    <x v="6"/>
    <n v="0"/>
  </r>
  <r>
    <n v="11344207"/>
    <d v="2025-02-13T10:28:58"/>
    <s v="NÃO"/>
    <x v="8"/>
    <x v="4"/>
    <s v="facebook - cpc"/>
    <s v="São Carlos - SP"/>
    <x v="3"/>
    <x v="6"/>
    <n v="0"/>
  </r>
  <r>
    <n v="11344215"/>
    <d v="2025-02-13T10:30:39"/>
    <s v="NÃO"/>
    <x v="8"/>
    <x v="4"/>
    <s v="facebook - cpc"/>
    <s v="Rio de Janeiro - RJ"/>
    <x v="6"/>
    <x v="6"/>
    <n v="0"/>
  </r>
  <r>
    <n v="11586072"/>
    <d v="2025-03-09T14:27:04"/>
    <s v="NÃO"/>
    <x v="8"/>
    <x v="4"/>
    <s v="facebook - cpc"/>
    <s v="Taubate - SP"/>
    <x v="0"/>
    <x v="6"/>
    <n v="0"/>
  </r>
  <r>
    <n v="11577508"/>
    <d v="2025-03-08T20:15:40"/>
    <s v="NÃO"/>
    <x v="8"/>
    <x v="4"/>
    <s v="facebook - cpc"/>
    <s v="Guarulhos - SP"/>
    <x v="3"/>
    <x v="6"/>
    <n v="0"/>
  </r>
  <r>
    <n v="11581437"/>
    <d v="2025-03-09T09:57:37"/>
    <s v="NÃO"/>
    <x v="8"/>
    <x v="4"/>
    <s v="facebook - cpc"/>
    <s v="Curitiba - PR"/>
    <x v="3"/>
    <x v="0"/>
    <n v="0"/>
  </r>
  <r>
    <n v="11577831"/>
    <d v="2025-03-08T21:37:58"/>
    <s v="NÃO"/>
    <x v="8"/>
    <x v="4"/>
    <s v="facebook - cpc"/>
    <s v="Ananindeua - PA"/>
    <x v="0"/>
    <x v="6"/>
    <n v="0"/>
  </r>
  <r>
    <n v="11566267"/>
    <d v="2025-03-08T10:23:21"/>
    <s v="NÃO"/>
    <x v="8"/>
    <x v="4"/>
    <s v="facebook - cpc"/>
    <s v="São Paulo - SP"/>
    <x v="3"/>
    <x v="2"/>
    <n v="0"/>
  </r>
  <r>
    <n v="11561652"/>
    <d v="2025-03-07T17:52:29"/>
    <s v="NÃO"/>
    <x v="8"/>
    <x v="4"/>
    <s v="facebook - cpc"/>
    <s v="Santo André - SP"/>
    <x v="3"/>
    <x v="6"/>
    <n v="0"/>
  </r>
  <r>
    <n v="11561430"/>
    <d v="2025-03-07T15:56:59"/>
    <s v="NÃO"/>
    <x v="8"/>
    <x v="4"/>
    <s v="facebook - cpc"/>
    <s v="Rio de Janeiro - RJ"/>
    <x v="3"/>
    <x v="6"/>
    <n v="0"/>
  </r>
  <r>
    <n v="11561436"/>
    <d v="2025-03-07T15:59:27"/>
    <s v="NÃO"/>
    <x v="8"/>
    <x v="4"/>
    <s v="facebook - cpc"/>
    <s v="Joinville - SC"/>
    <x v="0"/>
    <x v="6"/>
    <n v="0"/>
  </r>
  <r>
    <n v="11560014"/>
    <d v="2025-03-07T00:38:26"/>
    <s v="NÃO"/>
    <x v="8"/>
    <x v="4"/>
    <s v="facebook - cpc"/>
    <s v="João Pessoa - PB"/>
    <x v="0"/>
    <x v="2"/>
    <n v="0"/>
  </r>
  <r>
    <n v="11560375"/>
    <d v="2025-03-07T08:24:35"/>
    <s v="NÃO"/>
    <x v="8"/>
    <x v="4"/>
    <s v="facebook - cpc"/>
    <s v="Belo Horizonte - MG"/>
    <x v="3"/>
    <x v="6"/>
    <n v="0"/>
  </r>
  <r>
    <n v="11560431"/>
    <d v="2025-03-07T09:04:50"/>
    <s v="NÃO"/>
    <x v="8"/>
    <x v="4"/>
    <s v="facebook - cpc"/>
    <s v="São Paulo - SP"/>
    <x v="3"/>
    <x v="6"/>
    <n v="0"/>
  </r>
  <r>
    <n v="11560540"/>
    <d v="2025-03-07T09:59:29"/>
    <s v="NÃO"/>
    <x v="8"/>
    <x v="4"/>
    <s v="facebook - cpc"/>
    <s v="Novo Hamburgo - RS"/>
    <x v="3"/>
    <x v="6"/>
    <n v="0"/>
  </r>
  <r>
    <n v="11560855"/>
    <d v="2025-03-07T12:23:44"/>
    <s v="NÃO"/>
    <x v="8"/>
    <x v="4"/>
    <s v="facebook - cpc"/>
    <s v="Florianópolis - SC"/>
    <x v="0"/>
    <x v="6"/>
    <n v="0"/>
  </r>
  <r>
    <n v="11560887"/>
    <d v="2025-03-07T12:45:46"/>
    <s v="NÃO"/>
    <x v="8"/>
    <x v="4"/>
    <s v="facebook - cpc"/>
    <s v="São José dos Campos - SP"/>
    <x v="0"/>
    <x v="6"/>
    <n v="0"/>
  </r>
  <r>
    <n v="11560948"/>
    <d v="2025-03-07T13:16:38"/>
    <s v="NÃO"/>
    <x v="8"/>
    <x v="4"/>
    <s v="facebook - cpc"/>
    <s v="Itapema - SC"/>
    <x v="3"/>
    <x v="6"/>
    <n v="0"/>
  </r>
  <r>
    <n v="11558264"/>
    <d v="2025-03-06T07:10:41"/>
    <s v="NÃO"/>
    <x v="8"/>
    <x v="4"/>
    <s v="facebook - cpc"/>
    <s v="Curitiba - PR"/>
    <x v="0"/>
    <x v="2"/>
    <n v="0"/>
  </r>
  <r>
    <n v="11803128"/>
    <d v="2025-03-29T11:34:48"/>
    <s v="NÃO"/>
    <x v="4"/>
    <x v="1"/>
    <s v="Sales Navigator"/>
    <s v="-"/>
    <x v="2"/>
    <x v="1"/>
    <n v="0"/>
  </r>
  <r>
    <n v="11593092"/>
    <d v="2025-03-09T23:41:38"/>
    <s v="NÃO"/>
    <x v="8"/>
    <x v="3"/>
    <s v="linkedin - cpc"/>
    <s v="Brasília - DF"/>
    <x v="3"/>
    <x v="2"/>
    <n v="0"/>
  </r>
  <r>
    <n v="11632263"/>
    <d v="2025-03-13T16:42:48"/>
    <s v="NÃO"/>
    <x v="8"/>
    <x v="3"/>
    <s v="linkedin - cpc"/>
    <s v="Canoas - RS"/>
    <x v="1"/>
    <x v="0"/>
    <n v="0"/>
  </r>
  <r>
    <n v="11866255"/>
    <d v="2025-04-05T11:53:50"/>
    <s v="NÃO"/>
    <x v="2"/>
    <x v="0"/>
    <n v="0"/>
    <s v="-"/>
    <x v="0"/>
    <x v="3"/>
    <n v="0"/>
  </r>
  <r>
    <n v="11839645"/>
    <d v="2025-03-31T22:18:45"/>
    <s v="NÃO"/>
    <x v="2"/>
    <x v="0"/>
    <n v="0"/>
    <s v="Rio de Janeiro - RJ"/>
    <x v="5"/>
    <x v="2"/>
    <n v="0"/>
  </r>
  <r>
    <n v="11842675"/>
    <d v="2025-04-01T10:45:15"/>
    <s v="NÃO"/>
    <x v="2"/>
    <x v="0"/>
    <n v="0"/>
    <s v="Londrina - PR"/>
    <x v="0"/>
    <x v="4"/>
    <n v="0"/>
  </r>
  <r>
    <n v="10870803"/>
    <d v="2025-01-05T08:37:17"/>
    <s v="NÃO"/>
    <x v="2"/>
    <x v="2"/>
    <s v="google - cpc"/>
    <s v="São Paulo - SP"/>
    <x v="3"/>
    <x v="6"/>
    <n v="0"/>
  </r>
  <r>
    <n v="10866771"/>
    <d v="2025-01-04T16:54:36"/>
    <s v="NÃO"/>
    <x v="2"/>
    <x v="2"/>
    <s v="google - cpc"/>
    <s v="São Paulo - SP"/>
    <x v="0"/>
    <x v="6"/>
    <n v="0"/>
  </r>
  <r>
    <n v="10902298"/>
    <d v="2025-01-07T15:02:22"/>
    <s v="NÃO"/>
    <x v="2"/>
    <x v="2"/>
    <s v="google - cpc"/>
    <s v="Lavras da Mangabeira - CE"/>
    <x v="3"/>
    <x v="2"/>
    <n v="0"/>
  </r>
  <r>
    <n v="10892640"/>
    <d v="2025-01-06T17:22:09"/>
    <s v="NÃO"/>
    <x v="2"/>
    <x v="2"/>
    <s v="google - cpc"/>
    <s v="Ilhabela - SP"/>
    <x v="1"/>
    <x v="6"/>
    <n v="0"/>
  </r>
  <r>
    <n v="10808074"/>
    <d v="2024-12-23T11:58:21"/>
    <s v="NÃO"/>
    <x v="2"/>
    <x v="2"/>
    <s v="google - cpc"/>
    <s v="Contagem - MG"/>
    <x v="4"/>
    <x v="6"/>
    <n v="0"/>
  </r>
  <r>
    <n v="11038369"/>
    <d v="2025-01-19T13:54:10"/>
    <s v="NÃO"/>
    <x v="2"/>
    <x v="2"/>
    <s v="google - cpc"/>
    <s v="Santo Antonio do Descoberto - GO"/>
    <x v="0"/>
    <x v="2"/>
    <n v="0"/>
  </r>
  <r>
    <n v="10714452"/>
    <d v="2024-12-14T13:07:44"/>
    <s v="NÃO"/>
    <x v="2"/>
    <x v="0"/>
    <n v="0"/>
    <s v="-"/>
    <x v="6"/>
    <x v="6"/>
    <n v="0"/>
  </r>
  <r>
    <n v="10674677"/>
    <d v="2024-12-09T17:25:59"/>
    <s v="NÃO"/>
    <x v="2"/>
    <x v="0"/>
    <n v="0"/>
    <s v="Aracoiaba da Serra - SP"/>
    <x v="1"/>
    <x v="3"/>
    <n v="0"/>
  </r>
  <r>
    <n v="11063443"/>
    <d v="2025-01-20T18:20:29"/>
    <s v="NÃO"/>
    <x v="2"/>
    <x v="0"/>
    <n v="0"/>
    <s v="Juiz de Fora - MG"/>
    <x v="3"/>
    <x v="5"/>
    <n v="0"/>
  </r>
  <r>
    <n v="11589508"/>
    <d v="2025-03-09T15:43:58"/>
    <s v="NÃO"/>
    <x v="2"/>
    <x v="0"/>
    <n v="0"/>
    <s v="Jacareí - SP"/>
    <x v="0"/>
    <x v="3"/>
    <n v="0"/>
  </r>
  <r>
    <n v="11714379"/>
    <d v="2025-03-22T09:50:45"/>
    <s v="NÃO"/>
    <x v="2"/>
    <x v="0"/>
    <n v="0"/>
    <s v="-"/>
    <x v="0"/>
    <x v="5"/>
    <n v="0"/>
  </r>
  <r>
    <n v="11055708"/>
    <d v="2025-01-20T12:09:29"/>
    <s v="NÃO"/>
    <x v="2"/>
    <x v="0"/>
    <n v="0"/>
    <s v="Campinas - SP"/>
    <x v="0"/>
    <x v="3"/>
    <n v="0"/>
  </r>
  <r>
    <n v="10980020"/>
    <d v="2025-01-14T14:11:23"/>
    <s v="NÃO"/>
    <x v="2"/>
    <x v="0"/>
    <n v="0"/>
    <s v="São Paulo - SP"/>
    <x v="4"/>
    <x v="6"/>
    <n v="0"/>
  </r>
  <r>
    <n v="11423451"/>
    <d v="2025-02-22T16:21:01"/>
    <s v="NÃO"/>
    <x v="2"/>
    <x v="0"/>
    <n v="0"/>
    <s v="São Paulo"/>
    <x v="0"/>
    <x v="3"/>
    <n v="0"/>
  </r>
  <r>
    <n v="11407769"/>
    <d v="2025-02-20T16:48:46"/>
    <s v="NÃO"/>
    <x v="2"/>
    <x v="0"/>
    <n v="0"/>
    <s v="Manaus - AM"/>
    <x v="3"/>
    <x v="0"/>
    <n v="0"/>
  </r>
  <r>
    <n v="11397158"/>
    <d v="2025-02-19T09:26:30"/>
    <s v="NÃO"/>
    <x v="2"/>
    <x v="0"/>
    <n v="0"/>
    <s v="-"/>
    <x v="0"/>
    <x v="1"/>
    <n v="0"/>
  </r>
  <r>
    <n v="11380905"/>
    <d v="2025-02-17T17:25:43"/>
    <s v="NÃO"/>
    <x v="2"/>
    <x v="0"/>
    <n v="0"/>
    <s v="Mossoro - RN"/>
    <x v="3"/>
    <x v="5"/>
    <n v="0"/>
  </r>
  <r>
    <n v="11317324"/>
    <d v="2025-02-10T18:19:56"/>
    <s v="NÃO"/>
    <x v="2"/>
    <x v="0"/>
    <n v="0"/>
    <s v="São José dos Campos - SP"/>
    <x v="1"/>
    <x v="2"/>
    <n v="0"/>
  </r>
  <r>
    <n v="11548967"/>
    <d v="2025-03-05T10:29:08"/>
    <s v="NÃO"/>
    <x v="2"/>
    <x v="0"/>
    <n v="0"/>
    <s v="Trindade - PE"/>
    <x v="3"/>
    <x v="0"/>
    <n v="0"/>
  </r>
  <r>
    <n v="10919516"/>
    <d v="2025-01-08T20:46:17"/>
    <s v="NÃO"/>
    <x v="8"/>
    <x v="0"/>
    <n v="0"/>
    <s v="Salvador - BA"/>
    <x v="3"/>
    <x v="4"/>
    <n v="0"/>
  </r>
  <r>
    <n v="11406938"/>
    <d v="2025-02-20T10:55:19"/>
    <s v="NÃO"/>
    <x v="8"/>
    <x v="4"/>
    <s v="facebook - cpc"/>
    <s v="São Paulo - SP"/>
    <x v="5"/>
    <x v="2"/>
    <n v="0"/>
  </r>
  <r>
    <n v="10666026"/>
    <d v="2024-12-09T12:54:45"/>
    <s v="NÃO"/>
    <x v="8"/>
    <x v="8"/>
    <s v="rep - juliana-gomes"/>
    <s v="Salvador - BA"/>
    <x v="3"/>
    <x v="2"/>
    <n v="0"/>
  </r>
  <r>
    <n v="10666094"/>
    <d v="2024-12-09T13:10:03"/>
    <s v="NÃO"/>
    <x v="8"/>
    <x v="8"/>
    <s v="rep - juliana-gomes"/>
    <s v="Belo Horizonte - MG"/>
    <x v="3"/>
    <x v="6"/>
    <n v="0"/>
  </r>
  <r>
    <n v="10761673"/>
    <d v="2024-12-17T15:17:42"/>
    <s v="NÃO"/>
    <x v="8"/>
    <x v="8"/>
    <s v="rep - ximena-cubillos"/>
    <s v="São Bernardo do Campo - SP"/>
    <x v="3"/>
    <x v="6"/>
    <n v="0"/>
  </r>
  <r>
    <n v="11370962"/>
    <d v="2025-02-16T22:06:19"/>
    <s v="NÃO"/>
    <x v="8"/>
    <x v="4"/>
    <s v="facebook - cpc"/>
    <s v="Fortaleza - CE"/>
    <x v="0"/>
    <x v="6"/>
    <n v="0"/>
  </r>
  <r>
    <n v="11364557"/>
    <d v="2025-02-16T14:09:49"/>
    <s v="NÃO"/>
    <x v="8"/>
    <x v="4"/>
    <s v="facebook - cpc"/>
    <s v="São Paulo - SP"/>
    <x v="1"/>
    <x v="6"/>
    <n v="0"/>
  </r>
  <r>
    <n v="11365608"/>
    <d v="2025-02-16T14:29:14"/>
    <s v="NÃO"/>
    <x v="8"/>
    <x v="4"/>
    <s v="facebook - cpc"/>
    <s v="Engenheiro Paulo de Frontin - RJ"/>
    <x v="0"/>
    <x v="6"/>
    <n v="0"/>
  </r>
  <r>
    <n v="11372285"/>
    <d v="2025-02-17T09:01:54"/>
    <s v="NÃO"/>
    <x v="8"/>
    <x v="4"/>
    <s v="facebook - cpc"/>
    <s v="Valparaiso de Goias - GO"/>
    <x v="1"/>
    <x v="6"/>
    <n v="0"/>
  </r>
  <r>
    <n v="11966001"/>
    <d v="2025-04-13T11:31:51"/>
    <s v="NÃO"/>
    <x v="8"/>
    <x v="0"/>
    <n v="0"/>
    <s v="Joinville - SC"/>
    <x v="3"/>
    <x v="0"/>
    <n v="0"/>
  </r>
  <r>
    <n v="11602385"/>
    <d v="2025-03-10T15:35:29"/>
    <s v="NÃO"/>
    <x v="8"/>
    <x v="0"/>
    <n v="0"/>
    <s v="Rio de Janeiro - RJ"/>
    <x v="3"/>
    <x v="0"/>
    <n v="0"/>
  </r>
  <r>
    <n v="11631665"/>
    <d v="2025-03-13T11:47:19"/>
    <s v="NÃO"/>
    <x v="8"/>
    <x v="0"/>
    <n v="0"/>
    <s v="Tatuí - SP"/>
    <x v="1"/>
    <x v="2"/>
    <n v="0"/>
  </r>
  <r>
    <n v="11634432"/>
    <d v="2025-03-14T12:42:46"/>
    <s v="NÃO"/>
    <x v="8"/>
    <x v="0"/>
    <n v="0"/>
    <s v="Fortaleza - CE"/>
    <x v="0"/>
    <x v="0"/>
    <n v="0"/>
  </r>
  <r>
    <n v="11584967"/>
    <d v="2025-03-09T12:52:03"/>
    <s v="NÃO"/>
    <x v="8"/>
    <x v="0"/>
    <n v="0"/>
    <s v="São Paulo - SP"/>
    <x v="3"/>
    <x v="4"/>
    <n v="0"/>
  </r>
  <r>
    <n v="11532929"/>
    <d v="2025-03-04T11:53:13"/>
    <s v="NÃO"/>
    <x v="8"/>
    <x v="0"/>
    <n v="0"/>
    <s v="Belo Horizonte - MG"/>
    <x v="4"/>
    <x v="0"/>
    <n v="0"/>
  </r>
  <r>
    <n v="11371194"/>
    <d v="2025-02-17T00:06:48"/>
    <s v="NÃO"/>
    <x v="8"/>
    <x v="0"/>
    <n v="0"/>
    <s v="Goiânia - GO"/>
    <x v="3"/>
    <x v="6"/>
    <n v="0"/>
  </r>
  <r>
    <n v="11374054"/>
    <d v="2025-02-17T10:27:14"/>
    <s v="NÃO"/>
    <x v="8"/>
    <x v="0"/>
    <n v="0"/>
    <s v="São Paulo - SP"/>
    <x v="5"/>
    <x v="4"/>
    <n v="0"/>
  </r>
  <r>
    <n v="11280510"/>
    <d v="2025-02-08T12:46:33"/>
    <s v="NÃO"/>
    <x v="8"/>
    <x v="0"/>
    <n v="0"/>
    <s v="Santo André - SP"/>
    <x v="3"/>
    <x v="4"/>
    <n v="0"/>
  </r>
  <r>
    <n v="11266691"/>
    <d v="2025-02-05T18:36:28"/>
    <s v="NÃO"/>
    <x v="8"/>
    <x v="0"/>
    <n v="0"/>
    <s v="Santo André - SP"/>
    <x v="3"/>
    <x v="2"/>
    <n v="0"/>
  </r>
  <r>
    <n v="10781923"/>
    <d v="2024-12-20T14:35:43"/>
    <s v="NÃO"/>
    <x v="2"/>
    <x v="0"/>
    <n v="0"/>
    <s v="Dom Eliseu - PA"/>
    <x v="3"/>
    <x v="4"/>
    <n v="0"/>
  </r>
  <r>
    <n v="10802554"/>
    <d v="2024-12-22T16:44:21"/>
    <s v="NÃO"/>
    <x v="2"/>
    <x v="0"/>
    <n v="0"/>
    <s v="Betim - MG"/>
    <x v="3"/>
    <x v="2"/>
    <n v="0"/>
  </r>
  <r>
    <n v="10860208"/>
    <d v="2025-01-04T12:04:16"/>
    <s v="NÃO"/>
    <x v="2"/>
    <x v="0"/>
    <n v="0"/>
    <s v="Campo Bom - RS"/>
    <x v="0"/>
    <x v="6"/>
    <n v="0"/>
  </r>
  <r>
    <n v="10868752"/>
    <d v="2025-01-04T18:10:19"/>
    <s v="NÃO"/>
    <x v="2"/>
    <x v="0"/>
    <n v="0"/>
    <s v="Rio de Janeiro - RJ"/>
    <x v="3"/>
    <x v="4"/>
    <n v="0"/>
  </r>
  <r>
    <n v="10929665"/>
    <d v="2025-01-11T11:05:41"/>
    <s v="NÃO"/>
    <x v="8"/>
    <x v="2"/>
    <s v="google - cpc"/>
    <s v="Rio de Janeiro - RJ"/>
    <x v="0"/>
    <x v="6"/>
    <n v="0"/>
  </r>
  <r>
    <n v="10714150"/>
    <d v="2024-12-14T12:42:38"/>
    <s v="NÃO"/>
    <x v="8"/>
    <x v="2"/>
    <s v="google - cpc"/>
    <s v="São Paulo - SP"/>
    <x v="3"/>
    <x v="3"/>
    <n v="0"/>
  </r>
  <r>
    <n v="10680002"/>
    <d v="2024-12-10T10:18:23"/>
    <s v="NÃO"/>
    <x v="8"/>
    <x v="2"/>
    <s v="google - cpc"/>
    <s v="Divinópolis - MG"/>
    <x v="1"/>
    <x v="0"/>
    <n v="0"/>
  </r>
  <r>
    <n v="10680115"/>
    <d v="2024-12-10T10:25:12"/>
    <s v="NÃO"/>
    <x v="8"/>
    <x v="2"/>
    <s v="google - cpc"/>
    <s v="Divinópolis - MG"/>
    <x v="4"/>
    <x v="0"/>
    <n v="0"/>
  </r>
  <r>
    <n v="11863999"/>
    <d v="2025-04-05T10:03:19"/>
    <s v="NÃO"/>
    <x v="8"/>
    <x v="0"/>
    <n v="0"/>
    <s v="São Paulo - SP"/>
    <x v="1"/>
    <x v="4"/>
    <n v="0"/>
  </r>
  <r>
    <n v="11876754"/>
    <d v="2025-04-06T09:57:55"/>
    <s v="NÃO"/>
    <x v="8"/>
    <x v="0"/>
    <n v="0"/>
    <s v="Sao Goncalo - RJ"/>
    <x v="0"/>
    <x v="3"/>
    <n v="0"/>
  </r>
  <r>
    <n v="11386795"/>
    <d v="2025-02-18T11:39:40"/>
    <s v="NÃO"/>
    <x v="8"/>
    <x v="0"/>
    <n v="0"/>
    <s v="São Paulo - SP"/>
    <x v="3"/>
    <x v="2"/>
    <n v="0"/>
  </r>
  <r>
    <n v="11523849"/>
    <d v="2025-03-03T16:12:28"/>
    <s v="NÃO"/>
    <x v="8"/>
    <x v="0"/>
    <n v="0"/>
    <s v="São Carlos - SP"/>
    <x v="0"/>
    <x v="4"/>
    <n v="0"/>
  </r>
  <r>
    <n v="11450806"/>
    <d v="2025-02-24T16:42:05"/>
    <s v="NÃO"/>
    <x v="8"/>
    <x v="0"/>
    <n v="0"/>
    <s v="Santa Efigênia - MG"/>
    <x v="6"/>
    <x v="2"/>
    <n v="0"/>
  </r>
  <r>
    <n v="11001197"/>
    <d v="2025-01-15T14:36:35"/>
    <s v="NÃO"/>
    <x v="8"/>
    <x v="0"/>
    <n v="0"/>
    <s v="Rio de Janeiro, RJ"/>
    <x v="0"/>
    <x v="3"/>
    <n v="0"/>
  </r>
  <r>
    <n v="11213616"/>
    <d v="2025-02-01T18:19:50"/>
    <s v="NÃO"/>
    <x v="8"/>
    <x v="0"/>
    <n v="0"/>
    <s v="Brasília - DF"/>
    <x v="0"/>
    <x v="2"/>
    <n v="0"/>
  </r>
  <r>
    <n v="10853754"/>
    <d v="2025-01-03T22:00:04"/>
    <s v="NÃO"/>
    <x v="8"/>
    <x v="0"/>
    <n v="0"/>
    <s v="Diadema - SP"/>
    <x v="0"/>
    <x v="5"/>
    <n v="0"/>
  </r>
  <r>
    <n v="10794410"/>
    <d v="2024-12-21T22:01:26"/>
    <s v="NÃO"/>
    <x v="8"/>
    <x v="0"/>
    <n v="0"/>
    <s v="São Paulo - SP"/>
    <x v="0"/>
    <x v="0"/>
    <n v="0"/>
  </r>
  <r>
    <n v="10777788"/>
    <d v="2024-12-18T19:05:49"/>
    <s v="NÃO"/>
    <x v="8"/>
    <x v="0"/>
    <n v="0"/>
    <s v="Parnamirim - RN"/>
    <x v="3"/>
    <x v="4"/>
    <n v="0"/>
  </r>
  <r>
    <n v="11746277"/>
    <d v="2025-03-24T14:03:39"/>
    <s v="NÃO"/>
    <x v="4"/>
    <x v="2"/>
    <s v="google - cpc"/>
    <s v="Itupeva - SP"/>
    <x v="0"/>
    <x v="6"/>
    <n v="0"/>
  </r>
  <r>
    <n v="11746703"/>
    <d v="2025-03-24T14:27:16"/>
    <s v="NÃO"/>
    <x v="4"/>
    <x v="2"/>
    <s v="google - cpc"/>
    <s v="Belo Horizonte - MG"/>
    <x v="0"/>
    <x v="0"/>
    <n v="0"/>
  </r>
  <r>
    <n v="11708222"/>
    <d v="2025-03-20T15:05:46"/>
    <s v="NÃO"/>
    <x v="4"/>
    <x v="2"/>
    <s v="google - cpc"/>
    <s v="Rio de Janeiro - RJ"/>
    <x v="0"/>
    <x v="0"/>
    <n v="0"/>
  </r>
  <r>
    <n v="11823878"/>
    <d v="2025-03-30T15:33:21"/>
    <s v="NÃO"/>
    <x v="4"/>
    <x v="2"/>
    <s v="google - cpc"/>
    <s v="Irati - PR"/>
    <x v="3"/>
    <x v="0"/>
    <n v="0"/>
  </r>
  <r>
    <n v="11825217"/>
    <d v="2025-03-30T16:43:35"/>
    <s v="NÃO"/>
    <x v="4"/>
    <x v="2"/>
    <s v="google - cpc"/>
    <s v="Rio de Janeiro - RJ"/>
    <x v="0"/>
    <x v="3"/>
    <n v="0"/>
  </r>
  <r>
    <n v="11644925"/>
    <d v="2025-03-15T15:27:19"/>
    <s v="NÃO"/>
    <x v="4"/>
    <x v="2"/>
    <n v="0"/>
    <s v="Rio de Janeiro"/>
    <x v="0"/>
    <x v="5"/>
    <n v="0"/>
  </r>
  <r>
    <n v="11658815"/>
    <d v="2025-03-16T14:37:29"/>
    <s v="NÃO"/>
    <x v="4"/>
    <x v="2"/>
    <n v="0"/>
    <s v="-"/>
    <x v="1"/>
    <x v="6"/>
    <n v="0"/>
  </r>
  <r>
    <n v="11516321"/>
    <d v="2025-03-03T10:35:43"/>
    <s v="NÃO"/>
    <x v="4"/>
    <x v="2"/>
    <n v="0"/>
    <s v="-"/>
    <x v="4"/>
    <x v="6"/>
    <n v="0"/>
  </r>
  <r>
    <n v="11948603"/>
    <d v="2025-04-12T11:29:02"/>
    <s v="NÃO"/>
    <x v="4"/>
    <x v="9"/>
    <n v="0"/>
    <s v="São Paulo"/>
    <x v="0"/>
    <x v="5"/>
    <n v="0"/>
  </r>
  <r>
    <n v="11953784"/>
    <d v="2025-04-12T15:10:52"/>
    <s v="NÃO"/>
    <x v="4"/>
    <x v="2"/>
    <n v="0"/>
    <s v="São Paulo"/>
    <x v="1"/>
    <x v="5"/>
    <n v="0"/>
  </r>
  <r>
    <n v="11772314"/>
    <d v="2025-03-26T09:44:30"/>
    <s v="NÃO"/>
    <x v="4"/>
    <x v="2"/>
    <n v="0"/>
    <s v="-"/>
    <x v="0"/>
    <x v="0"/>
    <n v="0"/>
  </r>
  <r>
    <n v="11742873"/>
    <d v="2025-03-24T11:47:25"/>
    <s v="NÃO"/>
    <x v="4"/>
    <x v="2"/>
    <n v="0"/>
    <s v="São Paulo, SP"/>
    <x v="2"/>
    <x v="3"/>
    <n v="0"/>
  </r>
  <r>
    <n v="11700307"/>
    <d v="2025-03-19T14:45:08"/>
    <s v="NÃO"/>
    <x v="4"/>
    <x v="2"/>
    <s v="google - cpc"/>
    <s v="Curitiba - PR"/>
    <x v="0"/>
    <x v="6"/>
    <n v="0"/>
  </r>
  <r>
    <n v="11709120"/>
    <d v="2025-03-20T22:29:26"/>
    <s v="NÃO"/>
    <x v="4"/>
    <x v="2"/>
    <s v="google - cpc"/>
    <s v="Duque de Caxias - RJ"/>
    <x v="3"/>
    <x v="0"/>
    <n v="0"/>
  </r>
  <r>
    <n v="11709795"/>
    <d v="2025-03-21T09:14:16"/>
    <s v="NÃO"/>
    <x v="4"/>
    <x v="2"/>
    <s v="google - cpc"/>
    <s v="Virginopolis - MG"/>
    <x v="0"/>
    <x v="0"/>
    <n v="0"/>
  </r>
  <r>
    <n v="11395137"/>
    <d v="2025-02-18T22:05:59"/>
    <s v="NÃO"/>
    <x v="4"/>
    <x v="4"/>
    <s v="facebook - cpc"/>
    <s v="Rio de Janeiro - RJ"/>
    <x v="1"/>
    <x v="6"/>
    <n v="0"/>
  </r>
  <r>
    <n v="11395185"/>
    <d v="2025-02-18T22:23:11"/>
    <s v="NÃO"/>
    <x v="4"/>
    <x v="4"/>
    <s v="facebook - cpc"/>
    <s v="Canoas - RS"/>
    <x v="3"/>
    <x v="4"/>
    <n v="0"/>
  </r>
  <r>
    <n v="11398767"/>
    <d v="2025-02-19T10:55:42"/>
    <s v="NÃO"/>
    <x v="4"/>
    <x v="4"/>
    <s v="facebook - cpc"/>
    <s v="São Paulo - SP"/>
    <x v="3"/>
    <x v="6"/>
    <n v="0"/>
  </r>
  <r>
    <n v="11399132"/>
    <d v="2025-02-19T11:13:26"/>
    <s v="NÃO"/>
    <x v="4"/>
    <x v="4"/>
    <s v="facebook - cpc"/>
    <s v="Curitiba - PR"/>
    <x v="0"/>
    <x v="6"/>
    <n v="0"/>
  </r>
  <r>
    <n v="11396122"/>
    <d v="2025-02-19T07:48:18"/>
    <s v="NÃO"/>
    <x v="4"/>
    <x v="4"/>
    <s v="facebook - cpc"/>
    <s v="Cuiabá - MT"/>
    <x v="0"/>
    <x v="2"/>
    <n v="0"/>
  </r>
  <r>
    <n v="11394238"/>
    <d v="2025-02-18T18:04:06"/>
    <s v="NÃO"/>
    <x v="4"/>
    <x v="4"/>
    <s v="facebook - cpc"/>
    <s v="São Paulo - SP"/>
    <x v="1"/>
    <x v="2"/>
    <n v="0"/>
  </r>
  <r>
    <n v="11382898"/>
    <d v="2025-02-18T06:41:18"/>
    <s v="NÃO"/>
    <x v="4"/>
    <x v="4"/>
    <s v="facebook - cpc"/>
    <s v="Aparecida de Goiania - GO"/>
    <x v="4"/>
    <x v="4"/>
    <n v="0"/>
  </r>
  <r>
    <n v="11382846"/>
    <d v="2025-02-18T05:27:02"/>
    <s v="NÃO"/>
    <x v="4"/>
    <x v="4"/>
    <s v="facebook - cpc"/>
    <s v="Campinas - SP"/>
    <x v="0"/>
    <x v="6"/>
    <n v="0"/>
  </r>
  <r>
    <n v="11378858"/>
    <d v="2025-02-17T15:21:33"/>
    <s v="NÃO"/>
    <x v="4"/>
    <x v="4"/>
    <s v="facebook - cpc"/>
    <s v="Sao Jose dos Quatro Marcos - MT"/>
    <x v="3"/>
    <x v="0"/>
    <n v="0"/>
  </r>
  <r>
    <n v="11382113"/>
    <d v="2025-02-17T21:08:23"/>
    <s v="NÃO"/>
    <x v="4"/>
    <x v="4"/>
    <s v="facebook - cpc"/>
    <s v="São Bernardo do Campo - SP"/>
    <x v="0"/>
    <x v="6"/>
    <n v="0"/>
  </r>
  <r>
    <n v="11382242"/>
    <d v="2025-02-17T21:51:49"/>
    <s v="NÃO"/>
    <x v="4"/>
    <x v="4"/>
    <s v="facebook - cpc"/>
    <s v="Parana - RN"/>
    <x v="3"/>
    <x v="2"/>
    <n v="0"/>
  </r>
  <r>
    <n v="11359909"/>
    <d v="2025-02-16T08:44:11"/>
    <s v="NÃO"/>
    <x v="4"/>
    <x v="4"/>
    <s v="facebook - cpc"/>
    <s v="Natal - RN"/>
    <x v="3"/>
    <x v="2"/>
    <n v="0"/>
  </r>
  <r>
    <n v="11358113"/>
    <d v="2025-02-15T19:34:15"/>
    <s v="NÃO"/>
    <x v="4"/>
    <x v="4"/>
    <s v="facebook - cpc"/>
    <s v="Coaraci - BA"/>
    <x v="3"/>
    <x v="5"/>
    <n v="0"/>
  </r>
  <r>
    <n v="11347949"/>
    <d v="2025-02-14T20:40:01"/>
    <s v="NÃO"/>
    <x v="4"/>
    <x v="4"/>
    <s v="facebook - cpc"/>
    <s v="Sao Joao de Meriti - RJ"/>
    <x v="0"/>
    <x v="2"/>
    <n v="0"/>
  </r>
  <r>
    <n v="11348439"/>
    <d v="2025-02-15T01:31:20"/>
    <s v="NÃO"/>
    <x v="4"/>
    <x v="4"/>
    <s v="facebook - cpc"/>
    <s v="Jundiaí - SP"/>
    <x v="0"/>
    <x v="2"/>
    <n v="0"/>
  </r>
  <r>
    <n v="11375162"/>
    <d v="2025-02-17T11:26:18"/>
    <s v="NÃO"/>
    <x v="4"/>
    <x v="4"/>
    <s v="facebook - cpc"/>
    <s v="Campo Grande - MS"/>
    <x v="1"/>
    <x v="4"/>
    <n v="0"/>
  </r>
  <r>
    <n v="11371200"/>
    <d v="2025-02-17T00:14:58"/>
    <s v="NÃO"/>
    <x v="4"/>
    <x v="4"/>
    <s v="facebook - cpc"/>
    <s v="Osasco - SP"/>
    <x v="0"/>
    <x v="2"/>
    <n v="0"/>
  </r>
  <r>
    <n v="11371220"/>
    <d v="2025-02-17T00:30:12"/>
    <s v="NÃO"/>
    <x v="4"/>
    <x v="4"/>
    <s v="facebook - cpc"/>
    <s v="Rio de Janeiro - RJ"/>
    <x v="0"/>
    <x v="4"/>
    <n v="0"/>
  </r>
  <r>
    <n v="11371133"/>
    <d v="2025-02-16T23:19:02"/>
    <s v="NÃO"/>
    <x v="4"/>
    <x v="4"/>
    <s v="facebook - cpc"/>
    <s v="Campo Grande - MS"/>
    <x v="3"/>
    <x v="2"/>
    <n v="0"/>
  </r>
  <r>
    <n v="11370871"/>
    <d v="2025-02-16T21:28:45"/>
    <s v="NÃO"/>
    <x v="4"/>
    <x v="4"/>
    <s v="facebook - cpc"/>
    <s v="Guarulhos - SP"/>
    <x v="3"/>
    <x v="0"/>
    <n v="0"/>
  </r>
  <r>
    <n v="11941024"/>
    <d v="2025-04-11T11:58:14"/>
    <s v="NÃO"/>
    <x v="4"/>
    <x v="3"/>
    <s v="linkedin - cpc"/>
    <s v="Natal - RN"/>
    <x v="3"/>
    <x v="4"/>
    <n v="0"/>
  </r>
  <r>
    <n v="11577236"/>
    <d v="2025-03-08T19:01:43"/>
    <s v="NÃO"/>
    <x v="0"/>
    <x v="4"/>
    <s v="facebook - cpc"/>
    <s v="Paulo Afonso - BA"/>
    <x v="3"/>
    <x v="4"/>
    <n v="0"/>
  </r>
  <r>
    <n v="11578205"/>
    <d v="2025-03-08T23:51:39"/>
    <s v="NÃO"/>
    <x v="0"/>
    <x v="4"/>
    <s v="facebook - cpc"/>
    <s v="Embu das Artes - SP"/>
    <x v="3"/>
    <x v="2"/>
    <n v="0"/>
  </r>
  <r>
    <n v="11657292"/>
    <d v="2025-03-16T13:35:21"/>
    <s v="NÃO"/>
    <x v="0"/>
    <x v="2"/>
    <n v="0"/>
    <s v="-"/>
    <x v="0"/>
    <x v="4"/>
    <n v="0"/>
  </r>
  <r>
    <n v="11826426"/>
    <d v="2025-03-30T17:43:01"/>
    <s v="NÃO"/>
    <x v="0"/>
    <x v="2"/>
    <n v="0"/>
    <s v="-"/>
    <x v="1"/>
    <x v="0"/>
    <n v="0"/>
  </r>
  <r>
    <n v="11543455"/>
    <d v="2025-03-04T22:01:30"/>
    <s v="NÃO"/>
    <x v="0"/>
    <x v="4"/>
    <s v="facebook - cpc"/>
    <s v="Recife - PE"/>
    <x v="4"/>
    <x v="4"/>
    <n v="0"/>
  </r>
  <r>
    <n v="11407479"/>
    <d v="2025-02-20T14:20:38"/>
    <s v="NÃO"/>
    <x v="0"/>
    <x v="4"/>
    <s v="facebook - cpc"/>
    <s v="Varginha - MG"/>
    <x v="3"/>
    <x v="6"/>
    <n v="0"/>
  </r>
  <r>
    <n v="11550494"/>
    <d v="2025-03-05T11:07:32"/>
    <s v="NÃO"/>
    <x v="0"/>
    <x v="4"/>
    <s v="facebook - cpc"/>
    <s v="Goiânia - GO"/>
    <x v="1"/>
    <x v="3"/>
    <n v="0"/>
  </r>
  <r>
    <n v="11544084"/>
    <d v="2025-03-05T06:03:55"/>
    <s v="NÃO"/>
    <x v="0"/>
    <x v="4"/>
    <s v="facebook - cpc"/>
    <s v="Fortaleza - CE"/>
    <x v="3"/>
    <x v="6"/>
    <n v="0"/>
  </r>
  <r>
    <n v="11982710"/>
    <d v="2025-04-14T10:43:32"/>
    <s v="NÃO"/>
    <x v="4"/>
    <x v="2"/>
    <s v="google - cpc"/>
    <s v="Ponta Grossa - PR"/>
    <x v="0"/>
    <x v="3"/>
    <n v="0"/>
  </r>
  <r>
    <n v="11976488"/>
    <d v="2025-04-13T20:39:22"/>
    <s v="NÃO"/>
    <x v="4"/>
    <x v="2"/>
    <s v="google - cpc"/>
    <s v="Rio de Janeiro - RJ"/>
    <x v="3"/>
    <x v="6"/>
    <n v="0"/>
  </r>
  <r>
    <n v="11931087"/>
    <d v="2025-04-09T14:00:10"/>
    <s v="NÃO"/>
    <x v="4"/>
    <x v="2"/>
    <s v="google - cpc"/>
    <s v="Rio de Janeiro - RJ"/>
    <x v="0"/>
    <x v="0"/>
    <n v="0"/>
  </r>
  <r>
    <n v="12004346"/>
    <d v="2025-04-15T16:05:25"/>
    <s v="NÃO"/>
    <x v="4"/>
    <x v="2"/>
    <s v="google - cpc"/>
    <s v="Rio de Janeiro - RJ"/>
    <x v="6"/>
    <x v="4"/>
    <n v="0"/>
  </r>
  <r>
    <n v="12018137"/>
    <d v="2025-04-16T17:03:26"/>
    <s v="NÃO"/>
    <x v="4"/>
    <x v="2"/>
    <s v="google - cpc"/>
    <s v="São Paulo - SP"/>
    <x v="5"/>
    <x v="3"/>
    <n v="0"/>
  </r>
  <r>
    <n v="12018983"/>
    <d v="2025-04-16T17:49:15"/>
    <s v="NÃO"/>
    <x v="4"/>
    <x v="2"/>
    <s v="google - cpc"/>
    <s v="Porto Alegre - RS"/>
    <x v="0"/>
    <x v="2"/>
    <n v="0"/>
  </r>
  <r>
    <n v="12020431"/>
    <d v="2025-04-16T23:44:05"/>
    <s v="NÃO"/>
    <x v="4"/>
    <x v="2"/>
    <s v="google - cpc"/>
    <s v="Jardinopolis - SP"/>
    <x v="0"/>
    <x v="2"/>
    <n v="0"/>
  </r>
  <r>
    <n v="11881041"/>
    <d v="2025-04-06T12:30:42"/>
    <s v="NÃO"/>
    <x v="4"/>
    <x v="2"/>
    <s v="google - cpc"/>
    <s v="São Paulo - SP"/>
    <x v="0"/>
    <x v="2"/>
    <n v="0"/>
  </r>
  <r>
    <n v="11871687"/>
    <d v="2025-04-05T17:15:07"/>
    <s v="NÃO"/>
    <x v="4"/>
    <x v="2"/>
    <s v="google - cpc"/>
    <s v="Niterói - RJ"/>
    <x v="4"/>
    <x v="4"/>
    <n v="0"/>
  </r>
  <r>
    <n v="11875334"/>
    <d v="2025-04-06T08:42:32"/>
    <s v="NÃO"/>
    <x v="4"/>
    <x v="2"/>
    <s v="google - cpc"/>
    <s v="Catalao - GO"/>
    <x v="1"/>
    <x v="3"/>
    <n v="0"/>
  </r>
  <r>
    <n v="11867063"/>
    <d v="2025-04-05T12:38:33"/>
    <s v="NÃO"/>
    <x v="4"/>
    <x v="2"/>
    <s v="google - cpc"/>
    <s v="Coaraci - BA"/>
    <x v="0"/>
    <x v="0"/>
    <n v="0"/>
  </r>
  <r>
    <n v="11856564"/>
    <d v="2025-04-03T03:08:53"/>
    <s v="NÃO"/>
    <x v="4"/>
    <x v="2"/>
    <s v="google - cpc"/>
    <s v="São Carlos - SP"/>
    <x v="1"/>
    <x v="3"/>
    <n v="0"/>
  </r>
  <r>
    <n v="11854163"/>
    <d v="2025-04-02T15:09:32"/>
    <s v="NÃO"/>
    <x v="4"/>
    <x v="2"/>
    <s v="google - cpc"/>
    <s v="Porto Alegre - RS"/>
    <x v="4"/>
    <x v="6"/>
    <n v="0"/>
  </r>
  <r>
    <n v="11855844"/>
    <d v="2025-04-02T20:38:15"/>
    <s v="NÃO"/>
    <x v="4"/>
    <x v="2"/>
    <s v="google - cpc"/>
    <s v="Guarapuava - PR"/>
    <x v="0"/>
    <x v="3"/>
    <n v="0"/>
  </r>
  <r>
    <n v="11847974"/>
    <d v="2025-04-01T16:09:46"/>
    <s v="NÃO"/>
    <x v="4"/>
    <x v="2"/>
    <s v="google - cpc"/>
    <s v="Curitiba - PR"/>
    <x v="3"/>
    <x v="0"/>
    <n v="0"/>
  </r>
  <r>
    <n v="11858379"/>
    <d v="2025-04-03T18:38:39"/>
    <s v="NÃO"/>
    <x v="4"/>
    <x v="2"/>
    <s v="google - cpc"/>
    <s v="Recife - PE"/>
    <x v="0"/>
    <x v="6"/>
    <n v="0"/>
  </r>
  <r>
    <n v="11859733"/>
    <d v="2025-04-04T11:39:45"/>
    <s v="NÃO"/>
    <x v="4"/>
    <x v="2"/>
    <s v="google - cpc"/>
    <s v="Rio de Janeiro - RJ"/>
    <x v="0"/>
    <x v="0"/>
    <n v="0"/>
  </r>
  <r>
    <n v="11860061"/>
    <d v="2025-04-04T14:43:07"/>
    <s v="NÃO"/>
    <x v="4"/>
    <x v="2"/>
    <s v="google - cpc"/>
    <s v="Santo André - SP"/>
    <x v="0"/>
    <x v="4"/>
    <n v="0"/>
  </r>
  <r>
    <n v="11940984"/>
    <d v="2025-04-11T11:42:32"/>
    <s v="NÃO"/>
    <x v="4"/>
    <x v="2"/>
    <s v="google - cpc"/>
    <s v="Porto Alegre - RS"/>
    <x v="1"/>
    <x v="3"/>
    <n v="0"/>
  </r>
  <r>
    <n v="11969014"/>
    <d v="2025-04-13T14:25:50"/>
    <s v="NÃO"/>
    <x v="4"/>
    <x v="2"/>
    <s v="google - cpc"/>
    <s v="Rio Branco - AC"/>
    <x v="3"/>
    <x v="3"/>
    <n v="0"/>
  </r>
  <r>
    <n v="11935021"/>
    <d v="2025-04-09T17:24:04"/>
    <s v="NÃO"/>
    <x v="4"/>
    <x v="2"/>
    <s v="google - cpc"/>
    <s v="Candoi - PR"/>
    <x v="3"/>
    <x v="0"/>
    <n v="0"/>
  </r>
  <r>
    <n v="11890485"/>
    <d v="2025-04-06T17:10:27"/>
    <s v="NÃO"/>
    <x v="4"/>
    <x v="2"/>
    <s v="google - cpc"/>
    <s v="Itaborai - RJ"/>
    <x v="3"/>
    <x v="2"/>
    <n v="0"/>
  </r>
  <r>
    <n v="11896728"/>
    <d v="2025-04-07T11:02:18"/>
    <s v="NÃO"/>
    <x v="4"/>
    <x v="2"/>
    <s v="google - cpc"/>
    <s v="Curitiba - PR"/>
    <x v="0"/>
    <x v="3"/>
    <n v="0"/>
  </r>
  <r>
    <n v="10622111"/>
    <d v="2024-12-05T17:24:13"/>
    <s v="NÃO"/>
    <x v="4"/>
    <x v="2"/>
    <s v="google - cpc"/>
    <s v="São Paulo - SP"/>
    <x v="0"/>
    <x v="0"/>
    <n v="0"/>
  </r>
  <r>
    <n v="10622978"/>
    <d v="2024-12-06T08:47:10"/>
    <s v="NÃO"/>
    <x v="4"/>
    <x v="2"/>
    <s v="google - cpc"/>
    <s v="Aracaju - SE"/>
    <x v="3"/>
    <x v="2"/>
    <n v="0"/>
  </r>
  <r>
    <n v="11278889"/>
    <d v="2025-02-08T11:43:38"/>
    <s v="NÃO"/>
    <x v="4"/>
    <x v="0"/>
    <n v="0"/>
    <s v="Belo Horizonte, MG"/>
    <x v="0"/>
    <x v="0"/>
    <n v="0"/>
  </r>
  <r>
    <n v="10624293"/>
    <d v="2024-12-06T20:13:40"/>
    <s v="NÃO"/>
    <x v="4"/>
    <x v="0"/>
    <n v="0"/>
    <s v="Goiânia - GO"/>
    <x v="3"/>
    <x v="4"/>
    <n v="0"/>
  </r>
  <r>
    <n v="10784165"/>
    <d v="2024-12-21T09:37:27"/>
    <s v="NÃO"/>
    <x v="4"/>
    <x v="0"/>
    <n v="0"/>
    <s v="São José do Rio Preto, SP"/>
    <x v="0"/>
    <x v="3"/>
    <n v="0"/>
  </r>
  <r>
    <n v="10826344"/>
    <d v="2024-12-28T18:10:50"/>
    <s v="NÃO"/>
    <x v="4"/>
    <x v="0"/>
    <n v="0"/>
    <s v="Belo Horizonte, MG"/>
    <x v="0"/>
    <x v="0"/>
    <n v="0"/>
  </r>
  <r>
    <n v="10891671"/>
    <d v="2025-01-06T16:18:06"/>
    <s v="NÃO"/>
    <x v="4"/>
    <x v="0"/>
    <n v="0"/>
    <s v="São Paulo, SP"/>
    <x v="3"/>
    <x v="0"/>
    <n v="0"/>
  </r>
  <r>
    <n v="10771717"/>
    <d v="2024-12-18T11:15:31"/>
    <s v="NÃO"/>
    <x v="4"/>
    <x v="0"/>
    <n v="0"/>
    <s v="-"/>
    <x v="0"/>
    <x v="0"/>
    <n v="0"/>
  </r>
  <r>
    <n v="10856961"/>
    <d v="2025-01-04T10:07:27"/>
    <s v="NÃO"/>
    <x v="4"/>
    <x v="0"/>
    <n v="0"/>
    <s v="Canela - RS"/>
    <x v="0"/>
    <x v="0"/>
    <n v="0"/>
  </r>
  <r>
    <n v="10809399"/>
    <d v="2024-12-23T14:38:54"/>
    <s v="NÃO"/>
    <x v="4"/>
    <x v="0"/>
    <n v="0"/>
    <s v="-"/>
    <x v="0"/>
    <x v="0"/>
    <n v="0"/>
  </r>
  <r>
    <n v="10930570"/>
    <d v="2025-01-11T11:38:36"/>
    <s v="NÃO"/>
    <x v="4"/>
    <x v="0"/>
    <n v="0"/>
    <s v="Brasília - DF"/>
    <x v="0"/>
    <x v="1"/>
    <n v="0"/>
  </r>
  <r>
    <n v="11330058"/>
    <d v="2025-02-11T17:25:59"/>
    <s v="NÃO"/>
    <x v="4"/>
    <x v="0"/>
    <n v="0"/>
    <s v="Rio de Janeiro, RJ"/>
    <x v="0"/>
    <x v="0"/>
    <n v="0"/>
  </r>
  <r>
    <n v="11335476"/>
    <d v="2025-02-12T11:12:46"/>
    <s v="NÃO"/>
    <x v="4"/>
    <x v="0"/>
    <n v="0"/>
    <s v="Fortaleza - CE"/>
    <x v="3"/>
    <x v="0"/>
    <n v="0"/>
  </r>
  <r>
    <n v="10858064"/>
    <d v="2025-01-04T10:52:12"/>
    <s v="NÃO"/>
    <x v="4"/>
    <x v="0"/>
    <n v="0"/>
    <s v="Belo Horizonte - MG"/>
    <x v="5"/>
    <x v="3"/>
    <n v="0"/>
  </r>
  <r>
    <n v="10589068"/>
    <d v="2024-12-02T12:17:50"/>
    <s v="NÃO"/>
    <x v="1"/>
    <x v="0"/>
    <n v="0"/>
    <s v="São Paulo - SP"/>
    <x v="0"/>
    <x v="4"/>
    <n v="0"/>
  </r>
  <r>
    <n v="10911101"/>
    <d v="2025-01-08T10:35:56"/>
    <s v="NÃO"/>
    <x v="4"/>
    <x v="11"/>
    <n v="0"/>
    <s v="Salvador - BA"/>
    <x v="0"/>
    <x v="6"/>
    <n v="0"/>
  </r>
  <r>
    <n v="10580104"/>
    <d v="2024-12-01T17:08:35"/>
    <s v="NÃO"/>
    <x v="7"/>
    <x v="0"/>
    <n v="0"/>
    <s v="Viamão - RS"/>
    <x v="3"/>
    <x v="4"/>
    <n v="0"/>
  </r>
  <r>
    <n v="10814812"/>
    <d v="2024-12-25T11:02:18"/>
    <s v="NÃO"/>
    <x v="7"/>
    <x v="0"/>
    <n v="0"/>
    <s v="Várzea Grande - MT"/>
    <x v="0"/>
    <x v="4"/>
    <n v="0"/>
  </r>
  <r>
    <n v="11574752"/>
    <d v="2025-03-08T17:20:43"/>
    <s v="NÃO"/>
    <x v="7"/>
    <x v="4"/>
    <s v="facebook - cpc"/>
    <s v="Brasília - DF"/>
    <x v="0"/>
    <x v="3"/>
    <n v="0"/>
  </r>
  <r>
    <n v="11559500"/>
    <d v="2025-03-06T18:39:19"/>
    <s v="NÃO"/>
    <x v="7"/>
    <x v="4"/>
    <s v="facebook - cpc"/>
    <s v="Natal - RN"/>
    <x v="0"/>
    <x v="6"/>
    <n v="0"/>
  </r>
  <r>
    <n v="10751276"/>
    <d v="2024-12-17T08:39:37"/>
    <s v="NÃO"/>
    <x v="7"/>
    <x v="0"/>
    <n v="0"/>
    <s v="Lagarto - SE"/>
    <x v="3"/>
    <x v="4"/>
    <n v="0"/>
  </r>
  <r>
    <n v="10752917"/>
    <d v="2024-12-17T10:01:51"/>
    <s v="NÃO"/>
    <x v="7"/>
    <x v="0"/>
    <n v="0"/>
    <s v="Aguas de Lindoia - SP"/>
    <x v="3"/>
    <x v="5"/>
    <n v="0"/>
  </r>
  <r>
    <n v="10757947"/>
    <d v="2024-12-17T13:30:57"/>
    <s v="NÃO"/>
    <x v="7"/>
    <x v="0"/>
    <n v="0"/>
    <s v="Niterói - RJ"/>
    <x v="3"/>
    <x v="3"/>
    <n v="0"/>
  </r>
  <r>
    <n v="10781274"/>
    <d v="2024-12-20T04:39:30"/>
    <s v="NÃO"/>
    <x v="7"/>
    <x v="0"/>
    <n v="0"/>
    <s v="Tiangua - CE"/>
    <x v="3"/>
    <x v="0"/>
    <n v="0"/>
  </r>
  <r>
    <n v="10781643"/>
    <d v="2024-12-20T11:34:38"/>
    <s v="NÃO"/>
    <x v="7"/>
    <x v="0"/>
    <n v="0"/>
    <s v="Pai Pedro - MG"/>
    <x v="3"/>
    <x v="4"/>
    <n v="0"/>
  </r>
  <r>
    <n v="10782861"/>
    <d v="2024-12-21T01:56:28"/>
    <s v="NÃO"/>
    <x v="7"/>
    <x v="0"/>
    <n v="0"/>
    <s v="Rio de Janeiro - RJ"/>
    <x v="3"/>
    <x v="4"/>
    <n v="0"/>
  </r>
  <r>
    <n v="10786926"/>
    <d v="2024-12-21T13:18:50"/>
    <s v="NÃO"/>
    <x v="7"/>
    <x v="0"/>
    <n v="0"/>
    <s v="Angra dos Reis - RJ"/>
    <x v="3"/>
    <x v="0"/>
    <n v="0"/>
  </r>
  <r>
    <n v="10722252"/>
    <d v="2024-12-14T17:18:10"/>
    <s v="NÃO"/>
    <x v="7"/>
    <x v="0"/>
    <n v="0"/>
    <s v="Campos dos Goytacazes - RJ"/>
    <x v="3"/>
    <x v="4"/>
    <n v="0"/>
  </r>
  <r>
    <n v="10723815"/>
    <d v="2024-12-14T18:33:22"/>
    <s v="NÃO"/>
    <x v="7"/>
    <x v="0"/>
    <n v="0"/>
    <s v="Belém - PA"/>
    <x v="3"/>
    <x v="4"/>
    <n v="0"/>
  </r>
  <r>
    <n v="10719809"/>
    <d v="2024-12-14T15:52:56"/>
    <s v="NÃO"/>
    <x v="7"/>
    <x v="0"/>
    <n v="0"/>
    <s v="Florianópolis - SC"/>
    <x v="0"/>
    <x v="0"/>
    <n v="0"/>
  </r>
  <r>
    <n v="12019900"/>
    <d v="2025-04-16T19:42:00"/>
    <s v="NÃO"/>
    <x v="7"/>
    <x v="0"/>
    <n v="0"/>
    <s v="Nova Iguaçu - RJ"/>
    <x v="3"/>
    <x v="0"/>
    <n v="0"/>
  </r>
  <r>
    <n v="11960138"/>
    <d v="2025-04-13T00:26:28"/>
    <s v="NÃO"/>
    <x v="7"/>
    <x v="0"/>
    <n v="0"/>
    <s v="Taboao da Serra - SP"/>
    <x v="3"/>
    <x v="3"/>
    <n v="0"/>
  </r>
  <r>
    <n v="10732335"/>
    <d v="2024-12-15T15:38:47"/>
    <s v="NÃO"/>
    <x v="7"/>
    <x v="0"/>
    <n v="0"/>
    <s v="Feira de Santana - BA"/>
    <x v="3"/>
    <x v="0"/>
    <n v="0"/>
  </r>
  <r>
    <n v="10737764"/>
    <d v="2024-12-16T01:00:08"/>
    <s v="NÃO"/>
    <x v="7"/>
    <x v="0"/>
    <n v="0"/>
    <s v="Rio Branco - AC"/>
    <x v="3"/>
    <x v="4"/>
    <n v="0"/>
  </r>
  <r>
    <n v="10676307"/>
    <d v="2024-12-09T18:29:17"/>
    <s v="NÃO"/>
    <x v="7"/>
    <x v="0"/>
    <n v="0"/>
    <s v="Curitiba - PR"/>
    <x v="0"/>
    <x v="0"/>
    <n v="0"/>
  </r>
  <r>
    <n v="10695587"/>
    <d v="2024-12-11T12:02:35"/>
    <s v="NÃO"/>
    <x v="7"/>
    <x v="0"/>
    <n v="0"/>
    <s v="Tefé - AM"/>
    <x v="3"/>
    <x v="0"/>
    <n v="0"/>
  </r>
  <r>
    <n v="10700912"/>
    <d v="2024-12-11T18:38:04"/>
    <s v="NÃO"/>
    <x v="7"/>
    <x v="0"/>
    <n v="0"/>
    <s v="Brasília - DF"/>
    <x v="3"/>
    <x v="4"/>
    <n v="0"/>
  </r>
  <r>
    <n v="10676861"/>
    <d v="2024-12-09T21:40:32"/>
    <s v="NÃO"/>
    <x v="7"/>
    <x v="0"/>
    <n v="0"/>
    <s v="São Bernardo do Campo - SP"/>
    <x v="0"/>
    <x v="0"/>
    <n v="0"/>
  </r>
  <r>
    <n v="10847743"/>
    <d v="2024-12-31T13:26:35"/>
    <s v="NÃO"/>
    <x v="7"/>
    <x v="0"/>
    <n v="0"/>
    <s v="Araguaína - TO"/>
    <x v="4"/>
    <x v="0"/>
    <n v="0"/>
  </r>
  <r>
    <n v="10853573"/>
    <d v="2025-01-03T20:29:25"/>
    <s v="NÃO"/>
    <x v="7"/>
    <x v="0"/>
    <n v="0"/>
    <s v="Recife - PE"/>
    <x v="3"/>
    <x v="4"/>
    <n v="0"/>
  </r>
  <r>
    <n v="10875908"/>
    <d v="2025-01-05T13:58:04"/>
    <s v="NÃO"/>
    <x v="7"/>
    <x v="0"/>
    <n v="0"/>
    <s v="Tamboré - SP"/>
    <x v="3"/>
    <x v="0"/>
    <n v="0"/>
  </r>
  <r>
    <n v="10869984"/>
    <d v="2025-01-05T01:29:18"/>
    <s v="NÃO"/>
    <x v="7"/>
    <x v="0"/>
    <n v="0"/>
    <s v="Campo Grande - MS"/>
    <x v="3"/>
    <x v="0"/>
    <n v="0"/>
  </r>
  <r>
    <n v="10867135"/>
    <d v="2025-01-04T17:02:28"/>
    <s v="NÃO"/>
    <x v="7"/>
    <x v="0"/>
    <n v="0"/>
    <s v="Tangará da Serra - MT"/>
    <x v="0"/>
    <x v="5"/>
    <n v="0"/>
  </r>
  <r>
    <n v="10869376"/>
    <d v="2025-01-04T20:59:16"/>
    <s v="NÃO"/>
    <x v="7"/>
    <x v="0"/>
    <n v="0"/>
    <s v="Uberlândia - MG"/>
    <x v="3"/>
    <x v="4"/>
    <n v="0"/>
  </r>
  <r>
    <n v="10900229"/>
    <d v="2025-01-07T12:11:38"/>
    <s v="NÃO"/>
    <x v="7"/>
    <x v="0"/>
    <n v="0"/>
    <s v="Petrolina - PE"/>
    <x v="3"/>
    <x v="4"/>
    <n v="0"/>
  </r>
  <r>
    <n v="10902238"/>
    <d v="2025-01-07T14:57:20"/>
    <s v="NÃO"/>
    <x v="7"/>
    <x v="0"/>
    <n v="0"/>
    <s v="Aquiraz - CE"/>
    <x v="3"/>
    <x v="0"/>
    <n v="0"/>
  </r>
  <r>
    <n v="10919312"/>
    <d v="2025-01-08T19:17:50"/>
    <s v="NÃO"/>
    <x v="7"/>
    <x v="0"/>
    <n v="0"/>
    <s v="Natal - RN"/>
    <x v="3"/>
    <x v="4"/>
    <n v="0"/>
  </r>
  <r>
    <n v="10919700"/>
    <d v="2025-01-08T21:56:58"/>
    <s v="NÃO"/>
    <x v="7"/>
    <x v="0"/>
    <n v="0"/>
    <s v="São Paulo - SP"/>
    <x v="3"/>
    <x v="2"/>
    <n v="0"/>
  </r>
  <r>
    <n v="10904393"/>
    <d v="2025-01-07T16:56:31"/>
    <s v="NÃO"/>
    <x v="7"/>
    <x v="0"/>
    <n v="0"/>
    <s v="Fortaleza - CE"/>
    <x v="3"/>
    <x v="0"/>
    <n v="0"/>
  </r>
  <r>
    <n v="10906514"/>
    <d v="2025-01-07T19:18:03"/>
    <s v="NÃO"/>
    <x v="7"/>
    <x v="0"/>
    <n v="0"/>
    <s v="Goiânia - GO"/>
    <x v="3"/>
    <x v="4"/>
    <n v="0"/>
  </r>
  <r>
    <n v="10907124"/>
    <d v="2025-01-07T22:40:51"/>
    <s v="NÃO"/>
    <x v="7"/>
    <x v="0"/>
    <n v="0"/>
    <s v="Campo Grande - MS"/>
    <x v="3"/>
    <x v="3"/>
    <n v="0"/>
  </r>
  <r>
    <n v="10892348"/>
    <d v="2025-01-06T16:56:31"/>
    <s v="NÃO"/>
    <x v="7"/>
    <x v="0"/>
    <n v="0"/>
    <s v="-"/>
    <x v="2"/>
    <x v="1"/>
    <n v="0"/>
  </r>
  <r>
    <n v="10881125"/>
    <d v="2025-01-05T19:57:11"/>
    <s v="NÃO"/>
    <x v="7"/>
    <x v="0"/>
    <n v="0"/>
    <s v="Aparecida de Goiania - GO"/>
    <x v="3"/>
    <x v="0"/>
    <n v="0"/>
  </r>
  <r>
    <n v="10881272"/>
    <d v="2025-01-05T20:50:08"/>
    <s v="NÃO"/>
    <x v="7"/>
    <x v="0"/>
    <n v="0"/>
    <s v="São Luís - MA"/>
    <x v="0"/>
    <x v="5"/>
    <n v="0"/>
  </r>
  <r>
    <n v="10881477"/>
    <d v="2025-01-05T22:04:59"/>
    <s v="NÃO"/>
    <x v="7"/>
    <x v="0"/>
    <n v="0"/>
    <s v="Ribeirão Preto - SP"/>
    <x v="3"/>
    <x v="0"/>
    <n v="0"/>
  </r>
  <r>
    <n v="10890788"/>
    <d v="2025-01-06T15:14:53"/>
    <s v="NÃO"/>
    <x v="7"/>
    <x v="0"/>
    <n v="0"/>
    <s v="Belo Horizonte - MG"/>
    <x v="3"/>
    <x v="4"/>
    <n v="0"/>
  </r>
  <r>
    <n v="10891217"/>
    <d v="2025-01-06T15:46:34"/>
    <s v="NÃO"/>
    <x v="7"/>
    <x v="0"/>
    <n v="0"/>
    <s v="Mossoro - RN"/>
    <x v="3"/>
    <x v="4"/>
    <n v="0"/>
  </r>
  <r>
    <n v="10818889"/>
    <d v="2024-12-27T13:04:29"/>
    <s v="NÃO"/>
    <x v="7"/>
    <x v="0"/>
    <n v="0"/>
    <s v="Lagoa - PB"/>
    <x v="3"/>
    <x v="5"/>
    <n v="0"/>
  </r>
  <r>
    <n v="10819264"/>
    <d v="2024-12-27T17:27:42"/>
    <s v="NÃO"/>
    <x v="7"/>
    <x v="0"/>
    <n v="0"/>
    <s v="Campinas - SP"/>
    <x v="3"/>
    <x v="4"/>
    <n v="0"/>
  </r>
  <r>
    <n v="10835018"/>
    <d v="2024-12-29T20:47:16"/>
    <s v="NÃO"/>
    <x v="7"/>
    <x v="0"/>
    <n v="0"/>
    <s v="Barra dos Coqueiros - SE"/>
    <x v="1"/>
    <x v="5"/>
    <n v="0"/>
  </r>
  <r>
    <n v="10835272"/>
    <d v="2024-12-29T23:40:21"/>
    <s v="NÃO"/>
    <x v="7"/>
    <x v="0"/>
    <n v="0"/>
    <s v="São Paulo - SP"/>
    <x v="3"/>
    <x v="0"/>
    <n v="0"/>
  </r>
  <r>
    <n v="10843941"/>
    <d v="2024-12-30T16:39:24"/>
    <s v="NÃO"/>
    <x v="7"/>
    <x v="0"/>
    <n v="0"/>
    <s v="Barra da Estiva - BA"/>
    <x v="3"/>
    <x v="4"/>
    <n v="0"/>
  </r>
  <r>
    <n v="10804250"/>
    <d v="2024-12-22T23:03:21"/>
    <s v="NÃO"/>
    <x v="7"/>
    <x v="0"/>
    <n v="0"/>
    <s v="Belo Horizonte - MG"/>
    <x v="0"/>
    <x v="2"/>
    <n v="0"/>
  </r>
  <r>
    <n v="11277930"/>
    <d v="2025-02-08T10:59:31"/>
    <s v="NÃO"/>
    <x v="7"/>
    <x v="11"/>
    <n v="0"/>
    <s v="-"/>
    <x v="2"/>
    <x v="1"/>
    <n v="0"/>
  </r>
  <r>
    <n v="11363733"/>
    <d v="2025-02-16T13:26:40"/>
    <s v="NÃO"/>
    <x v="7"/>
    <x v="4"/>
    <s v="facebook - cpc"/>
    <s v="Curitiba - PR"/>
    <x v="3"/>
    <x v="0"/>
    <n v="0"/>
  </r>
  <r>
    <n v="11378708"/>
    <d v="2025-02-17T15:10:43"/>
    <s v="NÃO"/>
    <x v="7"/>
    <x v="4"/>
    <s v="facebook - cpc"/>
    <s v="Cuiabá - MT"/>
    <x v="0"/>
    <x v="5"/>
    <n v="0"/>
  </r>
  <r>
    <n v="11381737"/>
    <d v="2025-02-17T19:32:17"/>
    <s v="NÃO"/>
    <x v="7"/>
    <x v="4"/>
    <s v="facebook - cpc"/>
    <s v="Aracaju - SE"/>
    <x v="3"/>
    <x v="2"/>
    <n v="0"/>
  </r>
  <r>
    <n v="11386198"/>
    <d v="2025-02-18T11:10:38"/>
    <s v="NÃO"/>
    <x v="7"/>
    <x v="4"/>
    <s v="facebook - cpc"/>
    <s v="Porto Alegre - RS"/>
    <x v="3"/>
    <x v="0"/>
    <n v="0"/>
  </r>
  <r>
    <n v="11386957"/>
    <d v="2025-02-18T11:47:57"/>
    <s v="NÃO"/>
    <x v="7"/>
    <x v="4"/>
    <s v="facebook - cpc"/>
    <s v="Tres Pontas - MG"/>
    <x v="3"/>
    <x v="2"/>
    <n v="0"/>
  </r>
  <r>
    <n v="11393433"/>
    <d v="2025-02-18T17:16:22"/>
    <s v="NÃO"/>
    <x v="7"/>
    <x v="4"/>
    <s v="facebook - cpc"/>
    <s v="Paulista - PE"/>
    <x v="3"/>
    <x v="0"/>
    <n v="0"/>
  </r>
  <r>
    <n v="11394670"/>
    <d v="2025-02-18T19:06:40"/>
    <s v="NÃO"/>
    <x v="7"/>
    <x v="4"/>
    <s v="facebook - cpc"/>
    <s v="Fortaleza - CE"/>
    <x v="0"/>
    <x v="2"/>
    <n v="0"/>
  </r>
  <r>
    <n v="11707158"/>
    <d v="2025-03-20T08:10:21"/>
    <s v="NÃO"/>
    <x v="7"/>
    <x v="2"/>
    <s v="google - cpc"/>
    <s v="Duque de Caxias - RJ"/>
    <x v="3"/>
    <x v="0"/>
    <n v="0"/>
  </r>
  <r>
    <n v="11774152"/>
    <d v="2025-03-26T11:15:51"/>
    <s v="NÃO"/>
    <x v="7"/>
    <x v="2"/>
    <s v="google - cpc"/>
    <s v="Palmas - TO"/>
    <x v="0"/>
    <x v="0"/>
    <n v="0"/>
  </r>
  <r>
    <n v="11782560"/>
    <d v="2025-03-26T16:21:59"/>
    <s v="NÃO"/>
    <x v="7"/>
    <x v="2"/>
    <s v="google - cpc"/>
    <s v="Goiânia - GO"/>
    <x v="3"/>
    <x v="0"/>
    <n v="0"/>
  </r>
  <r>
    <n v="11743832"/>
    <d v="2025-03-24T12:59:25"/>
    <s v="NÃO"/>
    <x v="7"/>
    <x v="2"/>
    <s v="google - cpc"/>
    <s v="Indaiatuba - SP"/>
    <x v="0"/>
    <x v="6"/>
    <n v="0"/>
  </r>
  <r>
    <n v="11769641"/>
    <d v="2025-03-25T22:25:16"/>
    <s v="NÃO"/>
    <x v="7"/>
    <x v="2"/>
    <s v="google - cpc"/>
    <s v="Cruz das Almas - BA"/>
    <x v="5"/>
    <x v="4"/>
    <n v="0"/>
  </r>
  <r>
    <n v="11751698"/>
    <d v="2025-03-24T19:22:56"/>
    <s v="NÃO"/>
    <x v="7"/>
    <x v="2"/>
    <s v="google - cpc"/>
    <s v="Rio de Janeiro - RJ"/>
    <x v="0"/>
    <x v="3"/>
    <n v="0"/>
  </r>
  <r>
    <n v="11790582"/>
    <d v="2025-03-28T14:25:35"/>
    <s v="NÃO"/>
    <x v="7"/>
    <x v="2"/>
    <s v="google - cpc"/>
    <s v="Rio de Janeiro - RJ"/>
    <x v="3"/>
    <x v="0"/>
    <n v="0"/>
  </r>
  <r>
    <n v="11791566"/>
    <d v="2025-03-28T22:03:47"/>
    <s v="NÃO"/>
    <x v="7"/>
    <x v="2"/>
    <s v="google - cpc"/>
    <s v="Condado - PE"/>
    <x v="0"/>
    <x v="2"/>
    <n v="0"/>
  </r>
  <r>
    <n v="11808710"/>
    <d v="2025-03-29T14:46:40"/>
    <s v="NÃO"/>
    <x v="7"/>
    <x v="2"/>
    <s v="google - cpc"/>
    <s v="Vitoria de Santo Antao - PE"/>
    <x v="3"/>
    <x v="0"/>
    <n v="0"/>
  </r>
  <r>
    <n v="11724691"/>
    <d v="2025-03-22T18:08:39"/>
    <s v="NÃO"/>
    <x v="7"/>
    <x v="2"/>
    <s v="google - cpc"/>
    <s v="Joinville - SC"/>
    <x v="3"/>
    <x v="2"/>
    <n v="0"/>
  </r>
  <r>
    <n v="11731181"/>
    <d v="2025-03-23T11:52:11"/>
    <s v="NÃO"/>
    <x v="7"/>
    <x v="2"/>
    <s v="google - cpc"/>
    <s v="Recife - PE"/>
    <x v="0"/>
    <x v="6"/>
    <n v="0"/>
  </r>
  <r>
    <n v="11733769"/>
    <d v="2025-03-23T14:36:47"/>
    <s v="NÃO"/>
    <x v="7"/>
    <x v="2"/>
    <s v="google - cpc"/>
    <s v="Joao Monlevade - MG"/>
    <x v="3"/>
    <x v="4"/>
    <n v="0"/>
  </r>
  <r>
    <n v="11891688"/>
    <d v="2025-04-06T19:19:55"/>
    <s v="NÃO"/>
    <x v="7"/>
    <x v="2"/>
    <s v="google - cpc"/>
    <s v="Rio de Janeiro - RJ"/>
    <x v="3"/>
    <x v="0"/>
    <n v="0"/>
  </r>
  <r>
    <n v="11595124"/>
    <d v="2025-03-10T09:17:43"/>
    <s v="NÃO"/>
    <x v="7"/>
    <x v="2"/>
    <s v="google - cpc"/>
    <s v="São Paulo - SP"/>
    <x v="3"/>
    <x v="6"/>
    <n v="0"/>
  </r>
  <r>
    <n v="11591965"/>
    <d v="2025-03-09T18:47:51"/>
    <s v="NÃO"/>
    <x v="7"/>
    <x v="2"/>
    <s v="google - cpc"/>
    <s v="São Paulo - SP"/>
    <x v="0"/>
    <x v="0"/>
    <n v="0"/>
  </r>
  <r>
    <n v="11709317"/>
    <d v="2025-03-21T00:44:14"/>
    <s v="NÃO"/>
    <x v="7"/>
    <x v="2"/>
    <s v="google - cpc"/>
    <s v="Santarém - PA"/>
    <x v="0"/>
    <x v="0"/>
    <n v="0"/>
  </r>
  <r>
    <n v="11679154"/>
    <d v="2025-03-17T18:33:02"/>
    <s v="NÃO"/>
    <x v="7"/>
    <x v="2"/>
    <s v="google - cpc"/>
    <s v="Florianópolis - SC"/>
    <x v="3"/>
    <x v="2"/>
    <n v="0"/>
  </r>
  <r>
    <n v="11846530"/>
    <d v="2025-04-01T15:03:13"/>
    <s v="NÃO"/>
    <x v="7"/>
    <x v="2"/>
    <s v="google - cpc"/>
    <s v="Venancio Aires - RS"/>
    <x v="0"/>
    <x v="2"/>
    <n v="0"/>
  </r>
  <r>
    <n v="11897685"/>
    <d v="2025-04-07T11:35:39"/>
    <s v="NÃO"/>
    <x v="7"/>
    <x v="2"/>
    <s v="google - cpc"/>
    <s v="Campo Grande - MS"/>
    <x v="3"/>
    <x v="0"/>
    <n v="0"/>
  </r>
  <r>
    <n v="11902488"/>
    <d v="2025-04-07T15:53:12"/>
    <s v="NÃO"/>
    <x v="7"/>
    <x v="2"/>
    <s v="google - cpc"/>
    <s v="São Paulo - SP"/>
    <x v="3"/>
    <x v="0"/>
    <n v="0"/>
  </r>
  <r>
    <n v="11927761"/>
    <d v="2025-04-09T10:22:48"/>
    <s v="NÃO"/>
    <x v="7"/>
    <x v="2"/>
    <s v="google - cpc"/>
    <s v="Santo André - SP"/>
    <x v="3"/>
    <x v="4"/>
    <n v="0"/>
  </r>
  <r>
    <n v="11925799"/>
    <d v="2025-04-09T08:53:43"/>
    <s v="NÃO"/>
    <x v="7"/>
    <x v="2"/>
    <s v="google - cpc"/>
    <s v="Porto Alegre - RS"/>
    <x v="3"/>
    <x v="0"/>
    <n v="0"/>
  </r>
  <r>
    <n v="11600105"/>
    <d v="2025-03-10T12:40:32"/>
    <s v="NÃO"/>
    <x v="7"/>
    <x v="4"/>
    <s v="facebook - cpc"/>
    <s v="São Paulo - SP"/>
    <x v="3"/>
    <x v="4"/>
    <n v="0"/>
  </r>
  <r>
    <n v="11600363"/>
    <d v="2025-03-10T13:13:24"/>
    <s v="NÃO"/>
    <x v="7"/>
    <x v="4"/>
    <s v="facebook - cpc"/>
    <s v="Recife - PE"/>
    <x v="3"/>
    <x v="2"/>
    <n v="0"/>
  </r>
  <r>
    <n v="11593118"/>
    <d v="2025-03-09T23:55:10"/>
    <s v="NÃO"/>
    <x v="7"/>
    <x v="4"/>
    <s v="facebook - cpc"/>
    <s v="Santo André - SP"/>
    <x v="3"/>
    <x v="0"/>
    <n v="0"/>
  </r>
  <r>
    <n v="11543721"/>
    <d v="2025-03-04T23:50:58"/>
    <s v="NÃO"/>
    <x v="7"/>
    <x v="4"/>
    <s v="facebook - cpc"/>
    <s v="Florianópolis - SC"/>
    <x v="0"/>
    <x v="2"/>
    <n v="0"/>
  </r>
  <r>
    <n v="11543815"/>
    <d v="2025-03-05T00:48:54"/>
    <s v="NÃO"/>
    <x v="7"/>
    <x v="4"/>
    <s v="facebook - cpc"/>
    <s v="Porto Alegre - RS"/>
    <x v="0"/>
    <x v="6"/>
    <n v="0"/>
  </r>
  <r>
    <n v="11543517"/>
    <d v="2025-03-04T22:24:17"/>
    <s v="NÃO"/>
    <x v="7"/>
    <x v="4"/>
    <s v="facebook - cpc"/>
    <s v="Goiânia - GO"/>
    <x v="0"/>
    <x v="2"/>
    <n v="0"/>
  </r>
  <r>
    <n v="11543679"/>
    <d v="2025-03-04T23:30:00"/>
    <s v="NÃO"/>
    <x v="7"/>
    <x v="4"/>
    <s v="facebook - cpc"/>
    <s v="Alto Araguaia - MT"/>
    <x v="3"/>
    <x v="2"/>
    <n v="0"/>
  </r>
  <r>
    <n v="11548811"/>
    <d v="2025-03-05T10:19:12"/>
    <s v="NÃO"/>
    <x v="7"/>
    <x v="4"/>
    <s v="facebook - cpc"/>
    <s v="Taubate - SP"/>
    <x v="3"/>
    <x v="2"/>
    <n v="0"/>
  </r>
  <r>
    <n v="11551054"/>
    <d v="2025-03-05T11:47:47"/>
    <s v="NÃO"/>
    <x v="7"/>
    <x v="4"/>
    <s v="facebook - cpc"/>
    <s v="Duque de Caxias - RJ"/>
    <x v="3"/>
    <x v="2"/>
    <n v="0"/>
  </r>
  <r>
    <n v="11554257"/>
    <d v="2025-03-05T15:03:21"/>
    <s v="NÃO"/>
    <x v="7"/>
    <x v="4"/>
    <s v="facebook - cpc"/>
    <s v="Campos dos Goytacazes - RJ"/>
    <x v="3"/>
    <x v="2"/>
    <n v="0"/>
  </r>
  <r>
    <n v="11555555"/>
    <d v="2025-03-05T16:12:08"/>
    <s v="NÃO"/>
    <x v="7"/>
    <x v="4"/>
    <s v="facebook - cpc"/>
    <s v="Rio de Janeiro - RJ"/>
    <x v="3"/>
    <x v="2"/>
    <n v="0"/>
  </r>
  <r>
    <n v="11556695"/>
    <d v="2025-03-05T17:45:11"/>
    <s v="NÃO"/>
    <x v="7"/>
    <x v="4"/>
    <s v="facebook - cpc"/>
    <s v="Sumaré - SP"/>
    <x v="0"/>
    <x v="6"/>
    <n v="0"/>
  </r>
  <r>
    <n v="11557008"/>
    <d v="2025-03-05T18:30:00"/>
    <s v="NÃO"/>
    <x v="7"/>
    <x v="4"/>
    <s v="facebook - cpc"/>
    <s v="Maua - SP"/>
    <x v="3"/>
    <x v="0"/>
    <n v="0"/>
  </r>
  <r>
    <n v="11612198"/>
    <d v="2025-03-11T13:05:11"/>
    <s v="NÃO"/>
    <x v="7"/>
    <x v="4"/>
    <s v="facebook - cpc"/>
    <s v="Joinville - SC"/>
    <x v="3"/>
    <x v="4"/>
    <n v="0"/>
  </r>
  <r>
    <n v="11613069"/>
    <d v="2025-03-11T14:27:52"/>
    <s v="NÃO"/>
    <x v="7"/>
    <x v="4"/>
    <s v="facebook - cpc"/>
    <s v="Braganca - PA"/>
    <x v="0"/>
    <x v="4"/>
    <n v="0"/>
  </r>
  <r>
    <n v="11616837"/>
    <d v="2025-03-11T18:57:22"/>
    <s v="NÃO"/>
    <x v="7"/>
    <x v="4"/>
    <s v="facebook - cpc"/>
    <s v="São Paulo - SP"/>
    <x v="3"/>
    <x v="2"/>
    <n v="0"/>
  </r>
  <r>
    <n v="11616890"/>
    <d v="2025-03-11T19:13:10"/>
    <s v="NÃO"/>
    <x v="7"/>
    <x v="4"/>
    <s v="facebook - cpc"/>
    <s v="São Paulo - SP"/>
    <x v="3"/>
    <x v="2"/>
    <n v="0"/>
  </r>
  <r>
    <n v="11622611"/>
    <d v="2025-03-12T11:09:44"/>
    <s v="NÃO"/>
    <x v="7"/>
    <x v="4"/>
    <s v="facebook - cpc"/>
    <s v="Rio de Janeiro - RJ"/>
    <x v="3"/>
    <x v="2"/>
    <n v="0"/>
  </r>
  <r>
    <n v="11627170"/>
    <d v="2025-03-12T15:14:12"/>
    <s v="NÃO"/>
    <x v="7"/>
    <x v="4"/>
    <s v="facebook - cpc"/>
    <s v="Rio de Janeiro - RJ"/>
    <x v="6"/>
    <x v="6"/>
    <n v="0"/>
  </r>
  <r>
    <n v="11630049"/>
    <d v="2025-03-12T20:16:56"/>
    <s v="NÃO"/>
    <x v="7"/>
    <x v="4"/>
    <s v="facebook - cpc"/>
    <s v="Franca - SP"/>
    <x v="0"/>
    <x v="3"/>
    <n v="0"/>
  </r>
  <r>
    <n v="11631525"/>
    <d v="2025-03-13T11:04:00"/>
    <s v="NÃO"/>
    <x v="7"/>
    <x v="4"/>
    <s v="facebook - cpc"/>
    <s v="Rio de Janeiro - RJ"/>
    <x v="3"/>
    <x v="0"/>
    <n v="0"/>
  </r>
  <r>
    <n v="11681229"/>
    <d v="2025-03-17T22:09:01"/>
    <s v="NÃO"/>
    <x v="7"/>
    <x v="2"/>
    <s v="google - cpc"/>
    <s v="Recife - PE"/>
    <x v="3"/>
    <x v="0"/>
    <n v="0"/>
  </r>
  <r>
    <n v="11683887"/>
    <d v="2025-03-18T09:31:07"/>
    <s v="NÃO"/>
    <x v="7"/>
    <x v="2"/>
    <s v="google - cpc"/>
    <s v="Recife - PE"/>
    <x v="3"/>
    <x v="4"/>
    <n v="0"/>
  </r>
  <r>
    <n v="11967038"/>
    <d v="2025-04-13T12:10:06"/>
    <s v="NÃO"/>
    <x v="7"/>
    <x v="2"/>
    <s v="google - cpc"/>
    <s v="Baixa Grande - BA"/>
    <x v="3"/>
    <x v="0"/>
    <n v="0"/>
  </r>
  <r>
    <n v="11891246"/>
    <d v="2025-04-06T18:01:20"/>
    <s v="NÃO"/>
    <x v="7"/>
    <x v="2"/>
    <s v="google - cpc"/>
    <s v="Campina Grande - PB"/>
    <x v="3"/>
    <x v="4"/>
    <n v="0"/>
  </r>
  <r>
    <n v="11218881"/>
    <d v="2025-02-02T10:22:47"/>
    <s v="NÃO"/>
    <x v="7"/>
    <x v="2"/>
    <s v="google - cpc"/>
    <s v="Rio de Janeiro - RJ"/>
    <x v="4"/>
    <x v="0"/>
    <n v="0"/>
  </r>
  <r>
    <n v="11048263"/>
    <d v="2025-01-19T19:25:51"/>
    <s v="NÃO"/>
    <x v="7"/>
    <x v="2"/>
    <s v="google - cpc"/>
    <s v="Itajaí - SC"/>
    <x v="0"/>
    <x v="2"/>
    <n v="0"/>
  </r>
  <r>
    <n v="11047039"/>
    <d v="2025-01-19T16:59:06"/>
    <s v="NÃO"/>
    <x v="7"/>
    <x v="2"/>
    <s v="google - cpc"/>
    <s v="Salvador - BA"/>
    <x v="0"/>
    <x v="3"/>
    <n v="0"/>
  </r>
  <r>
    <n v="11406886"/>
    <d v="2025-02-20T10:37:32"/>
    <s v="NÃO"/>
    <x v="7"/>
    <x v="4"/>
    <s v="facebook - cpc"/>
    <s v="Florianópolis - SC"/>
    <x v="3"/>
    <x v="0"/>
    <n v="0"/>
  </r>
  <r>
    <n v="10667200"/>
    <d v="2024-12-09T14:24:52"/>
    <s v="NÃO"/>
    <x v="7"/>
    <x v="8"/>
    <s v="rep - juliana-gomes"/>
    <s v="Natal - RN"/>
    <x v="3"/>
    <x v="6"/>
    <n v="0"/>
  </r>
  <r>
    <n v="11911048"/>
    <d v="2025-04-08T10:03:02"/>
    <s v="NÃO"/>
    <x v="7"/>
    <x v="2"/>
    <s v="google - cpc"/>
    <s v="São Paulo - SP"/>
    <x v="3"/>
    <x v="6"/>
    <n v="0"/>
  </r>
  <r>
    <n v="11853229"/>
    <d v="2025-04-02T07:46:22"/>
    <s v="NÃO"/>
    <x v="7"/>
    <x v="2"/>
    <s v="google - cpc"/>
    <s v="Araguari - MG"/>
    <x v="0"/>
    <x v="0"/>
    <n v="0"/>
  </r>
  <r>
    <n v="11856405"/>
    <d v="2025-04-03T00:24:26"/>
    <s v="NÃO"/>
    <x v="7"/>
    <x v="2"/>
    <s v="google - cpc"/>
    <s v="Belém - PA"/>
    <x v="0"/>
    <x v="3"/>
    <n v="0"/>
  </r>
  <r>
    <n v="11858399"/>
    <d v="2025-04-03T18:49:21"/>
    <s v="NÃO"/>
    <x v="7"/>
    <x v="2"/>
    <s v="google - cpc"/>
    <s v="Rio de Janeiro - RJ"/>
    <x v="3"/>
    <x v="0"/>
    <n v="0"/>
  </r>
  <r>
    <n v="11858400"/>
    <d v="2025-04-03T18:49:22"/>
    <s v="NÃO"/>
    <x v="7"/>
    <x v="2"/>
    <s v="google - cpc"/>
    <s v="Rio de Janeiro - RJ"/>
    <x v="3"/>
    <x v="0"/>
    <n v="0"/>
  </r>
  <r>
    <n v="11858510"/>
    <d v="2025-04-03T19:43:25"/>
    <s v="NÃO"/>
    <x v="7"/>
    <x v="2"/>
    <s v="google - cpc"/>
    <s v="Camaragibe - PE"/>
    <x v="3"/>
    <x v="0"/>
    <n v="0"/>
  </r>
  <r>
    <n v="11858333"/>
    <d v="2025-04-03T18:17:42"/>
    <s v="NÃO"/>
    <x v="7"/>
    <x v="2"/>
    <s v="google - cpc"/>
    <s v="Marialva - PR"/>
    <x v="3"/>
    <x v="0"/>
    <n v="0"/>
  </r>
  <r>
    <n v="11860891"/>
    <d v="2025-04-04T20:54:59"/>
    <s v="NÃO"/>
    <x v="7"/>
    <x v="2"/>
    <s v="google - cpc"/>
    <s v="Serra - ES"/>
    <x v="3"/>
    <x v="0"/>
    <n v="0"/>
  </r>
  <r>
    <n v="11861264"/>
    <d v="2025-04-04T23:52:18"/>
    <s v="NÃO"/>
    <x v="7"/>
    <x v="2"/>
    <s v="google - cpc"/>
    <s v="Guarulhos - SP"/>
    <x v="3"/>
    <x v="3"/>
    <n v="0"/>
  </r>
  <r>
    <n v="11864208"/>
    <d v="2025-04-05T10:11:51"/>
    <s v="NÃO"/>
    <x v="7"/>
    <x v="2"/>
    <s v="google - cpc"/>
    <s v="Maceió - AL"/>
    <x v="3"/>
    <x v="6"/>
    <n v="0"/>
  </r>
  <r>
    <n v="11869281"/>
    <d v="2025-04-05T15:14:25"/>
    <s v="NÃO"/>
    <x v="7"/>
    <x v="2"/>
    <s v="google - cpc"/>
    <s v="Piracicaba - SP"/>
    <x v="3"/>
    <x v="3"/>
    <n v="0"/>
  </r>
  <r>
    <n v="11873177"/>
    <d v="2025-04-05T18:08:01"/>
    <s v="NÃO"/>
    <x v="7"/>
    <x v="2"/>
    <s v="google - cpc"/>
    <s v="Belém - PA"/>
    <x v="0"/>
    <x v="0"/>
    <n v="0"/>
  </r>
  <r>
    <n v="11873320"/>
    <d v="2025-04-05T18:18:03"/>
    <s v="NÃO"/>
    <x v="7"/>
    <x v="2"/>
    <s v="google - cpc"/>
    <s v="Blumenau - SC"/>
    <x v="0"/>
    <x v="3"/>
    <n v="0"/>
  </r>
  <r>
    <n v="11829866"/>
    <d v="2025-03-31T09:59:55"/>
    <s v="NÃO"/>
    <x v="7"/>
    <x v="2"/>
    <s v="google - cpc"/>
    <s v="São Paulo - SP"/>
    <x v="3"/>
    <x v="3"/>
    <n v="0"/>
  </r>
  <r>
    <n v="12024396"/>
    <d v="2025-04-18T14:18:13"/>
    <s v="NÃO"/>
    <x v="7"/>
    <x v="2"/>
    <s v="google - cpc"/>
    <s v="Salvador - BA"/>
    <x v="3"/>
    <x v="0"/>
    <n v="0"/>
  </r>
  <r>
    <n v="12025481"/>
    <d v="2025-04-18T22:05:50"/>
    <s v="NÃO"/>
    <x v="7"/>
    <x v="2"/>
    <s v="google - cpc"/>
    <s v="Ponta Grossa - PR"/>
    <x v="3"/>
    <x v="0"/>
    <n v="0"/>
  </r>
  <r>
    <n v="12021721"/>
    <d v="2025-04-17T12:13:21"/>
    <s v="NÃO"/>
    <x v="7"/>
    <x v="2"/>
    <s v="google - cpc"/>
    <s v="Marília - SP"/>
    <x v="3"/>
    <x v="4"/>
    <n v="0"/>
  </r>
  <r>
    <n v="12020242"/>
    <d v="2025-04-16T21:59:15"/>
    <s v="NÃO"/>
    <x v="7"/>
    <x v="2"/>
    <s v="google - cpc"/>
    <s v="Salvador - BA"/>
    <x v="3"/>
    <x v="0"/>
    <n v="0"/>
  </r>
  <r>
    <n v="12019279"/>
    <d v="2025-04-16T18:11:22"/>
    <s v="NÃO"/>
    <x v="7"/>
    <x v="2"/>
    <s v="google - cpc"/>
    <s v="São Bernardo do Campo - SP"/>
    <x v="1"/>
    <x v="0"/>
    <n v="0"/>
  </r>
  <r>
    <n v="12022000"/>
    <d v="2025-04-17T14:04:50"/>
    <s v="NÃO"/>
    <x v="7"/>
    <x v="2"/>
    <s v="google - cpc"/>
    <s v="São Bernardo do Campo - SP"/>
    <x v="0"/>
    <x v="0"/>
    <n v="0"/>
  </r>
  <r>
    <n v="12022134"/>
    <d v="2025-04-17T15:05:19"/>
    <s v="NÃO"/>
    <x v="7"/>
    <x v="2"/>
    <s v="google - cpc"/>
    <s v="Tome-Acu - PA"/>
    <x v="3"/>
    <x v="2"/>
    <n v="0"/>
  </r>
  <r>
    <n v="12022332"/>
    <d v="2025-04-17T16:50:58"/>
    <s v="NÃO"/>
    <x v="7"/>
    <x v="2"/>
    <s v="google - cpc"/>
    <s v="Teresina - PI"/>
    <x v="3"/>
    <x v="0"/>
    <n v="0"/>
  </r>
  <r>
    <n v="12022510"/>
    <d v="2025-04-17T18:20:07"/>
    <s v="NÃO"/>
    <x v="7"/>
    <x v="2"/>
    <s v="google - cpc"/>
    <s v="Fortaleza - CE"/>
    <x v="3"/>
    <x v="0"/>
    <n v="0"/>
  </r>
  <r>
    <n v="12023201"/>
    <d v="2025-04-18T00:12:24"/>
    <s v="NÃO"/>
    <x v="7"/>
    <x v="2"/>
    <s v="google - cpc"/>
    <s v="Rio de Janeiro - RJ"/>
    <x v="3"/>
    <x v="3"/>
    <n v="0"/>
  </r>
  <r>
    <n v="11890561"/>
    <d v="2025-04-06T17:14:27"/>
    <s v="NÃO"/>
    <x v="7"/>
    <x v="2"/>
    <s v="google - cpc"/>
    <s v="Rio de Janeiro - RJ"/>
    <x v="3"/>
    <x v="3"/>
    <n v="0"/>
  </r>
  <r>
    <n v="11995589"/>
    <d v="2025-04-15T09:10:37"/>
    <s v="NÃO"/>
    <x v="7"/>
    <x v="2"/>
    <s v="google - cpc"/>
    <s v="Recife - PE"/>
    <x v="3"/>
    <x v="5"/>
    <n v="0"/>
  </r>
  <r>
    <n v="11941048"/>
    <d v="2025-04-11T12:06:28"/>
    <s v="NÃO"/>
    <x v="7"/>
    <x v="2"/>
    <s v="google - cpc"/>
    <s v="São Paulo - SP"/>
    <x v="1"/>
    <x v="0"/>
    <n v="0"/>
  </r>
  <r>
    <n v="12007708"/>
    <d v="2025-04-16T00:03:59"/>
    <s v="NÃO"/>
    <x v="7"/>
    <x v="2"/>
    <s v="google - cpc"/>
    <s v="Botucatu - SP"/>
    <x v="3"/>
    <x v="4"/>
    <n v="0"/>
  </r>
  <r>
    <n v="12008251"/>
    <d v="2025-04-16T06:08:16"/>
    <s v="NÃO"/>
    <x v="7"/>
    <x v="2"/>
    <s v="google - cpc"/>
    <s v="São Paulo - SP"/>
    <x v="0"/>
    <x v="0"/>
    <n v="0"/>
  </r>
  <r>
    <n v="12008872"/>
    <d v="2025-04-16T09:01:33"/>
    <s v="NÃO"/>
    <x v="7"/>
    <x v="2"/>
    <s v="google - cpc"/>
    <s v="Florianópolis - SC"/>
    <x v="0"/>
    <x v="6"/>
    <n v="0"/>
  </r>
  <r>
    <n v="11933359"/>
    <d v="2025-04-09T15:20:24"/>
    <s v="NÃO"/>
    <x v="7"/>
    <x v="2"/>
    <s v="google - cpc"/>
    <s v="Rolante - RS"/>
    <x v="3"/>
    <x v="0"/>
    <n v="0"/>
  </r>
  <r>
    <n v="11971676"/>
    <d v="2025-04-13T16:16:53"/>
    <s v="NÃO"/>
    <x v="7"/>
    <x v="2"/>
    <s v="google - cpc"/>
    <s v="Contagem - MG"/>
    <x v="3"/>
    <x v="6"/>
    <n v="0"/>
  </r>
  <r>
    <n v="11967846"/>
    <d v="2025-04-13T13:02:26"/>
    <s v="NÃO"/>
    <x v="7"/>
    <x v="2"/>
    <s v="google - cpc"/>
    <s v="Santa Rita do Passa Quatro - SP"/>
    <x v="3"/>
    <x v="0"/>
    <n v="0"/>
  </r>
  <r>
    <n v="11969025"/>
    <d v="2025-04-13T14:26:51"/>
    <s v="NÃO"/>
    <x v="7"/>
    <x v="2"/>
    <s v="google - cpc"/>
    <s v="Rio de Janeiro - RJ"/>
    <x v="3"/>
    <x v="2"/>
    <n v="0"/>
  </r>
  <r>
    <n v="11953055"/>
    <d v="2025-04-12T14:41:36"/>
    <s v="NÃO"/>
    <x v="7"/>
    <x v="2"/>
    <s v="google - cpc"/>
    <s v="Ribeiro - BA"/>
    <x v="3"/>
    <x v="2"/>
    <n v="0"/>
  </r>
  <r>
    <n v="11644204"/>
    <d v="2025-03-15T14:50:52"/>
    <s v="NÃO"/>
    <x v="7"/>
    <x v="0"/>
    <n v="0"/>
    <s v="Florianópolis - SC"/>
    <x v="3"/>
    <x v="0"/>
    <n v="0"/>
  </r>
  <r>
    <n v="11552801"/>
    <d v="2025-03-05T14:04:00"/>
    <s v="NÃO"/>
    <x v="7"/>
    <x v="0"/>
    <n v="0"/>
    <s v="Campinas - SP"/>
    <x v="3"/>
    <x v="6"/>
    <n v="0"/>
  </r>
  <r>
    <n v="11553834"/>
    <d v="2025-03-05T14:29:53"/>
    <s v="NÃO"/>
    <x v="7"/>
    <x v="0"/>
    <n v="0"/>
    <s v="-"/>
    <x v="0"/>
    <x v="0"/>
    <n v="0"/>
  </r>
  <r>
    <n v="11560796"/>
    <d v="2025-03-07T12:00:22"/>
    <s v="NÃO"/>
    <x v="7"/>
    <x v="0"/>
    <n v="0"/>
    <s v="Marica - RJ"/>
    <x v="1"/>
    <x v="2"/>
    <n v="0"/>
  </r>
  <r>
    <n v="11570699"/>
    <d v="2025-03-08T14:18:59"/>
    <s v="NÃO"/>
    <x v="7"/>
    <x v="0"/>
    <n v="0"/>
    <s v="Resende - RJ"/>
    <x v="3"/>
    <x v="2"/>
    <n v="0"/>
  </r>
  <r>
    <n v="11570745"/>
    <d v="2025-03-08T14:21:23"/>
    <s v="NÃO"/>
    <x v="7"/>
    <x v="0"/>
    <n v="0"/>
    <s v="Goiânia - GO"/>
    <x v="0"/>
    <x v="0"/>
    <n v="0"/>
  </r>
  <r>
    <n v="11591073"/>
    <d v="2025-03-09T17:18:22"/>
    <s v="NÃO"/>
    <x v="7"/>
    <x v="0"/>
    <n v="0"/>
    <s v="Tamboré - SP"/>
    <x v="3"/>
    <x v="4"/>
    <n v="0"/>
  </r>
  <r>
    <n v="11592268"/>
    <d v="2025-03-09T19:41:50"/>
    <s v="NÃO"/>
    <x v="7"/>
    <x v="0"/>
    <n v="0"/>
    <s v="Rio Grande - RS"/>
    <x v="3"/>
    <x v="0"/>
    <n v="0"/>
  </r>
  <r>
    <n v="11592429"/>
    <d v="2025-03-09T20:34:58"/>
    <s v="NÃO"/>
    <x v="7"/>
    <x v="0"/>
    <n v="0"/>
    <s v="Curitiba - PR"/>
    <x v="3"/>
    <x v="0"/>
    <n v="0"/>
  </r>
  <r>
    <n v="11592898"/>
    <d v="2025-03-09T22:38:07"/>
    <s v="NÃO"/>
    <x v="7"/>
    <x v="0"/>
    <n v="0"/>
    <s v="Presidente Prudente - SP"/>
    <x v="0"/>
    <x v="3"/>
    <n v="0"/>
  </r>
  <r>
    <n v="11598519"/>
    <d v="2025-03-10T11:07:37"/>
    <s v="NÃO"/>
    <x v="7"/>
    <x v="0"/>
    <n v="0"/>
    <s v="Curitiba - PR"/>
    <x v="0"/>
    <x v="0"/>
    <n v="0"/>
  </r>
  <r>
    <n v="11663071"/>
    <d v="2025-03-16T17:22:49"/>
    <s v="NÃO"/>
    <x v="7"/>
    <x v="0"/>
    <n v="0"/>
    <s v="Feira de Santana - BA"/>
    <x v="3"/>
    <x v="0"/>
    <n v="0"/>
  </r>
  <r>
    <n v="11663580"/>
    <d v="2025-03-16T18:02:22"/>
    <s v="NÃO"/>
    <x v="7"/>
    <x v="0"/>
    <n v="0"/>
    <s v="Curitiba - PR"/>
    <x v="3"/>
    <x v="0"/>
    <n v="0"/>
  </r>
  <r>
    <n v="11666828"/>
    <d v="2025-03-17T09:13:53"/>
    <s v="NÃO"/>
    <x v="7"/>
    <x v="0"/>
    <n v="0"/>
    <s v="São Paulo - SP"/>
    <x v="3"/>
    <x v="2"/>
    <n v="0"/>
  </r>
  <r>
    <n v="10954443"/>
    <d v="2025-01-12T19:29:07"/>
    <s v="NÃO"/>
    <x v="7"/>
    <x v="0"/>
    <n v="0"/>
    <s v="Guarulhos - SP"/>
    <x v="0"/>
    <x v="6"/>
    <n v="0"/>
  </r>
  <r>
    <n v="11860332"/>
    <d v="2025-04-04T16:56:38"/>
    <s v="NÃO"/>
    <x v="7"/>
    <x v="0"/>
    <n v="0"/>
    <s v="São Paulo - SP"/>
    <x v="3"/>
    <x v="0"/>
    <n v="0"/>
  </r>
  <r>
    <n v="11865775"/>
    <d v="2025-04-05T11:29:35"/>
    <s v="NÃO"/>
    <x v="7"/>
    <x v="0"/>
    <n v="0"/>
    <s v="Braganca Paulista - SP"/>
    <x v="0"/>
    <x v="5"/>
    <n v="0"/>
  </r>
  <r>
    <n v="11892084"/>
    <d v="2025-04-06T20:56:36"/>
    <s v="NÃO"/>
    <x v="7"/>
    <x v="0"/>
    <n v="0"/>
    <s v="Rio de Janeiro - RJ"/>
    <x v="3"/>
    <x v="4"/>
    <n v="0"/>
  </r>
  <r>
    <n v="11939049"/>
    <d v="2025-04-10T13:49:54"/>
    <s v="NÃO"/>
    <x v="7"/>
    <x v="0"/>
    <n v="0"/>
    <s v="Recife - PE"/>
    <x v="0"/>
    <x v="0"/>
    <n v="0"/>
  </r>
  <r>
    <n v="11806457"/>
    <d v="2025-03-29T13:04:36"/>
    <s v="NÃO"/>
    <x v="7"/>
    <x v="0"/>
    <n v="0"/>
    <s v="-"/>
    <x v="0"/>
    <x v="0"/>
    <n v="0"/>
  </r>
  <r>
    <n v="11616387"/>
    <d v="2025-03-11T17:48:43"/>
    <s v="NÃO"/>
    <x v="7"/>
    <x v="0"/>
    <n v="0"/>
    <s v="Limoeiro - PE"/>
    <x v="3"/>
    <x v="0"/>
    <n v="0"/>
  </r>
  <r>
    <n v="11623516"/>
    <d v="2025-03-12T11:45:08"/>
    <s v="NÃO"/>
    <x v="7"/>
    <x v="0"/>
    <n v="0"/>
    <s v="São Luís - MA"/>
    <x v="3"/>
    <x v="4"/>
    <n v="0"/>
  </r>
  <r>
    <n v="11736808"/>
    <d v="2025-03-23T18:32:28"/>
    <s v="NÃO"/>
    <x v="7"/>
    <x v="0"/>
    <n v="0"/>
    <s v="Duque de Caxias - RJ"/>
    <x v="3"/>
    <x v="4"/>
    <n v="0"/>
  </r>
  <r>
    <n v="11707790"/>
    <d v="2025-03-20T11:39:26"/>
    <s v="NÃO"/>
    <x v="7"/>
    <x v="0"/>
    <n v="0"/>
    <s v="Cruz Alta - RS"/>
    <x v="3"/>
    <x v="0"/>
    <n v="0"/>
  </r>
  <r>
    <n v="11756567"/>
    <d v="2025-03-25T11:47:26"/>
    <s v="NÃO"/>
    <x v="7"/>
    <x v="0"/>
    <n v="0"/>
    <s v="Recife - PE"/>
    <x v="3"/>
    <x v="0"/>
    <n v="0"/>
  </r>
  <r>
    <n v="10940074"/>
    <d v="2025-01-12T08:49:41"/>
    <s v="NÃO"/>
    <x v="7"/>
    <x v="0"/>
    <n v="0"/>
    <s v="Macaiba - RN"/>
    <x v="3"/>
    <x v="4"/>
    <n v="0"/>
  </r>
  <r>
    <n v="11787509"/>
    <d v="2025-03-27T08:48:24"/>
    <s v="NÃO"/>
    <x v="7"/>
    <x v="0"/>
    <n v="0"/>
    <s v="São Paulo - SP"/>
    <x v="0"/>
    <x v="0"/>
    <n v="0"/>
  </r>
  <r>
    <n v="11787607"/>
    <d v="2025-03-27T09:29:01"/>
    <s v="NÃO"/>
    <x v="7"/>
    <x v="0"/>
    <n v="0"/>
    <s v="Macaé - RJ"/>
    <x v="0"/>
    <x v="0"/>
    <n v="0"/>
  </r>
  <r>
    <n v="11788827"/>
    <d v="2025-03-27T18:35:08"/>
    <s v="NÃO"/>
    <x v="7"/>
    <x v="0"/>
    <n v="0"/>
    <s v="Recife - PE"/>
    <x v="3"/>
    <x v="0"/>
    <n v="0"/>
  </r>
  <r>
    <n v="11058513"/>
    <d v="2025-01-20T15:21:28"/>
    <s v="NÃO"/>
    <x v="7"/>
    <x v="0"/>
    <n v="0"/>
    <s v="São Paulo - SP"/>
    <x v="0"/>
    <x v="0"/>
    <n v="0"/>
  </r>
  <r>
    <n v="11058003"/>
    <d v="2025-01-20T14:55:17"/>
    <s v="NÃO"/>
    <x v="7"/>
    <x v="0"/>
    <n v="0"/>
    <s v="Rio de Janeiro - RJ"/>
    <x v="3"/>
    <x v="4"/>
    <n v="0"/>
  </r>
  <r>
    <n v="11046834"/>
    <d v="2025-01-19T16:55:30"/>
    <s v="NÃO"/>
    <x v="7"/>
    <x v="0"/>
    <n v="0"/>
    <s v="Cuiabá - MT"/>
    <x v="3"/>
    <x v="4"/>
    <n v="0"/>
  </r>
  <r>
    <n v="11047063"/>
    <d v="2025-01-19T17:01:03"/>
    <s v="NÃO"/>
    <x v="7"/>
    <x v="0"/>
    <n v="0"/>
    <s v="Santana do Livramento - RS"/>
    <x v="3"/>
    <x v="4"/>
    <n v="0"/>
  </r>
  <r>
    <n v="11007414"/>
    <d v="2025-01-15T20:28:45"/>
    <s v="NÃO"/>
    <x v="7"/>
    <x v="0"/>
    <n v="0"/>
    <s v="Feira de Santana - BA"/>
    <x v="0"/>
    <x v="2"/>
    <n v="0"/>
  </r>
  <r>
    <n v="11007850"/>
    <d v="2025-01-16T00:22:01"/>
    <s v="NÃO"/>
    <x v="7"/>
    <x v="0"/>
    <n v="0"/>
    <s v="Birigui - SP"/>
    <x v="3"/>
    <x v="0"/>
    <n v="0"/>
  </r>
  <r>
    <n v="11028212"/>
    <d v="2025-01-18T18:27:18"/>
    <s v="NÃO"/>
    <x v="7"/>
    <x v="0"/>
    <n v="0"/>
    <s v="Rio de Janeiro - RJ"/>
    <x v="3"/>
    <x v="0"/>
    <n v="0"/>
  </r>
  <r>
    <n v="11028705"/>
    <d v="2025-01-18T20:21:42"/>
    <s v="NÃO"/>
    <x v="7"/>
    <x v="0"/>
    <n v="0"/>
    <s v="Cabo Frio - RJ"/>
    <x v="3"/>
    <x v="4"/>
    <n v="0"/>
  </r>
  <r>
    <n v="10981395"/>
    <d v="2025-01-14T15:01:17"/>
    <s v="NÃO"/>
    <x v="7"/>
    <x v="0"/>
    <n v="0"/>
    <s v="Niterói - RJ"/>
    <x v="3"/>
    <x v="0"/>
    <n v="0"/>
  </r>
  <r>
    <n v="10981593"/>
    <d v="2025-01-14T15:13:48"/>
    <s v="NÃO"/>
    <x v="7"/>
    <x v="0"/>
    <n v="0"/>
    <s v="Niterói - RJ"/>
    <x v="3"/>
    <x v="0"/>
    <n v="0"/>
  </r>
  <r>
    <n v="10961649"/>
    <d v="2025-01-13T12:10:48"/>
    <s v="NÃO"/>
    <x v="7"/>
    <x v="0"/>
    <n v="0"/>
    <s v="Serrinha - BA"/>
    <x v="3"/>
    <x v="4"/>
    <n v="0"/>
  </r>
  <r>
    <n v="10992161"/>
    <d v="2025-01-14T23:07:36"/>
    <s v="NÃO"/>
    <x v="7"/>
    <x v="0"/>
    <n v="0"/>
    <s v="Teresina - PI"/>
    <x v="3"/>
    <x v="0"/>
    <n v="0"/>
  </r>
  <r>
    <n v="10992174"/>
    <d v="2025-01-14T23:13:06"/>
    <s v="NÃO"/>
    <x v="7"/>
    <x v="0"/>
    <n v="0"/>
    <s v="Foz do Iguaçu - PR"/>
    <x v="3"/>
    <x v="4"/>
    <n v="0"/>
  </r>
  <r>
    <n v="11003012"/>
    <d v="2025-01-15T15:59:16"/>
    <s v="NÃO"/>
    <x v="7"/>
    <x v="0"/>
    <n v="0"/>
    <s v="São Carlos - SP"/>
    <x v="3"/>
    <x v="4"/>
    <n v="0"/>
  </r>
  <r>
    <n v="11007926"/>
    <d v="2025-01-16T02:22:10"/>
    <s v="NÃO"/>
    <x v="7"/>
    <x v="0"/>
    <n v="0"/>
    <s v="Neves Paulista - SP"/>
    <x v="1"/>
    <x v="4"/>
    <n v="0"/>
  </r>
  <r>
    <n v="11008930"/>
    <d v="2025-01-16T10:29:52"/>
    <s v="NÃO"/>
    <x v="7"/>
    <x v="0"/>
    <n v="0"/>
    <s v="Guimarania - MG"/>
    <x v="3"/>
    <x v="2"/>
    <n v="0"/>
  </r>
  <r>
    <n v="10934164"/>
    <d v="2025-01-11T14:35:19"/>
    <s v="NÃO"/>
    <x v="7"/>
    <x v="0"/>
    <n v="0"/>
    <s v="Osasco - SP"/>
    <x v="3"/>
    <x v="4"/>
    <n v="0"/>
  </r>
  <r>
    <n v="10934175"/>
    <d v="2025-01-11T14:36:34"/>
    <s v="NÃO"/>
    <x v="7"/>
    <x v="0"/>
    <n v="0"/>
    <s v="Osasco - SP"/>
    <x v="3"/>
    <x v="4"/>
    <n v="0"/>
  </r>
  <r>
    <n v="10934885"/>
    <d v="2025-01-11T14:55:50"/>
    <s v="NÃO"/>
    <x v="7"/>
    <x v="0"/>
    <n v="0"/>
    <s v="Porto Alegre - RS"/>
    <x v="3"/>
    <x v="3"/>
    <n v="0"/>
  </r>
  <r>
    <n v="10935826"/>
    <d v="2025-01-11T15:49:08"/>
    <s v="NÃO"/>
    <x v="7"/>
    <x v="0"/>
    <n v="0"/>
    <s v="Porto Velho - RO"/>
    <x v="3"/>
    <x v="4"/>
    <n v="0"/>
  </r>
  <r>
    <n v="10920794"/>
    <d v="2025-01-09T12:26:43"/>
    <s v="NÃO"/>
    <x v="7"/>
    <x v="0"/>
    <n v="0"/>
    <s v="Campina Grande - PB"/>
    <x v="3"/>
    <x v="2"/>
    <n v="0"/>
  </r>
  <r>
    <n v="10920847"/>
    <d v="2025-01-09T12:56:36"/>
    <s v="NÃO"/>
    <x v="7"/>
    <x v="0"/>
    <n v="0"/>
    <s v="Buriti dos Lopes - PI"/>
    <x v="3"/>
    <x v="4"/>
    <n v="0"/>
  </r>
  <r>
    <n v="10920931"/>
    <d v="2025-01-09T13:50:19"/>
    <s v="NÃO"/>
    <x v="7"/>
    <x v="0"/>
    <n v="0"/>
    <s v="Araguaína - TO"/>
    <x v="0"/>
    <x v="5"/>
    <n v="0"/>
  </r>
  <r>
    <n v="10921537"/>
    <d v="2025-01-09T19:17:26"/>
    <s v="NÃO"/>
    <x v="7"/>
    <x v="0"/>
    <n v="0"/>
    <s v="Alto Taquari - MT"/>
    <x v="0"/>
    <x v="5"/>
    <n v="0"/>
  </r>
  <r>
    <n v="10922017"/>
    <d v="2025-01-10T01:56:39"/>
    <s v="NÃO"/>
    <x v="7"/>
    <x v="0"/>
    <n v="0"/>
    <s v="Betim - MG"/>
    <x v="3"/>
    <x v="3"/>
    <n v="0"/>
  </r>
  <r>
    <n v="10922129"/>
    <d v="2025-01-10T07:38:02"/>
    <s v="NÃO"/>
    <x v="7"/>
    <x v="0"/>
    <n v="0"/>
    <s v="Jaguare - ES"/>
    <x v="3"/>
    <x v="4"/>
    <n v="0"/>
  </r>
  <r>
    <n v="10922222"/>
    <d v="2025-01-10T08:52:42"/>
    <s v="NÃO"/>
    <x v="7"/>
    <x v="0"/>
    <n v="0"/>
    <s v="São Luís - MA"/>
    <x v="3"/>
    <x v="0"/>
    <n v="0"/>
  </r>
  <r>
    <n v="10923561"/>
    <d v="2025-01-10T19:59:05"/>
    <s v="NÃO"/>
    <x v="7"/>
    <x v="0"/>
    <n v="0"/>
    <s v="Belo Horizonte - MG"/>
    <x v="3"/>
    <x v="0"/>
    <n v="0"/>
  </r>
  <r>
    <n v="10924032"/>
    <d v="2025-01-10T22:57:09"/>
    <s v="NÃO"/>
    <x v="7"/>
    <x v="0"/>
    <n v="0"/>
    <s v="Bayeux - PB"/>
    <x v="3"/>
    <x v="2"/>
    <n v="0"/>
  </r>
  <r>
    <n v="10925401"/>
    <d v="2025-01-11T06:28:31"/>
    <s v="NÃO"/>
    <x v="7"/>
    <x v="0"/>
    <n v="0"/>
    <s v="Central - BA"/>
    <x v="3"/>
    <x v="5"/>
    <n v="0"/>
  </r>
  <r>
    <n v="11739168"/>
    <d v="2025-03-24T08:30:46"/>
    <s v="NÃO"/>
    <x v="7"/>
    <x v="0"/>
    <n v="0"/>
    <s v="Cabo de Santo Agostinho - PE"/>
    <x v="3"/>
    <x v="2"/>
    <n v="0"/>
  </r>
  <r>
    <n v="11729594"/>
    <d v="2025-03-23T10:04:43"/>
    <s v="NÃO"/>
    <x v="7"/>
    <x v="0"/>
    <n v="0"/>
    <s v="Rio Preto - SP"/>
    <x v="3"/>
    <x v="0"/>
    <n v="0"/>
  </r>
  <r>
    <n v="11730136"/>
    <d v="2025-03-23T10:41:14"/>
    <s v="NÃO"/>
    <x v="7"/>
    <x v="0"/>
    <n v="0"/>
    <s v="São Paulo - SP"/>
    <x v="0"/>
    <x v="5"/>
    <n v="0"/>
  </r>
  <r>
    <n v="11543162"/>
    <d v="2025-03-04T20:40:23"/>
    <s v="NÃO"/>
    <x v="7"/>
    <x v="4"/>
    <s v="facebook - cpc"/>
    <s v="Brasília - DF"/>
    <x v="3"/>
    <x v="2"/>
    <n v="0"/>
  </r>
  <r>
    <n v="11946313"/>
    <d v="2025-04-12T10:29:02"/>
    <s v="NÃO"/>
    <x v="7"/>
    <x v="2"/>
    <n v="0"/>
    <s v="Brasília - DF"/>
    <x v="0"/>
    <x v="6"/>
    <n v="0"/>
  </r>
  <r>
    <n v="11667087"/>
    <d v="2025-03-17T09:33:21"/>
    <s v="NÃO"/>
    <x v="7"/>
    <x v="2"/>
    <n v="0"/>
    <s v="São Paulo, SP"/>
    <x v="0"/>
    <x v="2"/>
    <n v="0"/>
  </r>
  <r>
    <n v="11577546"/>
    <d v="2025-03-08T20:29:30"/>
    <s v="NÃO"/>
    <x v="7"/>
    <x v="4"/>
    <s v="facebook - cpc"/>
    <s v="Cachoeirinha - RS"/>
    <x v="0"/>
    <x v="6"/>
    <n v="0"/>
  </r>
  <r>
    <n v="11562515"/>
    <d v="2025-03-08T00:30:57"/>
    <s v="NÃO"/>
    <x v="7"/>
    <x v="4"/>
    <s v="facebook - cpc"/>
    <s v="São Luís - MA"/>
    <x v="3"/>
    <x v="2"/>
    <n v="0"/>
  </r>
  <r>
    <n v="11569480"/>
    <d v="2025-03-08T13:07:59"/>
    <s v="NÃO"/>
    <x v="7"/>
    <x v="4"/>
    <s v="facebook - cpc"/>
    <s v="Heliopolis - BA"/>
    <x v="3"/>
    <x v="2"/>
    <n v="0"/>
  </r>
  <r>
    <n v="11562083"/>
    <d v="2025-03-07T21:29:04"/>
    <s v="NÃO"/>
    <x v="7"/>
    <x v="4"/>
    <s v="facebook - cpc"/>
    <s v="Tamboré - SP"/>
    <x v="3"/>
    <x v="4"/>
    <n v="0"/>
  </r>
  <r>
    <n v="11562391"/>
    <d v="2025-03-07T23:16:18"/>
    <s v="NÃO"/>
    <x v="7"/>
    <x v="4"/>
    <s v="facebook - cpc"/>
    <s v="Salvador - BA"/>
    <x v="3"/>
    <x v="6"/>
    <n v="0"/>
  </r>
  <r>
    <n v="11557651"/>
    <d v="2025-03-05T22:03:22"/>
    <s v="NÃO"/>
    <x v="7"/>
    <x v="4"/>
    <s v="facebook - cpc"/>
    <s v="São Luís - MA"/>
    <x v="0"/>
    <x v="0"/>
    <n v="0"/>
  </r>
  <r>
    <n v="11557901"/>
    <d v="2025-03-06T00:20:09"/>
    <s v="NÃO"/>
    <x v="7"/>
    <x v="4"/>
    <s v="facebook - cpc"/>
    <s v="São Paulo - SP"/>
    <x v="0"/>
    <x v="6"/>
    <n v="0"/>
  </r>
  <r>
    <n v="11558254"/>
    <d v="2025-03-06T07:00:39"/>
    <s v="NÃO"/>
    <x v="7"/>
    <x v="4"/>
    <s v="facebook - cpc"/>
    <s v="Porto Alegre - RS"/>
    <x v="3"/>
    <x v="0"/>
    <n v="0"/>
  </r>
  <r>
    <n v="11558657"/>
    <d v="2025-03-06T10:29:21"/>
    <s v="NÃO"/>
    <x v="7"/>
    <x v="4"/>
    <s v="facebook - cpc"/>
    <s v="Fortaleza - CE"/>
    <x v="0"/>
    <x v="0"/>
    <n v="0"/>
  </r>
  <r>
    <n v="11559057"/>
    <d v="2025-03-06T13:59:03"/>
    <s v="NÃO"/>
    <x v="7"/>
    <x v="4"/>
    <s v="facebook - cpc"/>
    <s v="Brasília - DF"/>
    <x v="3"/>
    <x v="6"/>
    <n v="0"/>
  </r>
  <r>
    <n v="11560307"/>
    <d v="2025-03-07T07:27:19"/>
    <s v="NÃO"/>
    <x v="7"/>
    <x v="4"/>
    <s v="facebook - cpc"/>
    <s v="Lajeado - RS"/>
    <x v="3"/>
    <x v="2"/>
    <n v="0"/>
  </r>
  <r>
    <n v="11272837"/>
    <d v="2025-02-07T21:12:24"/>
    <s v="NÃO"/>
    <x v="7"/>
    <x v="0"/>
    <n v="0"/>
    <s v="São Paulo - SP"/>
    <x v="3"/>
    <x v="0"/>
    <n v="0"/>
  </r>
  <r>
    <n v="11305477"/>
    <d v="2025-02-10T00:31:25"/>
    <s v="NÃO"/>
    <x v="7"/>
    <x v="0"/>
    <n v="0"/>
    <s v="Porto Velho - RO"/>
    <x v="3"/>
    <x v="4"/>
    <n v="0"/>
  </r>
  <r>
    <n v="11298984"/>
    <d v="2025-02-09T13:20:34"/>
    <s v="NÃO"/>
    <x v="7"/>
    <x v="0"/>
    <n v="0"/>
    <s v="Uberlândia - MG"/>
    <x v="3"/>
    <x v="0"/>
    <n v="0"/>
  </r>
  <r>
    <n v="11269572"/>
    <d v="2025-02-06T15:56:28"/>
    <s v="NÃO"/>
    <x v="7"/>
    <x v="0"/>
    <n v="0"/>
    <s v="São Paulo - SP"/>
    <x v="3"/>
    <x v="0"/>
    <n v="0"/>
  </r>
  <r>
    <n v="11229397"/>
    <d v="2025-02-02T20:24:08"/>
    <s v="NÃO"/>
    <x v="7"/>
    <x v="0"/>
    <n v="0"/>
    <s v="Rio de Janeiro - RJ"/>
    <x v="3"/>
    <x v="0"/>
    <n v="0"/>
  </r>
  <r>
    <n v="11238632"/>
    <d v="2025-02-03T15:11:49"/>
    <s v="NÃO"/>
    <x v="7"/>
    <x v="0"/>
    <n v="0"/>
    <s v="Florianópolis - SC"/>
    <x v="3"/>
    <x v="4"/>
    <n v="0"/>
  </r>
  <r>
    <n v="11241375"/>
    <d v="2025-02-03T17:49:09"/>
    <s v="NÃO"/>
    <x v="7"/>
    <x v="0"/>
    <n v="0"/>
    <s v="São Paulo - SP"/>
    <x v="3"/>
    <x v="3"/>
    <n v="0"/>
  </r>
  <r>
    <n v="11302947"/>
    <d v="2025-02-09T16:45:16"/>
    <s v="NÃO"/>
    <x v="7"/>
    <x v="0"/>
    <n v="0"/>
    <s v="São Paulo - SP"/>
    <x v="0"/>
    <x v="0"/>
    <n v="0"/>
  </r>
  <r>
    <n v="11331246"/>
    <d v="2025-02-11T19:32:47"/>
    <s v="NÃO"/>
    <x v="7"/>
    <x v="0"/>
    <n v="0"/>
    <s v="Fortaleza - CE"/>
    <x v="0"/>
    <x v="0"/>
    <n v="0"/>
  </r>
  <r>
    <n v="11338338"/>
    <d v="2025-02-12T15:07:18"/>
    <s v="NÃO"/>
    <x v="7"/>
    <x v="0"/>
    <n v="0"/>
    <s v="Americana - SP"/>
    <x v="0"/>
    <x v="0"/>
    <n v="0"/>
  </r>
  <r>
    <n v="11344378"/>
    <d v="2025-02-13T11:23:40"/>
    <s v="NÃO"/>
    <x v="7"/>
    <x v="0"/>
    <n v="0"/>
    <s v="Linhares - ES"/>
    <x v="0"/>
    <x v="4"/>
    <n v="0"/>
  </r>
  <r>
    <n v="11345547"/>
    <d v="2025-02-13T18:25:49"/>
    <s v="NÃO"/>
    <x v="7"/>
    <x v="0"/>
    <n v="0"/>
    <s v="Ariquemes - RO"/>
    <x v="3"/>
    <x v="6"/>
    <n v="0"/>
  </r>
  <r>
    <n v="11345826"/>
    <d v="2025-02-13T20:53:46"/>
    <s v="NÃO"/>
    <x v="7"/>
    <x v="0"/>
    <n v="0"/>
    <s v="Brasília - DF"/>
    <x v="0"/>
    <x v="0"/>
    <n v="0"/>
  </r>
  <r>
    <n v="11348282"/>
    <d v="2025-02-14T23:26:31"/>
    <s v="NÃO"/>
    <x v="7"/>
    <x v="0"/>
    <n v="0"/>
    <s v="Fortaleza - CE"/>
    <x v="3"/>
    <x v="0"/>
    <n v="0"/>
  </r>
  <r>
    <n v="11359877"/>
    <d v="2025-02-16T08:41:20"/>
    <s v="NÃO"/>
    <x v="7"/>
    <x v="0"/>
    <n v="0"/>
    <s v="Aparecida de Goiania - GO"/>
    <x v="3"/>
    <x v="3"/>
    <n v="0"/>
  </r>
  <r>
    <n v="11409218"/>
    <d v="2025-02-21T12:33:23"/>
    <s v="NÃO"/>
    <x v="7"/>
    <x v="0"/>
    <n v="0"/>
    <s v="Montes Claros - MG"/>
    <x v="3"/>
    <x v="0"/>
    <n v="0"/>
  </r>
  <r>
    <n v="11440238"/>
    <d v="2025-02-23T18:14:43"/>
    <s v="NÃO"/>
    <x v="7"/>
    <x v="0"/>
    <n v="0"/>
    <s v="Duque de Caxias - RJ"/>
    <x v="3"/>
    <x v="0"/>
    <n v="0"/>
  </r>
  <r>
    <n v="11518743"/>
    <d v="2025-03-03T13:03:46"/>
    <s v="NÃO"/>
    <x v="7"/>
    <x v="0"/>
    <n v="0"/>
    <s v="São Paulo - SP"/>
    <x v="3"/>
    <x v="4"/>
    <n v="0"/>
  </r>
  <r>
    <n v="11520506"/>
    <d v="2025-03-03T14:33:57"/>
    <s v="NÃO"/>
    <x v="7"/>
    <x v="0"/>
    <n v="0"/>
    <s v="Campinas - SP"/>
    <x v="3"/>
    <x v="5"/>
    <n v="0"/>
  </r>
  <r>
    <n v="11462140"/>
    <d v="2025-02-25T14:53:14"/>
    <s v="NÃO"/>
    <x v="7"/>
    <x v="0"/>
    <n v="0"/>
    <s v="São Luís - MA"/>
    <x v="3"/>
    <x v="0"/>
    <n v="0"/>
  </r>
  <r>
    <n v="11472198"/>
    <d v="2025-02-26T11:52:26"/>
    <s v="NÃO"/>
    <x v="7"/>
    <x v="0"/>
    <n v="0"/>
    <s v="Itupeva - SP"/>
    <x v="0"/>
    <x v="0"/>
    <n v="0"/>
  </r>
  <r>
    <n v="11445743"/>
    <d v="2025-02-24T11:33:26"/>
    <s v="NÃO"/>
    <x v="7"/>
    <x v="0"/>
    <n v="0"/>
    <s v="São Leopoldo - RS"/>
    <x v="3"/>
    <x v="0"/>
    <n v="0"/>
  </r>
  <r>
    <n v="11446310"/>
    <d v="2025-02-24T12:12:53"/>
    <s v="NÃO"/>
    <x v="7"/>
    <x v="0"/>
    <n v="0"/>
    <s v="São Paulo - SP"/>
    <x v="3"/>
    <x v="4"/>
    <n v="0"/>
  </r>
  <r>
    <n v="11223824"/>
    <d v="2025-02-02T14:44:44"/>
    <s v="NÃO"/>
    <x v="7"/>
    <x v="0"/>
    <n v="0"/>
    <s v="Niterói - RJ"/>
    <x v="3"/>
    <x v="0"/>
    <n v="0"/>
  </r>
  <r>
    <n v="11214324"/>
    <d v="2025-02-01T21:20:47"/>
    <s v="NÃO"/>
    <x v="7"/>
    <x v="0"/>
    <n v="0"/>
    <s v="Rio de Janeiro - RJ"/>
    <x v="4"/>
    <x v="0"/>
    <n v="0"/>
  </r>
  <r>
    <n v="11206139"/>
    <d v="2025-02-01T13:09:37"/>
    <s v="NÃO"/>
    <x v="7"/>
    <x v="0"/>
    <n v="0"/>
    <s v="Porto Alegre - RS"/>
    <x v="3"/>
    <x v="4"/>
    <n v="0"/>
  </r>
  <r>
    <n v="11166775"/>
    <d v="2025-01-28T16:59:27"/>
    <s v="NÃO"/>
    <x v="7"/>
    <x v="0"/>
    <n v="0"/>
    <s v="Vicosa do Ceara - CE"/>
    <x v="3"/>
    <x v="0"/>
    <n v="0"/>
  </r>
  <r>
    <n v="11170231"/>
    <d v="2025-01-28T18:04:48"/>
    <s v="NÃO"/>
    <x v="7"/>
    <x v="0"/>
    <n v="0"/>
    <s v="Niterói - RJ"/>
    <x v="3"/>
    <x v="5"/>
    <n v="0"/>
  </r>
  <r>
    <n v="11182612"/>
    <d v="2025-01-29T15:40:50"/>
    <s v="NÃO"/>
    <x v="7"/>
    <x v="0"/>
    <n v="0"/>
    <s v="Aracaju - SE"/>
    <x v="4"/>
    <x v="3"/>
    <n v="0"/>
  </r>
  <r>
    <n v="11194510"/>
    <d v="2025-01-30T10:37:08"/>
    <s v="NÃO"/>
    <x v="7"/>
    <x v="0"/>
    <n v="0"/>
    <s v="Porto Alegre - RS"/>
    <x v="3"/>
    <x v="3"/>
    <n v="0"/>
  </r>
  <r>
    <n v="11081282"/>
    <d v="2025-01-22T09:38:51"/>
    <s v="NÃO"/>
    <x v="7"/>
    <x v="0"/>
    <n v="0"/>
    <s v="Salvador - BA"/>
    <x v="3"/>
    <x v="0"/>
    <n v="0"/>
  </r>
  <r>
    <n v="10846796"/>
    <d v="2024-12-31T00:58:30"/>
    <s v="NÃO"/>
    <x v="7"/>
    <x v="4"/>
    <s v="facebook - cpc"/>
    <s v="São Paulo - SP"/>
    <x v="0"/>
    <x v="2"/>
    <n v="0"/>
  </r>
  <r>
    <n v="11336228"/>
    <d v="2025-02-12T12:02:54"/>
    <s v="NÃO"/>
    <x v="7"/>
    <x v="4"/>
    <s v="facebook - cpc"/>
    <s v="Sao Pedro do Turvo - SP"/>
    <x v="3"/>
    <x v="0"/>
    <n v="0"/>
  </r>
  <r>
    <n v="10838812"/>
    <d v="2024-12-30T11:27:39"/>
    <s v="NÃO"/>
    <x v="7"/>
    <x v="4"/>
    <s v="facebook - cpc"/>
    <s v="Colmeia - TO"/>
    <x v="0"/>
    <x v="5"/>
    <n v="0"/>
  </r>
  <r>
    <n v="11067784"/>
    <d v="2025-01-21T10:21:49"/>
    <s v="NÃO"/>
    <x v="6"/>
    <x v="1"/>
    <n v="0"/>
    <s v="-"/>
    <x v="2"/>
    <x v="1"/>
    <n v="0"/>
  </r>
  <r>
    <n v="11067828"/>
    <d v="2025-01-21T10:25:11"/>
    <s v="NÃO"/>
    <x v="6"/>
    <x v="1"/>
    <n v="0"/>
    <s v="-"/>
    <x v="2"/>
    <x v="1"/>
    <n v="0"/>
  </r>
  <r>
    <n v="11068056"/>
    <d v="2025-01-21T10:46:25"/>
    <s v="NÃO"/>
    <x v="6"/>
    <x v="1"/>
    <n v="0"/>
    <s v="-"/>
    <x v="2"/>
    <x v="1"/>
    <n v="0"/>
  </r>
  <r>
    <n v="11068081"/>
    <d v="2025-01-21T10:48:12"/>
    <s v="NÃO"/>
    <x v="6"/>
    <x v="1"/>
    <n v="0"/>
    <s v="-"/>
    <x v="2"/>
    <x v="1"/>
    <n v="0"/>
  </r>
  <r>
    <n v="11068126"/>
    <d v="2025-01-21T10:51:52"/>
    <s v="NÃO"/>
    <x v="6"/>
    <x v="1"/>
    <n v="0"/>
    <s v="-"/>
    <x v="2"/>
    <x v="1"/>
    <n v="0"/>
  </r>
  <r>
    <n v="11068184"/>
    <d v="2025-01-21T10:56:27"/>
    <s v="NÃO"/>
    <x v="6"/>
    <x v="1"/>
    <n v="0"/>
    <s v="-"/>
    <x v="2"/>
    <x v="1"/>
    <n v="0"/>
  </r>
  <r>
    <n v="11068200"/>
    <d v="2025-01-21T10:57:22"/>
    <s v="NÃO"/>
    <x v="6"/>
    <x v="1"/>
    <n v="0"/>
    <s v="-"/>
    <x v="2"/>
    <x v="1"/>
    <n v="0"/>
  </r>
  <r>
    <n v="11068221"/>
    <d v="2025-01-21T10:59:10"/>
    <s v="NÃO"/>
    <x v="6"/>
    <x v="1"/>
    <n v="0"/>
    <s v="-"/>
    <x v="2"/>
    <x v="1"/>
    <n v="0"/>
  </r>
  <r>
    <n v="11068372"/>
    <d v="2025-01-21T11:06:26"/>
    <s v="NÃO"/>
    <x v="6"/>
    <x v="1"/>
    <n v="0"/>
    <s v="-"/>
    <x v="2"/>
    <x v="1"/>
    <n v="0"/>
  </r>
  <r>
    <n v="11070025"/>
    <d v="2025-01-21T13:25:29"/>
    <s v="NÃO"/>
    <x v="6"/>
    <x v="1"/>
    <n v="0"/>
    <s v="-"/>
    <x v="2"/>
    <x v="1"/>
    <n v="0"/>
  </r>
  <r>
    <n v="11067233"/>
    <d v="2025-01-21T09:55:30"/>
    <s v="NÃO"/>
    <x v="6"/>
    <x v="1"/>
    <n v="0"/>
    <s v="-"/>
    <x v="2"/>
    <x v="1"/>
    <n v="0"/>
  </r>
  <r>
    <n v="11067257"/>
    <d v="2025-01-21T09:57:18"/>
    <s v="NÃO"/>
    <x v="6"/>
    <x v="1"/>
    <n v="0"/>
    <s v="-"/>
    <x v="2"/>
    <x v="1"/>
    <n v="0"/>
  </r>
  <r>
    <n v="11067273"/>
    <d v="2025-01-21T09:58:24"/>
    <s v="NÃO"/>
    <x v="6"/>
    <x v="1"/>
    <n v="0"/>
    <s v="-"/>
    <x v="2"/>
    <x v="1"/>
    <n v="0"/>
  </r>
  <r>
    <n v="10613590"/>
    <d v="2024-12-04T10:29:50"/>
    <s v="NÃO"/>
    <x v="6"/>
    <x v="0"/>
    <n v="0"/>
    <s v="Pato Branco - PR"/>
    <x v="5"/>
    <x v="4"/>
    <n v="0"/>
  </r>
  <r>
    <n v="11461136"/>
    <d v="2025-02-25T14:12:11"/>
    <s v="NÃO"/>
    <x v="7"/>
    <x v="2"/>
    <s v="google - cpc"/>
    <s v="Belo Horizonte - MG"/>
    <x v="3"/>
    <x v="0"/>
    <n v="0"/>
  </r>
  <r>
    <n v="11479039"/>
    <d v="2025-02-26T17:53:29"/>
    <s v="NÃO"/>
    <x v="7"/>
    <x v="2"/>
    <s v="google - cpc"/>
    <s v="Itaguai - RJ"/>
    <x v="3"/>
    <x v="5"/>
    <n v="0"/>
  </r>
  <r>
    <n v="11454152"/>
    <d v="2025-02-25T00:26:05"/>
    <s v="NÃO"/>
    <x v="7"/>
    <x v="2"/>
    <s v="google - cpc"/>
    <s v="Rio de Janeiro - RJ"/>
    <x v="3"/>
    <x v="0"/>
    <n v="0"/>
  </r>
  <r>
    <n v="11425020"/>
    <d v="2025-02-22T18:06:17"/>
    <s v="NÃO"/>
    <x v="7"/>
    <x v="2"/>
    <s v="google - cpc"/>
    <s v="Manaus - AM"/>
    <x v="3"/>
    <x v="2"/>
    <n v="0"/>
  </r>
  <r>
    <n v="11425395"/>
    <d v="2025-02-22T19:40:06"/>
    <s v="NÃO"/>
    <x v="7"/>
    <x v="2"/>
    <s v="google - cpc"/>
    <s v="São Paulo - SP"/>
    <x v="0"/>
    <x v="0"/>
    <n v="0"/>
  </r>
  <r>
    <n v="11390282"/>
    <d v="2025-02-18T14:46:22"/>
    <s v="NÃO"/>
    <x v="7"/>
    <x v="2"/>
    <s v="google - cpc"/>
    <s v="São José dos Campos - SP"/>
    <x v="0"/>
    <x v="0"/>
    <n v="0"/>
  </r>
  <r>
    <n v="11406911"/>
    <d v="2025-02-20T10:45:15"/>
    <s v="NÃO"/>
    <x v="7"/>
    <x v="2"/>
    <s v="google - cpc"/>
    <s v="Brasília - DF"/>
    <x v="0"/>
    <x v="0"/>
    <n v="0"/>
  </r>
  <r>
    <n v="11402207"/>
    <d v="2025-02-19T14:28:33"/>
    <s v="NÃO"/>
    <x v="7"/>
    <x v="2"/>
    <s v="google - cpc"/>
    <s v="Niterói - RJ"/>
    <x v="3"/>
    <x v="5"/>
    <n v="0"/>
  </r>
  <r>
    <n v="11409145"/>
    <d v="2025-02-21T11:51:26"/>
    <s v="NÃO"/>
    <x v="7"/>
    <x v="2"/>
    <s v="google - cpc"/>
    <s v="Mineiros - GO"/>
    <x v="3"/>
    <x v="0"/>
    <n v="0"/>
  </r>
  <r>
    <n v="11409637"/>
    <d v="2025-02-21T16:15:30"/>
    <s v="NÃO"/>
    <x v="7"/>
    <x v="2"/>
    <s v="google - cpc"/>
    <s v="Para de Minas - MG"/>
    <x v="3"/>
    <x v="0"/>
    <n v="0"/>
  </r>
  <r>
    <n v="11391608"/>
    <d v="2025-02-18T15:47:28"/>
    <s v="NÃO"/>
    <x v="7"/>
    <x v="2"/>
    <s v="google - cpc"/>
    <s v="Recife - PE"/>
    <x v="3"/>
    <x v="0"/>
    <n v="0"/>
  </r>
  <r>
    <n v="11380143"/>
    <d v="2025-02-17T16:36:13"/>
    <s v="NÃO"/>
    <x v="6"/>
    <x v="0"/>
    <n v="0"/>
    <s v="Teresina - PI"/>
    <x v="0"/>
    <x v="3"/>
    <n v="0"/>
  </r>
  <r>
    <n v="11379368"/>
    <d v="2025-02-17T15:56:21"/>
    <s v="NÃO"/>
    <x v="7"/>
    <x v="2"/>
    <s v="google - cpc"/>
    <s v="Niterói - RJ"/>
    <x v="0"/>
    <x v="0"/>
    <n v="0"/>
  </r>
  <r>
    <n v="11361973"/>
    <d v="2025-02-16T10:40:51"/>
    <s v="NÃO"/>
    <x v="7"/>
    <x v="2"/>
    <s v="google - cpc"/>
    <s v="Mogi das Cruzes - SP"/>
    <x v="0"/>
    <x v="2"/>
    <n v="0"/>
  </r>
  <r>
    <n v="11357653"/>
    <d v="2025-02-15T17:56:41"/>
    <s v="NÃO"/>
    <x v="7"/>
    <x v="2"/>
    <s v="google - cpc"/>
    <s v="Jaboatao dos Guararapes - PE"/>
    <x v="0"/>
    <x v="4"/>
    <n v="0"/>
  </r>
  <r>
    <n v="11363311"/>
    <d v="2025-02-16T12:33:11"/>
    <s v="NÃO"/>
    <x v="7"/>
    <x v="2"/>
    <s v="google - cpc"/>
    <s v="Rio Claro - SP"/>
    <x v="3"/>
    <x v="0"/>
    <n v="0"/>
  </r>
  <r>
    <n v="11348490"/>
    <d v="2025-02-15T02:34:01"/>
    <s v="NÃO"/>
    <x v="7"/>
    <x v="2"/>
    <s v="google - cpc"/>
    <s v="Palmas - TO"/>
    <x v="3"/>
    <x v="0"/>
    <n v="0"/>
  </r>
  <r>
    <n v="11349932"/>
    <d v="2025-02-15T09:46:09"/>
    <s v="NÃO"/>
    <x v="7"/>
    <x v="2"/>
    <s v="google - cpc"/>
    <s v="São Paulo - SP"/>
    <x v="3"/>
    <x v="0"/>
    <n v="0"/>
  </r>
  <r>
    <n v="11350424"/>
    <d v="2025-02-15T10:08:28"/>
    <s v="NÃO"/>
    <x v="7"/>
    <x v="2"/>
    <s v="google - cpc"/>
    <s v="Ourinhos - SP"/>
    <x v="0"/>
    <x v="0"/>
    <n v="0"/>
  </r>
  <r>
    <n v="11351897"/>
    <d v="2025-02-15T11:23:41"/>
    <s v="NÃO"/>
    <x v="7"/>
    <x v="2"/>
    <s v="google - cpc"/>
    <s v="Paulista - PE"/>
    <x v="3"/>
    <x v="0"/>
    <n v="0"/>
  </r>
  <r>
    <n v="11348628"/>
    <d v="2025-02-15T05:42:42"/>
    <s v="NÃO"/>
    <x v="7"/>
    <x v="7"/>
    <s v="instagram - social"/>
    <s v="Fortaleza - CE"/>
    <x v="0"/>
    <x v="2"/>
    <n v="0"/>
  </r>
  <r>
    <n v="11348719"/>
    <d v="2025-02-15T07:29:17"/>
    <s v="NÃO"/>
    <x v="7"/>
    <x v="7"/>
    <s v="instagram - social"/>
    <s v="Maracanau - CE"/>
    <x v="0"/>
    <x v="2"/>
    <n v="0"/>
  </r>
  <r>
    <n v="11349608"/>
    <d v="2025-02-15T09:24:00"/>
    <s v="NÃO"/>
    <x v="7"/>
    <x v="7"/>
    <s v="instagram - social"/>
    <s v="Uberlândia - MG"/>
    <x v="3"/>
    <x v="0"/>
    <n v="0"/>
  </r>
  <r>
    <n v="11441042"/>
    <d v="2025-02-23T21:12:35"/>
    <s v="NÃO"/>
    <x v="7"/>
    <x v="7"/>
    <s v="instagram - social"/>
    <s v="Fortaleza - CE"/>
    <x v="3"/>
    <x v="4"/>
    <n v="0"/>
  </r>
  <r>
    <n v="11482585"/>
    <d v="2025-02-27T20:26:53"/>
    <s v="NÃO"/>
    <x v="7"/>
    <x v="7"/>
    <s v="instagram - social"/>
    <s v="Rio de Janeiro - RJ"/>
    <x v="3"/>
    <x v="0"/>
    <n v="0"/>
  </r>
  <r>
    <n v="11408638"/>
    <d v="2025-02-21T05:08:52"/>
    <s v="NÃO"/>
    <x v="7"/>
    <x v="7"/>
    <s v="instagram - social"/>
    <s v="Tamboré - SP"/>
    <x v="3"/>
    <x v="0"/>
    <n v="0"/>
  </r>
  <r>
    <n v="11562442"/>
    <d v="2025-03-07T23:45:26"/>
    <s v="NÃO"/>
    <x v="7"/>
    <x v="7"/>
    <s v="instagram - social"/>
    <s v="Conceicao da Barra - ES"/>
    <x v="0"/>
    <x v="2"/>
    <n v="0"/>
  </r>
  <r>
    <n v="11572631"/>
    <d v="2025-03-08T15:38:07"/>
    <s v="NÃO"/>
    <x v="7"/>
    <x v="7"/>
    <s v="instagram - social"/>
    <s v="Campina Grande - PB"/>
    <x v="0"/>
    <x v="0"/>
    <n v="0"/>
  </r>
  <r>
    <n v="11585282"/>
    <d v="2025-03-09T13:34:21"/>
    <s v="NÃO"/>
    <x v="7"/>
    <x v="7"/>
    <s v="instagram - social"/>
    <s v="Três Lagoas - MS"/>
    <x v="3"/>
    <x v="0"/>
    <n v="0"/>
  </r>
  <r>
    <n v="11607816"/>
    <d v="2025-03-11T06:19:48"/>
    <s v="NÃO"/>
    <x v="7"/>
    <x v="7"/>
    <s v="instagram - social"/>
    <s v="Fortaleza - CE"/>
    <x v="0"/>
    <x v="0"/>
    <n v="0"/>
  </r>
  <r>
    <n v="11617032"/>
    <d v="2025-03-11T20:03:11"/>
    <s v="NÃO"/>
    <x v="7"/>
    <x v="7"/>
    <s v="instagram - social"/>
    <s v="Belém - PA"/>
    <x v="0"/>
    <x v="0"/>
    <n v="0"/>
  </r>
  <r>
    <n v="11324040"/>
    <d v="2025-02-11T13:04:25"/>
    <s v="NÃO"/>
    <x v="7"/>
    <x v="7"/>
    <s v="instagram - social"/>
    <s v="Caseiros - RS"/>
    <x v="3"/>
    <x v="0"/>
    <n v="0"/>
  </r>
  <r>
    <n v="10855107"/>
    <d v="2025-01-04T08:25:07"/>
    <s v="NÃO"/>
    <x v="7"/>
    <x v="2"/>
    <s v="google - cpc"/>
    <s v="São Paulo - SP"/>
    <x v="0"/>
    <x v="0"/>
    <n v="0"/>
  </r>
  <r>
    <n v="10868647"/>
    <d v="2025-01-04T18:00:13"/>
    <s v="NÃO"/>
    <x v="7"/>
    <x v="2"/>
    <s v="google - cpc"/>
    <s v="São Paulo - SP"/>
    <x v="0"/>
    <x v="0"/>
    <n v="0"/>
  </r>
  <r>
    <n v="10868908"/>
    <d v="2025-01-04T18:47:38"/>
    <s v="NÃO"/>
    <x v="7"/>
    <x v="2"/>
    <s v="google - cpc"/>
    <s v="Florianópolis - SC"/>
    <x v="3"/>
    <x v="0"/>
    <n v="0"/>
  </r>
  <r>
    <n v="10869521"/>
    <d v="2025-01-04T21:47:04"/>
    <s v="NÃO"/>
    <x v="7"/>
    <x v="2"/>
    <s v="google - cpc"/>
    <s v="São Paulo - SP"/>
    <x v="3"/>
    <x v="6"/>
    <n v="0"/>
  </r>
  <r>
    <n v="10906664"/>
    <d v="2025-01-07T20:15:32"/>
    <s v="NÃO"/>
    <x v="7"/>
    <x v="2"/>
    <s v="google - cpc"/>
    <s v="Aracaju - SE"/>
    <x v="0"/>
    <x v="0"/>
    <n v="0"/>
  </r>
  <r>
    <n v="10923727"/>
    <d v="2025-01-10T21:28:25"/>
    <s v="NÃO"/>
    <x v="7"/>
    <x v="2"/>
    <s v="google - cpc"/>
    <s v="Olinda - PE"/>
    <x v="3"/>
    <x v="3"/>
    <n v="0"/>
  </r>
  <r>
    <n v="10934309"/>
    <d v="2025-01-11T14:40:24"/>
    <s v="NÃO"/>
    <x v="7"/>
    <x v="2"/>
    <s v="google - cpc"/>
    <s v="São Paulo - SP"/>
    <x v="3"/>
    <x v="0"/>
    <n v="0"/>
  </r>
  <r>
    <n v="10894019"/>
    <d v="2025-01-06T23:00:28"/>
    <s v="NÃO"/>
    <x v="7"/>
    <x v="2"/>
    <s v="google - cpc"/>
    <s v="Mogi das Cruzes - SP"/>
    <x v="0"/>
    <x v="0"/>
    <n v="0"/>
  </r>
  <r>
    <n v="10881130"/>
    <d v="2025-01-05T19:58:11"/>
    <s v="NÃO"/>
    <x v="7"/>
    <x v="2"/>
    <s v="google - cpc"/>
    <s v="Uberaba - MG"/>
    <x v="0"/>
    <x v="0"/>
    <n v="0"/>
  </r>
  <r>
    <n v="10806010"/>
    <d v="2024-12-23T09:29:31"/>
    <s v="NÃO"/>
    <x v="7"/>
    <x v="2"/>
    <s v="google - cpc"/>
    <s v="São Paulo - SP"/>
    <x v="0"/>
    <x v="0"/>
    <n v="0"/>
  </r>
  <r>
    <n v="10810914"/>
    <d v="2024-12-23T17:07:02"/>
    <s v="NÃO"/>
    <x v="7"/>
    <x v="2"/>
    <s v="google - cpc"/>
    <s v="São Paulo - SP"/>
    <x v="0"/>
    <x v="0"/>
    <n v="0"/>
  </r>
  <r>
    <n v="10802696"/>
    <d v="2024-12-22T16:53:26"/>
    <s v="NÃO"/>
    <x v="7"/>
    <x v="2"/>
    <s v="google - cpc"/>
    <s v="Fortaleza - CE"/>
    <x v="3"/>
    <x v="0"/>
    <n v="0"/>
  </r>
  <r>
    <n v="10802712"/>
    <d v="2024-12-22T16:54:27"/>
    <s v="NÃO"/>
    <x v="7"/>
    <x v="2"/>
    <s v="google - cpc"/>
    <s v="Fortaleza - CE"/>
    <x v="3"/>
    <x v="0"/>
    <n v="0"/>
  </r>
  <r>
    <n v="10802724"/>
    <d v="2024-12-22T16:55:50"/>
    <s v="NÃO"/>
    <x v="7"/>
    <x v="2"/>
    <s v="google - cpc"/>
    <s v="Fortaleza - CE"/>
    <x v="3"/>
    <x v="0"/>
    <n v="0"/>
  </r>
  <r>
    <n v="10915409"/>
    <d v="2025-01-08T14:25:59"/>
    <s v="NÃO"/>
    <x v="7"/>
    <x v="2"/>
    <s v="google - cpc"/>
    <s v="Brasília - DF"/>
    <x v="3"/>
    <x v="0"/>
    <n v="0"/>
  </r>
  <r>
    <n v="10778995"/>
    <d v="2024-12-18T21:07:49"/>
    <s v="NÃO"/>
    <x v="7"/>
    <x v="2"/>
    <s v="google - cpc"/>
    <s v="Rio de Janeiro - RJ"/>
    <x v="3"/>
    <x v="0"/>
    <n v="0"/>
  </r>
  <r>
    <n v="10781034"/>
    <d v="2024-12-19T22:52:17"/>
    <s v="NÃO"/>
    <x v="7"/>
    <x v="2"/>
    <s v="google - cpc"/>
    <s v="Morro Agudo - SP"/>
    <x v="3"/>
    <x v="0"/>
    <n v="0"/>
  </r>
  <r>
    <n v="11326094"/>
    <d v="2025-02-11T14:22:21"/>
    <s v="NÃO"/>
    <x v="7"/>
    <x v="2"/>
    <s v="google - cpc"/>
    <s v="São Paulo - SP"/>
    <x v="0"/>
    <x v="0"/>
    <n v="0"/>
  </r>
  <r>
    <n v="11303107"/>
    <d v="2025-02-09T16:52:26"/>
    <s v="NÃO"/>
    <x v="7"/>
    <x v="2"/>
    <s v="google - cpc"/>
    <s v="Natal - RN"/>
    <x v="3"/>
    <x v="4"/>
    <n v="0"/>
  </r>
  <r>
    <n v="11307544"/>
    <d v="2025-02-10T09:24:33"/>
    <s v="NÃO"/>
    <x v="7"/>
    <x v="2"/>
    <s v="google - cpc"/>
    <s v="Consolação - SP"/>
    <x v="3"/>
    <x v="0"/>
    <n v="0"/>
  </r>
  <r>
    <n v="11308459"/>
    <d v="2025-02-10T09:57:21"/>
    <s v="NÃO"/>
    <x v="7"/>
    <x v="2"/>
    <s v="google - cpc"/>
    <s v="São Paulo - SP"/>
    <x v="3"/>
    <x v="6"/>
    <n v="0"/>
  </r>
  <r>
    <n v="11333960"/>
    <d v="2025-02-12T10:07:11"/>
    <s v="NÃO"/>
    <x v="7"/>
    <x v="2"/>
    <s v="google - cpc"/>
    <s v="São Paulo - SP"/>
    <x v="0"/>
    <x v="0"/>
    <n v="0"/>
  </r>
  <r>
    <n v="11344134"/>
    <d v="2025-02-13T10:06:00"/>
    <s v="NÃO"/>
    <x v="7"/>
    <x v="2"/>
    <s v="google - cpc"/>
    <s v="Campo Grande - MS"/>
    <x v="3"/>
    <x v="3"/>
    <n v="0"/>
  </r>
  <r>
    <n v="11330139"/>
    <d v="2025-02-11T17:34:25"/>
    <s v="NÃO"/>
    <x v="7"/>
    <x v="2"/>
    <s v="google - cpc"/>
    <s v="Rio de Janeiro - RJ"/>
    <x v="3"/>
    <x v="0"/>
    <n v="0"/>
  </r>
  <r>
    <n v="11347272"/>
    <d v="2025-02-14T15:47:03"/>
    <s v="NÃO"/>
    <x v="7"/>
    <x v="2"/>
    <s v="google - cpc"/>
    <s v="Manaus - AM"/>
    <x v="0"/>
    <x v="0"/>
    <n v="0"/>
  </r>
  <r>
    <n v="11347944"/>
    <d v="2025-02-14T20:35:29"/>
    <s v="NÃO"/>
    <x v="7"/>
    <x v="2"/>
    <s v="google - cpc"/>
    <s v="João Pessoa - PB"/>
    <x v="3"/>
    <x v="0"/>
    <n v="0"/>
  </r>
  <r>
    <n v="11348225"/>
    <d v="2025-02-14T22:56:12"/>
    <s v="NÃO"/>
    <x v="7"/>
    <x v="2"/>
    <s v="google - cpc"/>
    <s v="Florianópolis - SC"/>
    <x v="3"/>
    <x v="0"/>
    <n v="0"/>
  </r>
  <r>
    <n v="11225044"/>
    <d v="2025-02-02T15:27:36"/>
    <s v="NÃO"/>
    <x v="7"/>
    <x v="2"/>
    <s v="google - cpc"/>
    <s v="Rio de Janeiro - RJ"/>
    <x v="3"/>
    <x v="4"/>
    <n v="0"/>
  </r>
  <r>
    <n v="11268960"/>
    <d v="2025-02-06T12:06:05"/>
    <s v="NÃO"/>
    <x v="7"/>
    <x v="2"/>
    <s v="google - cpc"/>
    <s v="João Pessoa - PB"/>
    <x v="3"/>
    <x v="0"/>
    <n v="0"/>
  </r>
  <r>
    <n v="11271430"/>
    <d v="2025-02-07T11:39:12"/>
    <s v="NÃO"/>
    <x v="7"/>
    <x v="2"/>
    <s v="google - cpc"/>
    <s v="Fortaleza - CE"/>
    <x v="3"/>
    <x v="6"/>
    <n v="0"/>
  </r>
  <r>
    <n v="11010709"/>
    <d v="2025-01-16T22:40:10"/>
    <s v="NÃO"/>
    <x v="7"/>
    <x v="2"/>
    <s v="google - cpc"/>
    <s v="Governador Valadares - MG"/>
    <x v="3"/>
    <x v="4"/>
    <n v="0"/>
  </r>
  <r>
    <n v="11012688"/>
    <d v="2025-01-17T20:45:40"/>
    <s v="NÃO"/>
    <x v="7"/>
    <x v="2"/>
    <s v="google - cpc"/>
    <s v="Varginha - MG"/>
    <x v="0"/>
    <x v="0"/>
    <n v="0"/>
  </r>
  <r>
    <n v="10967086"/>
    <d v="2025-01-13T16:14:31"/>
    <s v="NÃO"/>
    <x v="7"/>
    <x v="2"/>
    <s v="google - cpc"/>
    <s v="São Paulo - SP"/>
    <x v="0"/>
    <x v="0"/>
    <n v="0"/>
  </r>
  <r>
    <n v="10961452"/>
    <d v="2025-01-13T11:52:59"/>
    <s v="NÃO"/>
    <x v="7"/>
    <x v="2"/>
    <s v="google - cpc"/>
    <s v="Pato Branco - PR"/>
    <x v="3"/>
    <x v="2"/>
    <n v="0"/>
  </r>
  <r>
    <n v="10999282"/>
    <d v="2025-01-15T12:12:43"/>
    <s v="NÃO"/>
    <x v="7"/>
    <x v="2"/>
    <s v="google - cpc"/>
    <s v="São Paulo - SP"/>
    <x v="3"/>
    <x v="0"/>
    <n v="0"/>
  </r>
  <r>
    <n v="11000643"/>
    <d v="2025-01-15T14:04:39"/>
    <s v="NÃO"/>
    <x v="7"/>
    <x v="2"/>
    <s v="google - cpc"/>
    <s v="Conceicao do Coite - BA"/>
    <x v="3"/>
    <x v="5"/>
    <n v="0"/>
  </r>
  <r>
    <n v="11001069"/>
    <d v="2025-01-15T14:24:17"/>
    <s v="NÃO"/>
    <x v="7"/>
    <x v="2"/>
    <s v="google - cpc"/>
    <s v="Recife - PE"/>
    <x v="3"/>
    <x v="0"/>
    <n v="0"/>
  </r>
  <r>
    <n v="10766163"/>
    <d v="2024-12-18T02:13:54"/>
    <s v="NÃO"/>
    <x v="7"/>
    <x v="2"/>
    <s v="google - cpc"/>
    <s v="São Paulo - SP"/>
    <x v="3"/>
    <x v="0"/>
    <n v="0"/>
  </r>
  <r>
    <n v="10742848"/>
    <d v="2024-12-16T11:51:44"/>
    <s v="NÃO"/>
    <x v="7"/>
    <x v="2"/>
    <s v="google - cpc"/>
    <s v="Teresina - PI"/>
    <x v="0"/>
    <x v="5"/>
    <n v="0"/>
  </r>
  <r>
    <n v="10745945"/>
    <d v="2024-12-16T14:09:28"/>
    <s v="NÃO"/>
    <x v="7"/>
    <x v="2"/>
    <s v="google - cpc"/>
    <s v="Francisco Beltrão - PR"/>
    <x v="3"/>
    <x v="2"/>
    <n v="0"/>
  </r>
  <r>
    <n v="10747062"/>
    <d v="2024-12-16T15:17:18"/>
    <s v="NÃO"/>
    <x v="7"/>
    <x v="2"/>
    <s v="google - cpc"/>
    <s v="Brasília - DF"/>
    <x v="3"/>
    <x v="0"/>
    <n v="0"/>
  </r>
  <r>
    <n v="11312751"/>
    <d v="2025-02-10T14:11:29"/>
    <s v="NÃO"/>
    <x v="7"/>
    <x v="2"/>
    <s v="google - cpc"/>
    <s v="Rio de Janeiro - RJ"/>
    <x v="3"/>
    <x v="4"/>
    <n v="0"/>
  </r>
  <r>
    <n v="11617904"/>
    <d v="2025-03-12T00:07:52"/>
    <s v="NÃO"/>
    <x v="7"/>
    <x v="2"/>
    <s v="google - cpc"/>
    <s v="Florianópolis - SC"/>
    <x v="1"/>
    <x v="0"/>
    <n v="0"/>
  </r>
  <r>
    <n v="11621193"/>
    <d v="2025-03-12T10:16:24"/>
    <s v="NÃO"/>
    <x v="7"/>
    <x v="2"/>
    <s v="google - cpc"/>
    <s v="Luisburgo - MG"/>
    <x v="3"/>
    <x v="0"/>
    <n v="0"/>
  </r>
  <r>
    <n v="11622531"/>
    <d v="2025-03-12T11:08:47"/>
    <s v="NÃO"/>
    <x v="7"/>
    <x v="2"/>
    <s v="google - cpc"/>
    <s v="Maceió - AL"/>
    <x v="3"/>
    <x v="5"/>
    <n v="0"/>
  </r>
  <r>
    <n v="11612211"/>
    <d v="2025-03-11T13:08:23"/>
    <s v="NÃO"/>
    <x v="7"/>
    <x v="2"/>
    <s v="google - cpc"/>
    <s v="Jaboatao dos Guararapes - PE"/>
    <x v="3"/>
    <x v="0"/>
    <n v="0"/>
  </r>
  <r>
    <n v="11601342"/>
    <d v="2025-03-10T14:30:11"/>
    <s v="NÃO"/>
    <x v="7"/>
    <x v="2"/>
    <s v="google - cpc"/>
    <s v="Belo Horizonte - MG"/>
    <x v="3"/>
    <x v="4"/>
    <n v="0"/>
  </r>
  <r>
    <n v="11604471"/>
    <d v="2025-03-10T17:07:49"/>
    <s v="NÃO"/>
    <x v="7"/>
    <x v="2"/>
    <s v="google - cpc"/>
    <s v="Jaraguá do Sul - SC"/>
    <x v="3"/>
    <x v="0"/>
    <n v="0"/>
  </r>
  <r>
    <n v="11609072"/>
    <d v="2025-03-11T09:43:01"/>
    <s v="NÃO"/>
    <x v="7"/>
    <x v="2"/>
    <s v="google - cpc"/>
    <s v="Para de Minas - MG"/>
    <x v="3"/>
    <x v="3"/>
    <n v="0"/>
  </r>
  <r>
    <n v="11631802"/>
    <d v="2025-03-13T12:53:40"/>
    <s v="NÃO"/>
    <x v="7"/>
    <x v="2"/>
    <s v="google - cpc"/>
    <s v="Nova Iguaçu - RJ"/>
    <x v="0"/>
    <x v="0"/>
    <n v="0"/>
  </r>
  <r>
    <n v="11632799"/>
    <d v="2025-03-13T19:35:06"/>
    <s v="NÃO"/>
    <x v="7"/>
    <x v="2"/>
    <s v="google - cpc"/>
    <s v="São Paulo - SP"/>
    <x v="3"/>
    <x v="5"/>
    <n v="0"/>
  </r>
  <r>
    <n v="11632836"/>
    <d v="2025-03-13T19:52:34"/>
    <s v="NÃO"/>
    <x v="7"/>
    <x v="2"/>
    <s v="google - cpc"/>
    <s v="São Paulo - SP"/>
    <x v="3"/>
    <x v="0"/>
    <n v="0"/>
  </r>
  <r>
    <n v="11634514"/>
    <d v="2025-03-14T13:23:27"/>
    <s v="NÃO"/>
    <x v="7"/>
    <x v="2"/>
    <s v="google - cpc"/>
    <s v="Gravatá - PE"/>
    <x v="0"/>
    <x v="3"/>
    <n v="0"/>
  </r>
  <r>
    <n v="11629601"/>
    <d v="2025-03-12T18:06:28"/>
    <s v="NÃO"/>
    <x v="7"/>
    <x v="2"/>
    <s v="google - cpc"/>
    <s v="Curitiba - PR"/>
    <x v="0"/>
    <x v="0"/>
    <n v="0"/>
  </r>
  <r>
    <n v="11718354"/>
    <d v="2025-03-22T13:30:37"/>
    <s v="NÃO"/>
    <x v="7"/>
    <x v="2"/>
    <s v="google - cpc"/>
    <s v="Guarulhos - SP"/>
    <x v="3"/>
    <x v="0"/>
    <n v="0"/>
  </r>
  <r>
    <n v="11668066"/>
    <d v="2025-03-17T10:21:05"/>
    <s v="NÃO"/>
    <x v="7"/>
    <x v="2"/>
    <s v="google - cpc"/>
    <s v="Taubate - SP"/>
    <x v="1"/>
    <x v="5"/>
    <n v="0"/>
  </r>
  <r>
    <n v="11669920"/>
    <d v="2025-03-17T11:33:47"/>
    <s v="NÃO"/>
    <x v="7"/>
    <x v="2"/>
    <s v="google - cpc"/>
    <s v="Recife - PE"/>
    <x v="0"/>
    <x v="0"/>
    <n v="0"/>
  </r>
  <r>
    <n v="11670354"/>
    <d v="2025-03-17T12:07:26"/>
    <s v="NÃO"/>
    <x v="7"/>
    <x v="2"/>
    <s v="google - cpc"/>
    <s v="Nova Santa Rita - RS"/>
    <x v="0"/>
    <x v="3"/>
    <n v="0"/>
  </r>
  <r>
    <n v="11664229"/>
    <d v="2025-03-16T20:07:08"/>
    <s v="NÃO"/>
    <x v="7"/>
    <x v="2"/>
    <s v="google - cpc"/>
    <s v="São Paulo - SP"/>
    <x v="0"/>
    <x v="0"/>
    <n v="0"/>
  </r>
  <r>
    <n v="11256419"/>
    <d v="2025-02-05T09:23:53"/>
    <s v="NÃO"/>
    <x v="7"/>
    <x v="3"/>
    <s v="linkedin - cpc"/>
    <s v="São Paulo - SP"/>
    <x v="3"/>
    <x v="3"/>
    <n v="0"/>
  </r>
  <r>
    <n v="11348055"/>
    <d v="2025-02-14T21:33:15"/>
    <s v="NÃO"/>
    <x v="7"/>
    <x v="7"/>
    <s v="instagram - social"/>
    <s v="Apodi - RN"/>
    <x v="3"/>
    <x v="0"/>
    <n v="0"/>
  </r>
  <r>
    <n v="11348066"/>
    <d v="2025-02-14T21:39:41"/>
    <s v="NÃO"/>
    <x v="7"/>
    <x v="7"/>
    <s v="instagram - social"/>
    <s v="Fortaleza - CE"/>
    <x v="3"/>
    <x v="0"/>
    <n v="0"/>
  </r>
  <r>
    <n v="11348071"/>
    <d v="2025-02-14T21:41:21"/>
    <s v="NÃO"/>
    <x v="7"/>
    <x v="7"/>
    <s v="instagram - social"/>
    <s v="Macapá - AP"/>
    <x v="3"/>
    <x v="0"/>
    <n v="0"/>
  </r>
  <r>
    <n v="11348115"/>
    <d v="2025-02-14T22:02:40"/>
    <s v="NÃO"/>
    <x v="7"/>
    <x v="7"/>
    <s v="instagram - social"/>
    <s v="São José dos Campos - SP"/>
    <x v="3"/>
    <x v="4"/>
    <n v="0"/>
  </r>
  <r>
    <n v="11348193"/>
    <d v="2025-02-14T22:36:38"/>
    <s v="NÃO"/>
    <x v="7"/>
    <x v="7"/>
    <s v="instagram - social"/>
    <s v="Franca - SP"/>
    <x v="3"/>
    <x v="0"/>
    <n v="0"/>
  </r>
  <r>
    <n v="11348291"/>
    <d v="2025-02-14T23:33:57"/>
    <s v="NÃO"/>
    <x v="7"/>
    <x v="7"/>
    <s v="instagram - social"/>
    <s v="Caucaia - CE"/>
    <x v="3"/>
    <x v="2"/>
    <n v="0"/>
  </r>
  <r>
    <n v="11607995"/>
    <d v="2025-03-11T08:06:20"/>
    <s v="NÃO"/>
    <x v="7"/>
    <x v="6"/>
    <s v="bing - cpc"/>
    <s v="Porto Alegre - RS"/>
    <x v="3"/>
    <x v="0"/>
    <n v="0"/>
  </r>
  <r>
    <n v="11817966"/>
    <d v="2025-03-30T10:12:13"/>
    <s v="NÃO"/>
    <x v="7"/>
    <x v="6"/>
    <s v="bing - cpc"/>
    <s v="São Paulo - SP"/>
    <x v="3"/>
    <x v="0"/>
    <n v="0"/>
  </r>
  <r>
    <n v="11818002"/>
    <d v="2025-03-30T10:14:38"/>
    <s v="NÃO"/>
    <x v="7"/>
    <x v="6"/>
    <s v="bing - cpc"/>
    <s v="São Paulo - SP"/>
    <x v="3"/>
    <x v="0"/>
    <n v="0"/>
  </r>
  <r>
    <n v="11851375"/>
    <d v="2025-04-01T17:17:00"/>
    <s v="NÃO"/>
    <x v="7"/>
    <x v="6"/>
    <s v="bing - cpc"/>
    <s v="São Paulo - SP"/>
    <x v="3"/>
    <x v="5"/>
    <n v="0"/>
  </r>
  <r>
    <n v="11660141"/>
    <d v="2025-03-16T15:26:52"/>
    <s v="NÃO"/>
    <x v="7"/>
    <x v="6"/>
    <s v="bing - cpc"/>
    <s v="Vitória - ES"/>
    <x v="3"/>
    <x v="4"/>
    <n v="0"/>
  </r>
  <r>
    <n v="11543436"/>
    <d v="2025-03-04T21:53:02"/>
    <s v="NÃO"/>
    <x v="7"/>
    <x v="6"/>
    <s v="bing - cpc"/>
    <s v="Simoes Filho - BA"/>
    <x v="3"/>
    <x v="0"/>
    <n v="0"/>
  </r>
  <r>
    <n v="11407860"/>
    <d v="2025-02-20T17:41:33"/>
    <s v="NÃO"/>
    <x v="7"/>
    <x v="6"/>
    <s v="bing - cpc"/>
    <s v="Rio de Janeiro - RJ"/>
    <x v="0"/>
    <x v="0"/>
    <n v="0"/>
  </r>
  <r>
    <n v="11465990"/>
    <d v="2025-02-25T16:53:44"/>
    <s v="NÃO"/>
    <x v="7"/>
    <x v="6"/>
    <s v="bing - cpc"/>
    <s v="Capao da Canoa - RS"/>
    <x v="3"/>
    <x v="3"/>
    <n v="0"/>
  </r>
  <r>
    <n v="11345590"/>
    <d v="2025-02-13T18:47:11"/>
    <s v="NÃO"/>
    <x v="7"/>
    <x v="6"/>
    <s v="bing - cpc"/>
    <s v="Cotia - SP"/>
    <x v="3"/>
    <x v="0"/>
    <n v="0"/>
  </r>
  <r>
    <n v="11391351"/>
    <d v="2025-02-18T15:26:36"/>
    <s v="NÃO"/>
    <x v="7"/>
    <x v="6"/>
    <s v="bing - cpc"/>
    <s v="Rio de Janeiro - RJ"/>
    <x v="0"/>
    <x v="0"/>
    <n v="0"/>
  </r>
  <r>
    <n v="11284380"/>
    <d v="2025-02-08T15:41:10"/>
    <s v="NÃO"/>
    <x v="7"/>
    <x v="6"/>
    <s v="bing - cpc"/>
    <s v="Formosa - GO"/>
    <x v="0"/>
    <x v="0"/>
    <n v="0"/>
  </r>
  <r>
    <n v="11092543"/>
    <d v="2025-01-23T12:21:47"/>
    <s v="NÃO"/>
    <x v="7"/>
    <x v="6"/>
    <s v="bing - cpc"/>
    <s v="Criciúma - SC"/>
    <x v="3"/>
    <x v="0"/>
    <n v="0"/>
  </r>
  <r>
    <n v="11094076"/>
    <d v="2025-01-24T00:17:44"/>
    <s v="NÃO"/>
    <x v="7"/>
    <x v="6"/>
    <s v="bing - cpc"/>
    <s v="Governador Valadares - MG"/>
    <x v="0"/>
    <x v="3"/>
    <n v="0"/>
  </r>
  <r>
    <n v="11183749"/>
    <d v="2025-01-29T16:37:16"/>
    <s v="NÃO"/>
    <x v="7"/>
    <x v="6"/>
    <s v="bing - cpc"/>
    <s v="Sorocaba - SP"/>
    <x v="0"/>
    <x v="0"/>
    <n v="0"/>
  </r>
  <r>
    <n v="11194335"/>
    <d v="2025-01-30T09:46:38"/>
    <s v="NÃO"/>
    <x v="7"/>
    <x v="6"/>
    <s v="bing - cpc"/>
    <s v="Alagoinhas - BA"/>
    <x v="3"/>
    <x v="5"/>
    <n v="0"/>
  </r>
  <r>
    <n v="10954754"/>
    <d v="2025-01-12T21:13:39"/>
    <s v="NÃO"/>
    <x v="7"/>
    <x v="6"/>
    <s v="bing - cpc"/>
    <s v="Uberlândia - MG"/>
    <x v="1"/>
    <x v="0"/>
    <n v="0"/>
  </r>
  <r>
    <n v="11008827"/>
    <d v="2025-01-16T09:49:47"/>
    <s v="NÃO"/>
    <x v="7"/>
    <x v="6"/>
    <s v="bing - cpc"/>
    <s v="Fortaleza - CE"/>
    <x v="0"/>
    <x v="0"/>
    <n v="0"/>
  </r>
  <r>
    <n v="11715359"/>
    <d v="2025-03-22T10:43:54"/>
    <s v="NÃO"/>
    <x v="7"/>
    <x v="5"/>
    <s v="youtube - cpc"/>
    <s v="São Paulo - SP"/>
    <x v="3"/>
    <x v="4"/>
    <n v="0"/>
  </r>
  <r>
    <n v="11630850"/>
    <d v="2025-03-13T06:33:04"/>
    <s v="NÃO"/>
    <x v="7"/>
    <x v="5"/>
    <s v="youtube - cpc"/>
    <s v="Campina Grande - PB"/>
    <x v="3"/>
    <x v="4"/>
    <n v="0"/>
  </r>
  <r>
    <n v="11496682"/>
    <d v="2025-03-01T17:01:41"/>
    <s v="NÃO"/>
    <x v="7"/>
    <x v="5"/>
    <s v="youtube - cpc"/>
    <s v="Belo Horizonte - MG"/>
    <x v="3"/>
    <x v="4"/>
    <n v="0"/>
  </r>
  <r>
    <n v="11483552"/>
    <d v="2025-02-28T11:08:57"/>
    <s v="NÃO"/>
    <x v="7"/>
    <x v="5"/>
    <s v="youtube - cpc"/>
    <s v="Poços de Caldas - MG"/>
    <x v="1"/>
    <x v="4"/>
    <n v="0"/>
  </r>
  <r>
    <n v="11607873"/>
    <d v="2025-03-11T07:10:09"/>
    <s v="NÃO"/>
    <x v="7"/>
    <x v="5"/>
    <s v="youtube - cpc"/>
    <s v="Goiânia - GO"/>
    <x v="0"/>
    <x v="0"/>
    <n v="0"/>
  </r>
  <r>
    <n v="11694919"/>
    <d v="2025-03-19T00:28:21"/>
    <s v="NÃO"/>
    <x v="7"/>
    <x v="5"/>
    <s v="youtube - social"/>
    <s v="Francisco Beltrão - PR"/>
    <x v="3"/>
    <x v="4"/>
    <n v="0"/>
  </r>
  <r>
    <n v="11856048"/>
    <d v="2025-04-02T22:03:29"/>
    <s v="NÃO"/>
    <x v="7"/>
    <x v="5"/>
    <s v="youtube - cpc"/>
    <s v="Fortaleza - CE"/>
    <x v="0"/>
    <x v="5"/>
    <n v="0"/>
  </r>
  <r>
    <n v="11300762"/>
    <d v="2025-02-09T15:01:30"/>
    <s v="NÃO"/>
    <x v="7"/>
    <x v="5"/>
    <s v="youtube - cpc"/>
    <s v="Bacabal - MA"/>
    <x v="0"/>
    <x v="4"/>
    <n v="0"/>
  </r>
  <r>
    <n v="11708055"/>
    <d v="2025-03-20T13:31:37"/>
    <s v="NÃO"/>
    <x v="7"/>
    <x v="5"/>
    <s v="youtube - cpc"/>
    <s v="São Bernardo do Campo - SP"/>
    <x v="3"/>
    <x v="6"/>
    <n v="0"/>
  </r>
  <r>
    <n v="11345411"/>
    <d v="2025-02-13T17:15:02"/>
    <s v="NÃO"/>
    <x v="7"/>
    <x v="5"/>
    <s v="youtube - cpc"/>
    <s v="Rio Branco - AC"/>
    <x v="3"/>
    <x v="0"/>
    <n v="0"/>
  </r>
  <r>
    <n v="11347478"/>
    <d v="2025-02-14T17:04:29"/>
    <s v="NÃO"/>
    <x v="7"/>
    <x v="5"/>
    <s v="youtube - cpc"/>
    <s v="-"/>
    <x v="3"/>
    <x v="4"/>
    <n v="0"/>
  </r>
  <r>
    <n v="11382988"/>
    <d v="2025-02-18T07:41:48"/>
    <s v="NÃO"/>
    <x v="7"/>
    <x v="5"/>
    <s v="youtube - cpc"/>
    <s v="Belém - PA"/>
    <x v="0"/>
    <x v="0"/>
    <n v="0"/>
  </r>
  <r>
    <n v="11396053"/>
    <d v="2025-02-19T06:54:17"/>
    <s v="NÃO"/>
    <x v="7"/>
    <x v="5"/>
    <s v="youtube - cpc"/>
    <s v="Praia Grande - SP"/>
    <x v="3"/>
    <x v="4"/>
    <n v="0"/>
  </r>
  <r>
    <n v="11408282"/>
    <d v="2025-02-20T22:06:13"/>
    <s v="NÃO"/>
    <x v="7"/>
    <x v="5"/>
    <s v="youtube - cpc"/>
    <s v="Palmas - TO"/>
    <x v="3"/>
    <x v="0"/>
    <n v="0"/>
  </r>
  <r>
    <n v="11408945"/>
    <d v="2025-02-21T10:16:32"/>
    <s v="NÃO"/>
    <x v="7"/>
    <x v="5"/>
    <s v="youtube - cpc"/>
    <s v="São José dos Campos - SP"/>
    <x v="3"/>
    <x v="4"/>
    <n v="0"/>
  </r>
  <r>
    <n v="10721281"/>
    <d v="2024-12-14T16:33:04"/>
    <s v="NÃO"/>
    <x v="7"/>
    <x v="2"/>
    <s v="google - cpc"/>
    <s v="Marica - RJ"/>
    <x v="3"/>
    <x v="4"/>
    <n v="0"/>
  </r>
  <r>
    <n v="10722962"/>
    <d v="2024-12-14T17:44:21"/>
    <s v="NÃO"/>
    <x v="7"/>
    <x v="2"/>
    <s v="google - cpc"/>
    <s v="Salvador - BA"/>
    <x v="3"/>
    <x v="0"/>
    <n v="0"/>
  </r>
  <r>
    <n v="10724692"/>
    <d v="2024-12-14T23:40:02"/>
    <s v="NÃO"/>
    <x v="7"/>
    <x v="2"/>
    <s v="google - cpc"/>
    <s v="Brasília - DF"/>
    <x v="3"/>
    <x v="5"/>
    <n v="0"/>
  </r>
  <r>
    <n v="10704307"/>
    <d v="2024-12-12T22:44:28"/>
    <s v="NÃO"/>
    <x v="7"/>
    <x v="2"/>
    <s v="google - cpc"/>
    <s v="Fortaleza - CE"/>
    <x v="0"/>
    <x v="0"/>
    <n v="0"/>
  </r>
  <r>
    <n v="10705066"/>
    <d v="2024-12-13T11:11:52"/>
    <s v="NÃO"/>
    <x v="7"/>
    <x v="2"/>
    <s v="google - cpc"/>
    <s v="Florianópolis - SC"/>
    <x v="0"/>
    <x v="0"/>
    <n v="0"/>
  </r>
  <r>
    <n v="10705414"/>
    <d v="2024-12-13T15:08:09"/>
    <s v="NÃO"/>
    <x v="7"/>
    <x v="2"/>
    <s v="google - cpc"/>
    <s v="São Paulo - SP"/>
    <x v="1"/>
    <x v="0"/>
    <n v="0"/>
  </r>
  <r>
    <n v="10698064"/>
    <d v="2024-12-11T15:30:51"/>
    <s v="NÃO"/>
    <x v="7"/>
    <x v="2"/>
    <s v="google - cpc"/>
    <s v="Rio de Janeiro - RJ"/>
    <x v="3"/>
    <x v="0"/>
    <n v="0"/>
  </r>
  <r>
    <n v="11626985"/>
    <d v="2025-03-12T14:53:06"/>
    <s v="NÃO"/>
    <x v="7"/>
    <x v="7"/>
    <s v="instagram - social"/>
    <s v="Canoas - RS"/>
    <x v="3"/>
    <x v="5"/>
    <n v="0"/>
  </r>
  <r>
    <n v="11617902"/>
    <d v="2025-03-12T00:06:26"/>
    <s v="NÃO"/>
    <x v="7"/>
    <x v="7"/>
    <s v="instagram - social"/>
    <s v="Parnamirim - RN"/>
    <x v="3"/>
    <x v="0"/>
    <n v="0"/>
  </r>
  <r>
    <n v="11617974"/>
    <d v="2025-03-12T00:53:17"/>
    <s v="NÃO"/>
    <x v="7"/>
    <x v="7"/>
    <s v="instagram - social"/>
    <s v="Goias - GO"/>
    <x v="3"/>
    <x v="4"/>
    <n v="0"/>
  </r>
  <r>
    <n v="11618283"/>
    <d v="2025-03-12T06:53:05"/>
    <s v="NÃO"/>
    <x v="7"/>
    <x v="7"/>
    <s v="instagram - social"/>
    <s v="Fortaleza - CE"/>
    <x v="3"/>
    <x v="2"/>
    <n v="0"/>
  </r>
  <r>
    <n v="11111175"/>
    <d v="2025-01-25T17:47:22"/>
    <s v="NÃO"/>
    <x v="7"/>
    <x v="9"/>
    <s v="leads - email"/>
    <s v="Vila Velha - ES"/>
    <x v="1"/>
    <x v="0"/>
    <n v="0"/>
  </r>
  <r>
    <n v="11112751"/>
    <d v="2025-01-26T00:27:25"/>
    <s v="NÃO"/>
    <x v="7"/>
    <x v="9"/>
    <s v="leads - email"/>
    <s v="São Paulo - SP"/>
    <x v="3"/>
    <x v="5"/>
    <n v="0"/>
  </r>
  <r>
    <n v="10791477"/>
    <d v="2024-12-21T16:03:54"/>
    <s v="NÃO"/>
    <x v="7"/>
    <x v="9"/>
    <s v="leads - email"/>
    <s v="Sorocaba - SP"/>
    <x v="3"/>
    <x v="4"/>
    <n v="0"/>
  </r>
  <r>
    <n v="10791560"/>
    <d v="2024-12-21T16:14:01"/>
    <s v="NÃO"/>
    <x v="7"/>
    <x v="9"/>
    <s v="leads - email"/>
    <s v="Contagem - MG"/>
    <x v="0"/>
    <x v="0"/>
    <n v="0"/>
  </r>
  <r>
    <n v="10794152"/>
    <d v="2024-12-21T20:04:33"/>
    <s v="NÃO"/>
    <x v="7"/>
    <x v="9"/>
    <s v="leads - email"/>
    <s v="Pelotas - RS"/>
    <x v="3"/>
    <x v="2"/>
    <n v="0"/>
  </r>
  <r>
    <n v="10796317"/>
    <d v="2024-12-22T09:54:47"/>
    <s v="NÃO"/>
    <x v="7"/>
    <x v="9"/>
    <s v="leads - email"/>
    <s v="Jundiaí - SP"/>
    <x v="3"/>
    <x v="0"/>
    <n v="0"/>
  </r>
  <r>
    <n v="11282991"/>
    <d v="2025-02-08T15:01:37"/>
    <s v="NÃO"/>
    <x v="7"/>
    <x v="9"/>
    <s v="leads - email"/>
    <s v="Duque de Caxias - RJ"/>
    <x v="3"/>
    <x v="6"/>
    <n v="0"/>
  </r>
  <r>
    <n v="11284023"/>
    <d v="2025-02-08T15:23:30"/>
    <s v="NÃO"/>
    <x v="7"/>
    <x v="9"/>
    <s v="leads - email"/>
    <s v="Florianópolis - SC"/>
    <x v="3"/>
    <x v="0"/>
    <n v="0"/>
  </r>
  <r>
    <n v="11070606"/>
    <d v="2025-01-21T13:57:13"/>
    <s v="NÃO"/>
    <x v="5"/>
    <x v="1"/>
    <n v="0"/>
    <s v="-"/>
    <x v="2"/>
    <x v="1"/>
    <n v="0"/>
  </r>
  <r>
    <n v="11071869"/>
    <d v="2025-01-21T14:52:50"/>
    <s v="NÃO"/>
    <x v="5"/>
    <x v="1"/>
    <n v="0"/>
    <s v="-"/>
    <x v="2"/>
    <x v="1"/>
    <n v="0"/>
  </r>
  <r>
    <n v="11068504"/>
    <d v="2025-01-21T11:12:54"/>
    <s v="NÃO"/>
    <x v="5"/>
    <x v="1"/>
    <n v="0"/>
    <s v="-"/>
    <x v="2"/>
    <x v="1"/>
    <n v="0"/>
  </r>
  <r>
    <n v="11599703"/>
    <d v="2025-03-10T12:09:51"/>
    <s v="NÃO"/>
    <x v="5"/>
    <x v="1"/>
    <n v="0"/>
    <s v="-"/>
    <x v="2"/>
    <x v="1"/>
    <n v="0"/>
  </r>
  <r>
    <n v="11344704"/>
    <d v="2025-02-13T13:36:01"/>
    <s v="NÃO"/>
    <x v="5"/>
    <x v="4"/>
    <s v="facebook - cpc"/>
    <s v="Brasília - DF"/>
    <x v="0"/>
    <x v="2"/>
    <n v="0"/>
  </r>
  <r>
    <n v="11264792"/>
    <d v="2025-02-05T16:01:11"/>
    <s v="NÃO"/>
    <x v="5"/>
    <x v="0"/>
    <n v="0"/>
    <s v="Blumenau - SC"/>
    <x v="3"/>
    <x v="4"/>
    <n v="0"/>
  </r>
  <r>
    <n v="11933972"/>
    <d v="2025-04-09T16:06:37"/>
    <s v="NÃO"/>
    <x v="5"/>
    <x v="2"/>
    <n v="0"/>
    <s v="Passo Fundo - RS"/>
    <x v="1"/>
    <x v="1"/>
    <n v="0"/>
  </r>
  <r>
    <n v="11290065"/>
    <d v="2025-02-08T17:52:40"/>
    <s v="NÃO"/>
    <x v="5"/>
    <x v="0"/>
    <n v="0"/>
    <s v="Uberlândia - MG"/>
    <x v="3"/>
    <x v="4"/>
    <n v="0"/>
  </r>
  <r>
    <n v="11334533"/>
    <d v="2025-02-12T10:39:17"/>
    <s v="NÃO"/>
    <x v="5"/>
    <x v="0"/>
    <n v="0"/>
    <s v="-"/>
    <x v="1"/>
    <x v="0"/>
    <n v="0"/>
  </r>
  <r>
    <n v="11346530"/>
    <d v="2025-02-14T08:59:18"/>
    <s v="NÃO"/>
    <x v="5"/>
    <x v="0"/>
    <n v="0"/>
    <s v="Rio Preto - SP"/>
    <x v="0"/>
    <x v="0"/>
    <n v="0"/>
  </r>
  <r>
    <n v="11421234"/>
    <d v="2025-02-22T14:40:00"/>
    <s v="NÃO"/>
    <x v="5"/>
    <x v="0"/>
    <n v="0"/>
    <s v="-"/>
    <x v="1"/>
    <x v="3"/>
    <n v="0"/>
  </r>
  <r>
    <n v="11715844"/>
    <d v="2025-03-22T10:56:10"/>
    <s v="NÃO"/>
    <x v="5"/>
    <x v="0"/>
    <n v="0"/>
    <s v="Campo Grande - MS"/>
    <x v="3"/>
    <x v="0"/>
    <n v="0"/>
  </r>
  <r>
    <n v="11724450"/>
    <d v="2025-03-22T17:53:28"/>
    <s v="NÃO"/>
    <x v="5"/>
    <x v="0"/>
    <n v="0"/>
    <s v="São Paulo - SP"/>
    <x v="0"/>
    <x v="0"/>
    <n v="0"/>
  </r>
  <r>
    <n v="11461300"/>
    <d v="2025-02-25T14:23:06"/>
    <s v="NÃO"/>
    <x v="5"/>
    <x v="0"/>
    <n v="0"/>
    <s v="São Paulo - SP"/>
    <x v="5"/>
    <x v="0"/>
    <n v="0"/>
  </r>
  <r>
    <n v="11445191"/>
    <d v="2025-02-24T10:57:29"/>
    <s v="NÃO"/>
    <x v="5"/>
    <x v="0"/>
    <n v="0"/>
    <s v="-"/>
    <x v="0"/>
    <x v="0"/>
    <n v="0"/>
  </r>
  <r>
    <n v="11453877"/>
    <d v="2025-02-24T22:19:37"/>
    <s v="NÃO"/>
    <x v="5"/>
    <x v="0"/>
    <n v="0"/>
    <s v="Rio de Janeiro - RJ"/>
    <x v="4"/>
    <x v="0"/>
    <n v="0"/>
  </r>
  <r>
    <n v="11520708"/>
    <d v="2025-03-03T14:52:06"/>
    <s v="NÃO"/>
    <x v="5"/>
    <x v="0"/>
    <n v="0"/>
    <s v="São Paulo - SP"/>
    <x v="0"/>
    <x v="0"/>
    <n v="0"/>
  </r>
  <r>
    <n v="11091695"/>
    <d v="2025-01-23T08:06:59"/>
    <s v="NÃO"/>
    <x v="5"/>
    <x v="0"/>
    <n v="0"/>
    <s v="Campos dos Goytacazes - RJ"/>
    <x v="0"/>
    <x v="0"/>
    <n v="0"/>
  </r>
  <r>
    <n v="11047536"/>
    <d v="2025-01-19T17:33:57"/>
    <s v="NÃO"/>
    <x v="5"/>
    <x v="0"/>
    <n v="0"/>
    <s v="Salvador - BA"/>
    <x v="3"/>
    <x v="3"/>
    <n v="0"/>
  </r>
  <r>
    <n v="10958736"/>
    <d v="2025-01-13T10:27:03"/>
    <s v="NÃO"/>
    <x v="5"/>
    <x v="0"/>
    <n v="0"/>
    <s v="Canela - RS"/>
    <x v="5"/>
    <x v="0"/>
    <n v="0"/>
  </r>
  <r>
    <n v="10961624"/>
    <d v="2025-01-13T12:07:45"/>
    <s v="NÃO"/>
    <x v="5"/>
    <x v="0"/>
    <n v="0"/>
    <s v="Paco do Lumiar - MA"/>
    <x v="3"/>
    <x v="3"/>
    <n v="0"/>
  </r>
  <r>
    <n v="10980224"/>
    <d v="2025-01-14T14:25:09"/>
    <s v="NÃO"/>
    <x v="5"/>
    <x v="0"/>
    <n v="0"/>
    <s v="Londrina - PR"/>
    <x v="0"/>
    <x v="0"/>
    <n v="0"/>
  </r>
  <r>
    <n v="10853591"/>
    <d v="2025-01-03T20:36:56"/>
    <s v="NÃO"/>
    <x v="5"/>
    <x v="0"/>
    <n v="0"/>
    <s v="São Paulo - SP"/>
    <x v="4"/>
    <x v="0"/>
    <n v="0"/>
  </r>
  <r>
    <n v="10919276"/>
    <d v="2025-01-08T19:03:29"/>
    <s v="NÃO"/>
    <x v="5"/>
    <x v="0"/>
    <n v="0"/>
    <s v="Santa Cruz de Salinas - MG"/>
    <x v="3"/>
    <x v="5"/>
    <n v="0"/>
  </r>
  <r>
    <n v="10640009"/>
    <d v="2024-12-07T17:14:40"/>
    <s v="NÃO"/>
    <x v="5"/>
    <x v="0"/>
    <n v="0"/>
    <s v="-"/>
    <x v="2"/>
    <x v="1"/>
    <n v="0"/>
  </r>
  <r>
    <n v="10676449"/>
    <d v="2024-12-09T18:57:29"/>
    <s v="NÃO"/>
    <x v="5"/>
    <x v="0"/>
    <n v="0"/>
    <s v="Tamboré - SP"/>
    <x v="0"/>
    <x v="0"/>
    <n v="0"/>
  </r>
  <r>
    <n v="10696938"/>
    <d v="2024-12-11T14:18:53"/>
    <s v="NÃO"/>
    <x v="5"/>
    <x v="0"/>
    <n v="0"/>
    <s v="Dois Vizinhos - PR"/>
    <x v="0"/>
    <x v="0"/>
    <n v="0"/>
  </r>
  <r>
    <n v="10705532"/>
    <d v="2024-12-13T16:16:13"/>
    <s v="NÃO"/>
    <x v="5"/>
    <x v="0"/>
    <n v="0"/>
    <s v="São Paulo - SP"/>
    <x v="4"/>
    <x v="4"/>
    <n v="0"/>
  </r>
  <r>
    <n v="10885182"/>
    <d v="2025-01-06T10:50:26"/>
    <s v="NÃO"/>
    <x v="5"/>
    <x v="0"/>
    <n v="0"/>
    <s v="Bento Gonçalves - RS"/>
    <x v="0"/>
    <x v="4"/>
    <n v="0"/>
  </r>
  <r>
    <n v="10913550"/>
    <d v="2025-01-08T13:46:16"/>
    <s v="NÃO"/>
    <x v="5"/>
    <x v="0"/>
    <n v="0"/>
    <s v="Londrina - PR"/>
    <x v="0"/>
    <x v="0"/>
    <n v="0"/>
  </r>
  <r>
    <n v="10964224"/>
    <d v="2025-01-13T14:34:32"/>
    <s v="NÃO"/>
    <x v="5"/>
    <x v="2"/>
    <s v="google - cpc"/>
    <s v="Foz do Iguaçu - PR"/>
    <x v="0"/>
    <x v="0"/>
    <n v="0"/>
  </r>
  <r>
    <n v="11023211"/>
    <d v="2025-01-18T14:51:13"/>
    <s v="NÃO"/>
    <x v="5"/>
    <x v="2"/>
    <s v="google - cpc"/>
    <s v="Macapá - AP"/>
    <x v="0"/>
    <x v="0"/>
    <n v="0"/>
  </r>
  <r>
    <n v="11311517"/>
    <d v="2025-02-10T13:08:58"/>
    <s v="NÃO"/>
    <x v="5"/>
    <x v="2"/>
    <s v="google - cpc"/>
    <s v="-"/>
    <x v="3"/>
    <x v="0"/>
    <n v="0"/>
  </r>
  <r>
    <n v="11581769"/>
    <d v="2025-03-09T10:16:12"/>
    <s v="NÃO"/>
    <x v="5"/>
    <x v="2"/>
    <s v="google - cpc"/>
    <s v="Curitiba - PR"/>
    <x v="1"/>
    <x v="0"/>
    <n v="0"/>
  </r>
  <r>
    <n v="11824982"/>
    <d v="2025-03-30T16:26:53"/>
    <s v="NÃO"/>
    <x v="5"/>
    <x v="8"/>
    <s v="rep - ximena-cubillos"/>
    <s v="Rio de Janeiro - RJ"/>
    <x v="1"/>
    <x v="0"/>
    <n v="0"/>
  </r>
  <r>
    <n v="11613507"/>
    <d v="2025-03-11T14:37:15"/>
    <s v="NÃO"/>
    <x v="5"/>
    <x v="2"/>
    <s v="google - cpc"/>
    <s v="Rio Preto - SP"/>
    <x v="1"/>
    <x v="6"/>
    <n v="0"/>
  </r>
  <r>
    <n v="11592974"/>
    <d v="2025-03-09T22:50:51"/>
    <s v="NÃO"/>
    <x v="5"/>
    <x v="2"/>
    <s v="google - cpc"/>
    <s v="Rio de Janeiro - RJ"/>
    <x v="1"/>
    <x v="6"/>
    <n v="0"/>
  </r>
  <r>
    <n v="11627077"/>
    <d v="2025-03-12T15:03:13"/>
    <s v="NÃO"/>
    <x v="5"/>
    <x v="2"/>
    <n v="0"/>
    <s v="-"/>
    <x v="2"/>
    <x v="1"/>
    <n v="0"/>
  </r>
  <r>
    <n v="11574073"/>
    <d v="2025-03-08T16:39:38"/>
    <s v="NÃO"/>
    <x v="5"/>
    <x v="4"/>
    <s v="facebook - cpc"/>
    <s v="Balneário Camboriú - SC"/>
    <x v="3"/>
    <x v="0"/>
    <n v="0"/>
  </r>
  <r>
    <n v="11643814"/>
    <d v="2025-03-15T14:31:33"/>
    <s v="NÃO"/>
    <x v="5"/>
    <x v="2"/>
    <s v="google - cpc"/>
    <s v="São Lourenço - MG"/>
    <x v="0"/>
    <x v="0"/>
    <n v="0"/>
  </r>
  <r>
    <n v="11740769"/>
    <d v="2025-03-24T10:06:17"/>
    <s v="NÃO"/>
    <x v="5"/>
    <x v="2"/>
    <s v="google - cpc"/>
    <s v="São Paulo - SP"/>
    <x v="0"/>
    <x v="6"/>
    <n v="0"/>
  </r>
  <r>
    <n v="11645505"/>
    <d v="2025-03-15T16:03:00"/>
    <s v="NÃO"/>
    <x v="5"/>
    <x v="10"/>
    <n v="0"/>
    <s v="-"/>
    <x v="0"/>
    <x v="0"/>
    <n v="0"/>
  </r>
  <r>
    <n v="11971167"/>
    <d v="2025-04-13T15:55:26"/>
    <s v="NÃO"/>
    <x v="5"/>
    <x v="2"/>
    <s v="google - cpc"/>
    <s v="São Paulo - SP"/>
    <x v="4"/>
    <x v="0"/>
    <n v="0"/>
  </r>
  <r>
    <n v="11937987"/>
    <d v="2025-04-10T07:22:28"/>
    <s v="NÃO"/>
    <x v="5"/>
    <x v="2"/>
    <s v="google - cpc"/>
    <s v="Campinas - SP"/>
    <x v="3"/>
    <x v="0"/>
    <n v="0"/>
  </r>
  <r>
    <n v="11942566"/>
    <d v="2025-04-12T01:01:36"/>
    <s v="NÃO"/>
    <x v="5"/>
    <x v="2"/>
    <s v="google - cpc"/>
    <s v="Campo Grande - MS"/>
    <x v="3"/>
    <x v="0"/>
    <n v="0"/>
  </r>
  <r>
    <n v="11993184"/>
    <d v="2025-04-14T19:49:21"/>
    <s v="NÃO"/>
    <x v="5"/>
    <x v="2"/>
    <s v="google - cpc"/>
    <s v="Rio de Janeiro - RJ"/>
    <x v="6"/>
    <x v="3"/>
    <n v="0"/>
  </r>
  <r>
    <n v="11999840"/>
    <d v="2025-04-15T13:05:46"/>
    <s v="NÃO"/>
    <x v="5"/>
    <x v="2"/>
    <s v="google - cpc"/>
    <s v="Ananindeua - PA"/>
    <x v="0"/>
    <x v="0"/>
    <n v="0"/>
  </r>
  <r>
    <n v="12015655"/>
    <d v="2025-04-16T14:50:30"/>
    <s v="NÃO"/>
    <x v="5"/>
    <x v="2"/>
    <s v="google - cpc"/>
    <s v="Fortaleza - CE"/>
    <x v="1"/>
    <x v="6"/>
    <n v="0"/>
  </r>
  <r>
    <n v="12019895"/>
    <d v="2025-04-16T19:38:57"/>
    <s v="NÃO"/>
    <x v="5"/>
    <x v="2"/>
    <s v="google - cpc"/>
    <s v="Niterói - RJ"/>
    <x v="0"/>
    <x v="0"/>
    <n v="0"/>
  </r>
  <r>
    <n v="12020519"/>
    <d v="2025-04-17T00:54:45"/>
    <s v="NÃO"/>
    <x v="5"/>
    <x v="2"/>
    <s v="google - cpc"/>
    <s v="São Paulo - SP"/>
    <x v="0"/>
    <x v="2"/>
    <n v="0"/>
  </r>
  <r>
    <n v="12025673"/>
    <d v="2025-04-18T23:05:38"/>
    <s v="NÃO"/>
    <x v="5"/>
    <x v="2"/>
    <s v="google - cpc"/>
    <s v="Cascavel - PR"/>
    <x v="1"/>
    <x v="0"/>
    <n v="0"/>
  </r>
  <r>
    <n v="11594118"/>
    <d v="2025-03-10T08:26:20"/>
    <s v="NÃO"/>
    <x v="5"/>
    <x v="4"/>
    <s v="facebook - cpc"/>
    <s v="Biguacu - SC"/>
    <x v="0"/>
    <x v="0"/>
    <n v="0"/>
  </r>
  <r>
    <n v="11594788"/>
    <d v="2025-03-10T08:54:08"/>
    <s v="NÃO"/>
    <x v="5"/>
    <x v="4"/>
    <s v="facebook - cpc"/>
    <s v="Vitoria de Santo Antao - PE"/>
    <x v="1"/>
    <x v="6"/>
    <n v="0"/>
  </r>
  <r>
    <n v="11600231"/>
    <d v="2025-03-10T12:56:22"/>
    <s v="NÃO"/>
    <x v="5"/>
    <x v="1"/>
    <s v="Sales Navigator"/>
    <s v="-"/>
    <x v="2"/>
    <x v="1"/>
    <n v="0"/>
  </r>
  <r>
    <n v="11630105"/>
    <d v="2025-03-12T20:39:07"/>
    <s v="NÃO"/>
    <x v="5"/>
    <x v="5"/>
    <s v="youtube - cpc"/>
    <s v="Itaguacu Da Bahia - BA"/>
    <x v="3"/>
    <x v="0"/>
    <n v="0"/>
  </r>
  <r>
    <n v="10623424"/>
    <d v="2024-12-06T12:48:55"/>
    <s v="NÃO"/>
    <x v="5"/>
    <x v="2"/>
    <s v="google - cpc"/>
    <s v="São Paulo - SP"/>
    <x v="3"/>
    <x v="6"/>
    <n v="0"/>
  </r>
  <r>
    <n v="11047468"/>
    <d v="2025-01-19T17:27:44"/>
    <s v="NÃO"/>
    <x v="8"/>
    <x v="11"/>
    <n v="0"/>
    <s v="Sergipe"/>
    <x v="6"/>
    <x v="0"/>
    <n v="0"/>
  </r>
  <r>
    <n v="10645204"/>
    <d v="2024-12-08T00:40:40"/>
    <s v="NÃO"/>
    <x v="8"/>
    <x v="0"/>
    <n v="0"/>
    <s v="-"/>
    <x v="4"/>
    <x v="3"/>
    <n v="0"/>
  </r>
  <r>
    <n v="10860175"/>
    <d v="2025-01-04T12:03:55"/>
    <s v="NÃO"/>
    <x v="8"/>
    <x v="0"/>
    <n v="0"/>
    <s v="-"/>
    <x v="4"/>
    <x v="1"/>
    <n v="0"/>
  </r>
  <r>
    <n v="11530289"/>
    <d v="2025-03-04T09:50:07"/>
    <s v="NÃO"/>
    <x v="5"/>
    <x v="10"/>
    <s v="email - economapas"/>
    <s v="Campinas, SP"/>
    <x v="0"/>
    <x v="0"/>
    <n v="0"/>
  </r>
  <r>
    <n v="11453301"/>
    <d v="2025-02-24T19:33:55"/>
    <s v="NÃO"/>
    <x v="5"/>
    <x v="2"/>
    <s v="google - cpc"/>
    <s v="Brasília - DF"/>
    <x v="3"/>
    <x v="2"/>
    <n v="0"/>
  </r>
  <r>
    <n v="11461317"/>
    <d v="2025-02-25T14:24:02"/>
    <s v="NÃO"/>
    <x v="5"/>
    <x v="2"/>
    <s v="google - cpc"/>
    <s v="São Paulo - SP"/>
    <x v="1"/>
    <x v="0"/>
    <n v="0"/>
  </r>
  <r>
    <n v="11361866"/>
    <d v="2025-02-16T10:30:17"/>
    <s v="NÃO"/>
    <x v="5"/>
    <x v="2"/>
    <s v="google - cpc"/>
    <s v="Santa Maria - RS"/>
    <x v="0"/>
    <x v="3"/>
    <n v="0"/>
  </r>
  <r>
    <n v="11391005"/>
    <d v="2025-02-18T15:12:54"/>
    <s v="NÃO"/>
    <x v="5"/>
    <x v="2"/>
    <s v="google - cpc"/>
    <s v="Guaratuba - PR"/>
    <x v="0"/>
    <x v="0"/>
    <n v="0"/>
  </r>
  <r>
    <n v="10621522"/>
    <d v="2024-12-05T11:28:36"/>
    <s v="NÃO"/>
    <x v="8"/>
    <x v="2"/>
    <s v="google - cpc"/>
    <s v="São Paulo - SP"/>
    <x v="0"/>
    <x v="3"/>
    <n v="0"/>
  </r>
  <r>
    <n v="11422047"/>
    <d v="2025-02-22T15:32:46"/>
    <s v="NÃO"/>
    <x v="5"/>
    <x v="2"/>
    <s v="google - cpc"/>
    <s v="Manaus - AM"/>
    <x v="0"/>
    <x v="0"/>
    <n v="0"/>
  </r>
  <r>
    <n v="11047537"/>
    <d v="2025-01-19T17:33:57"/>
    <s v="NÃO"/>
    <x v="5"/>
    <x v="2"/>
    <s v="google - cpc"/>
    <s v="Monte Aprazivel - SP"/>
    <x v="3"/>
    <x v="0"/>
    <n v="0"/>
  </r>
  <r>
    <n v="11222406"/>
    <d v="2025-02-02T13:19:49"/>
    <s v="NÃO"/>
    <x v="5"/>
    <x v="2"/>
    <s v="google - cpc"/>
    <s v="Rio de Janeiro - RJ"/>
    <x v="1"/>
    <x v="0"/>
    <n v="0"/>
  </r>
  <r>
    <n v="11290662"/>
    <d v="2025-02-08T19:52:36"/>
    <s v="NÃO"/>
    <x v="5"/>
    <x v="2"/>
    <s v="google - cpc"/>
    <s v="Mogi das Cruzes - SP"/>
    <x v="0"/>
    <x v="0"/>
    <n v="0"/>
  </r>
  <r>
    <n v="10803939"/>
    <d v="2024-12-22T19:42:04"/>
    <s v="NÃO"/>
    <x v="5"/>
    <x v="2"/>
    <s v="google - cpc"/>
    <s v="Fortaleza - CE"/>
    <x v="1"/>
    <x v="2"/>
    <n v="0"/>
  </r>
  <r>
    <n v="10808217"/>
    <d v="2024-12-23T12:20:17"/>
    <s v="NÃO"/>
    <x v="5"/>
    <x v="2"/>
    <s v="google - cpc"/>
    <s v="Rio Preto - SP"/>
    <x v="1"/>
    <x v="0"/>
    <n v="0"/>
  </r>
  <r>
    <n v="10809356"/>
    <d v="2024-12-23T14:33:43"/>
    <s v="NÃO"/>
    <x v="5"/>
    <x v="2"/>
    <s v="google - cpc"/>
    <s v="Novo Hamburgo - RS"/>
    <x v="3"/>
    <x v="0"/>
    <n v="0"/>
  </r>
  <r>
    <n v="10849290"/>
    <d v="2025-01-01T18:13:58"/>
    <s v="NÃO"/>
    <x v="5"/>
    <x v="2"/>
    <s v="google - cpc"/>
    <s v="Valinhos - SP"/>
    <x v="0"/>
    <x v="0"/>
    <n v="0"/>
  </r>
  <r>
    <n v="10891107"/>
    <d v="2025-01-06T15:37:35"/>
    <s v="NÃO"/>
    <x v="5"/>
    <x v="2"/>
    <s v="google - cpc"/>
    <s v="São Paulo - SP"/>
    <x v="3"/>
    <x v="0"/>
    <n v="0"/>
  </r>
  <r>
    <n v="10891198"/>
    <d v="2025-01-06T15:44:28"/>
    <s v="NÃO"/>
    <x v="5"/>
    <x v="2"/>
    <s v="google - cpc"/>
    <s v="São Paulo - SP"/>
    <x v="3"/>
    <x v="0"/>
    <n v="0"/>
  </r>
  <r>
    <n v="10749434"/>
    <d v="2024-12-16T17:43:36"/>
    <s v="NÃO"/>
    <x v="5"/>
    <x v="2"/>
    <s v="google - cpc"/>
    <s v="Rio Preto - SP"/>
    <x v="1"/>
    <x v="0"/>
    <n v="0"/>
  </r>
  <r>
    <n v="10777652"/>
    <d v="2024-12-18T18:03:35"/>
    <s v="NÃO"/>
    <x v="5"/>
    <x v="2"/>
    <s v="google - cpc"/>
    <s v="São Paulo - SP"/>
    <x v="1"/>
    <x v="0"/>
    <n v="0"/>
  </r>
  <r>
    <n v="10703830"/>
    <d v="2024-12-12T17:04:06"/>
    <s v="NÃO"/>
    <x v="5"/>
    <x v="2"/>
    <s v="google - cpc"/>
    <s v="São Paulo - SP"/>
    <x v="1"/>
    <x v="0"/>
    <n v="0"/>
  </r>
  <r>
    <n v="10719260"/>
    <d v="2024-12-14T15:18:14"/>
    <s v="NÃO"/>
    <x v="4"/>
    <x v="2"/>
    <s v="google - cpc"/>
    <s v="Sao Luiz - MA"/>
    <x v="0"/>
    <x v="2"/>
    <n v="0"/>
  </r>
  <r>
    <n v="10719817"/>
    <d v="2024-12-14T15:53:28"/>
    <s v="NÃO"/>
    <x v="4"/>
    <x v="2"/>
    <s v="google - cpc"/>
    <s v="Cascavel - PR"/>
    <x v="3"/>
    <x v="5"/>
    <n v="0"/>
  </r>
  <r>
    <n v="11684528"/>
    <d v="2025-03-18T10:09:59"/>
    <s v="NÃO"/>
    <x v="5"/>
    <x v="1"/>
    <s v="Sales Navigator"/>
    <s v="-"/>
    <x v="2"/>
    <x v="1"/>
    <n v="0"/>
  </r>
  <r>
    <n v="11699064"/>
    <d v="2025-03-19T12:46:26"/>
    <s v="NÃO"/>
    <x v="5"/>
    <x v="1"/>
    <s v="Sales Navigator"/>
    <s v="-"/>
    <x v="2"/>
    <x v="1"/>
    <n v="0"/>
  </r>
  <r>
    <n v="11272773"/>
    <d v="2025-02-07T20:43:34"/>
    <s v="NÃO"/>
    <x v="5"/>
    <x v="7"/>
    <s v="instagram - social"/>
    <s v="V Redonda - RJ"/>
    <x v="3"/>
    <x v="0"/>
    <n v="0"/>
  </r>
  <r>
    <n v="11349650"/>
    <d v="2025-02-15T09:27:42"/>
    <s v="NÃO"/>
    <x v="5"/>
    <x v="7"/>
    <s v="instagram - social"/>
    <s v="Fortaleza - CE"/>
    <x v="0"/>
    <x v="0"/>
    <n v="0"/>
  </r>
  <r>
    <n v="11775697"/>
    <d v="2025-03-26T13:47:12"/>
    <s v="NÃO"/>
    <x v="5"/>
    <x v="7"/>
    <s v="instagram - social"/>
    <s v="Campinas - SP"/>
    <x v="1"/>
    <x v="0"/>
    <n v="0"/>
  </r>
  <r>
    <n v="10806920"/>
    <d v="2024-12-23T10:59:24"/>
    <s v="NÃO"/>
    <x v="5"/>
    <x v="9"/>
    <s v="leads - email"/>
    <s v="Betim - MG"/>
    <x v="3"/>
    <x v="2"/>
    <n v="0"/>
  </r>
  <r>
    <n v="10691204"/>
    <d v="2024-12-10T21:11:51"/>
    <s v="NÃO"/>
    <x v="4"/>
    <x v="2"/>
    <s v="google - cpc"/>
    <s v="Salvador - BA"/>
    <x v="0"/>
    <x v="6"/>
    <n v="0"/>
  </r>
  <r>
    <n v="10939465"/>
    <d v="2025-01-12T00:28:00"/>
    <s v="NÃO"/>
    <x v="4"/>
    <x v="2"/>
    <s v="google - cpc"/>
    <s v="São Paulo - SP"/>
    <x v="0"/>
    <x v="0"/>
    <n v="0"/>
  </r>
  <r>
    <n v="10935283"/>
    <d v="2025-01-11T15:24:40"/>
    <s v="NÃO"/>
    <x v="4"/>
    <x v="2"/>
    <s v="google - cpc"/>
    <s v="Sorocaba - SP"/>
    <x v="3"/>
    <x v="0"/>
    <n v="0"/>
  </r>
  <r>
    <n v="10936560"/>
    <d v="2025-01-11T16:28:06"/>
    <s v="NÃO"/>
    <x v="4"/>
    <x v="2"/>
    <s v="google - cpc"/>
    <s v="Goiânia - GO"/>
    <x v="0"/>
    <x v="0"/>
    <n v="0"/>
  </r>
  <r>
    <n v="10933651"/>
    <d v="2025-01-11T14:20:17"/>
    <s v="NÃO"/>
    <x v="4"/>
    <x v="2"/>
    <s v="google - cpc"/>
    <s v="V Redonda - RJ"/>
    <x v="1"/>
    <x v="5"/>
    <n v="0"/>
  </r>
  <r>
    <n v="11267521"/>
    <d v="2025-02-05T21:17:45"/>
    <s v="NÃO"/>
    <x v="4"/>
    <x v="2"/>
    <s v="google - cpc"/>
    <s v="São Paulo - SP"/>
    <x v="1"/>
    <x v="0"/>
    <n v="0"/>
  </r>
  <r>
    <n v="11347589"/>
    <d v="2025-02-14T18:00:33"/>
    <s v="NÃO"/>
    <x v="4"/>
    <x v="2"/>
    <s v="google - cpc"/>
    <s v="Rio de Janeiro - RJ"/>
    <x v="3"/>
    <x v="5"/>
    <n v="0"/>
  </r>
  <r>
    <n v="11282555"/>
    <d v="2025-02-08T14:47:07"/>
    <s v="NÃO"/>
    <x v="4"/>
    <x v="2"/>
    <s v="google - cpc"/>
    <s v="Imbiribeira - PE"/>
    <x v="4"/>
    <x v="4"/>
    <n v="0"/>
  </r>
  <r>
    <n v="11273353"/>
    <d v="2025-02-08T01:24:02"/>
    <s v="NÃO"/>
    <x v="4"/>
    <x v="2"/>
    <s v="google - cpc"/>
    <s v="São Paulo - SP"/>
    <x v="6"/>
    <x v="0"/>
    <n v="0"/>
  </r>
  <r>
    <n v="11673966"/>
    <d v="2025-03-17T14:12:42"/>
    <s v="NÃO"/>
    <x v="4"/>
    <x v="2"/>
    <s v="google - cpc"/>
    <s v="Bauru - SP"/>
    <x v="1"/>
    <x v="6"/>
    <n v="0"/>
  </r>
  <r>
    <n v="11674740"/>
    <d v="2025-03-17T14:56:28"/>
    <s v="NÃO"/>
    <x v="4"/>
    <x v="2"/>
    <s v="google - cpc"/>
    <s v="Brasília - DF"/>
    <x v="6"/>
    <x v="6"/>
    <n v="0"/>
  </r>
  <r>
    <n v="11646736"/>
    <d v="2025-03-15T17:04:54"/>
    <s v="NÃO"/>
    <x v="4"/>
    <x v="2"/>
    <s v="google - cpc"/>
    <s v="Panambi - RS"/>
    <x v="0"/>
    <x v="2"/>
    <n v="0"/>
  </r>
  <r>
    <n v="11666215"/>
    <d v="2025-03-17T08:47:35"/>
    <s v="NÃO"/>
    <x v="4"/>
    <x v="2"/>
    <s v="google - cpc"/>
    <s v="São Paulo - SP"/>
    <x v="5"/>
    <x v="2"/>
    <n v="0"/>
  </r>
  <r>
    <n v="11650191"/>
    <d v="2025-03-16T07:44:14"/>
    <s v="NÃO"/>
    <x v="4"/>
    <x v="2"/>
    <s v="google - cpc"/>
    <s v="Cariacica - ES"/>
    <x v="3"/>
    <x v="0"/>
    <n v="0"/>
  </r>
  <r>
    <n v="11717257"/>
    <d v="2025-03-22T12:00:36"/>
    <s v="NÃO"/>
    <x v="4"/>
    <x v="2"/>
    <s v="google - cpc"/>
    <s v="Sao Jose Da Lapa - MG"/>
    <x v="0"/>
    <x v="0"/>
    <n v="0"/>
  </r>
  <r>
    <n v="11623552"/>
    <d v="2025-03-12T11:47:43"/>
    <s v="NÃO"/>
    <x v="4"/>
    <x v="2"/>
    <s v="google - cpc"/>
    <s v="São Luís - MA"/>
    <x v="1"/>
    <x v="3"/>
    <n v="0"/>
  </r>
  <r>
    <n v="11579800"/>
    <d v="2025-03-09T08:25:33"/>
    <s v="NÃO"/>
    <x v="5"/>
    <x v="6"/>
    <s v="bing - cpc"/>
    <s v="Jaguaribe - CE"/>
    <x v="0"/>
    <x v="0"/>
    <n v="0"/>
  </r>
  <r>
    <n v="11608030"/>
    <d v="2025-03-11T08:14:21"/>
    <s v="NÃO"/>
    <x v="5"/>
    <x v="6"/>
    <s v="bing - cpc"/>
    <s v="Marília - SP"/>
    <x v="1"/>
    <x v="0"/>
    <n v="0"/>
  </r>
  <r>
    <n v="10747018"/>
    <d v="2024-12-16T15:15:46"/>
    <s v="NÃO"/>
    <x v="4"/>
    <x v="2"/>
    <s v="google - cpc"/>
    <s v="Brasília - DF"/>
    <x v="0"/>
    <x v="2"/>
    <n v="0"/>
  </r>
  <r>
    <n v="10745001"/>
    <d v="2024-12-16T13:13:46"/>
    <s v="NÃO"/>
    <x v="4"/>
    <x v="2"/>
    <s v="google - cpc"/>
    <s v="Tubarao - SC"/>
    <x v="6"/>
    <x v="6"/>
    <n v="0"/>
  </r>
  <r>
    <n v="10737411"/>
    <d v="2024-12-15T21:47:18"/>
    <s v="NÃO"/>
    <x v="4"/>
    <x v="2"/>
    <s v="google - cpc"/>
    <s v="Betim - MG"/>
    <x v="0"/>
    <x v="0"/>
    <n v="0"/>
  </r>
  <r>
    <n v="10846157"/>
    <d v="2024-12-30T18:34:44"/>
    <s v="NÃO"/>
    <x v="4"/>
    <x v="2"/>
    <s v="google - cpc"/>
    <s v="Porto Velho - RO"/>
    <x v="4"/>
    <x v="2"/>
    <n v="0"/>
  </r>
  <r>
    <n v="10834999"/>
    <d v="2024-12-29T20:37:16"/>
    <s v="NÃO"/>
    <x v="4"/>
    <x v="2"/>
    <s v="google - cpc"/>
    <s v="Belo Horizonte - MG"/>
    <x v="3"/>
    <x v="0"/>
    <n v="0"/>
  </r>
  <r>
    <n v="10826533"/>
    <d v="2024-12-28T19:25:47"/>
    <s v="NÃO"/>
    <x v="4"/>
    <x v="2"/>
    <s v="google - cpc"/>
    <s v="Taubate - SP"/>
    <x v="0"/>
    <x v="0"/>
    <n v="0"/>
  </r>
  <r>
    <n v="10817655"/>
    <d v="2024-12-26T16:35:58"/>
    <s v="NÃO"/>
    <x v="4"/>
    <x v="2"/>
    <s v="google - cpc"/>
    <s v="Mario Campos - MG"/>
    <x v="1"/>
    <x v="0"/>
    <n v="0"/>
  </r>
  <r>
    <n v="10818860"/>
    <d v="2024-12-27T12:46:36"/>
    <s v="NÃO"/>
    <x v="4"/>
    <x v="2"/>
    <s v="google - cpc"/>
    <s v="Balneário Camboriú - SC"/>
    <x v="3"/>
    <x v="2"/>
    <n v="0"/>
  </r>
  <r>
    <n v="10824328"/>
    <d v="2024-12-28T15:06:17"/>
    <s v="NÃO"/>
    <x v="4"/>
    <x v="2"/>
    <s v="google - cpc"/>
    <s v="Belo Horizonte - MG"/>
    <x v="4"/>
    <x v="0"/>
    <n v="0"/>
  </r>
  <r>
    <n v="10804267"/>
    <d v="2024-12-22T23:16:14"/>
    <s v="NÃO"/>
    <x v="4"/>
    <x v="2"/>
    <s v="google - cpc"/>
    <s v="Belo Horizonte - MG"/>
    <x v="0"/>
    <x v="3"/>
    <n v="0"/>
  </r>
  <r>
    <n v="11216187"/>
    <d v="2025-02-02T08:34:04"/>
    <s v="NÃO"/>
    <x v="4"/>
    <x v="2"/>
    <s v="google - cpc"/>
    <s v="Rio de Janeiro - RJ"/>
    <x v="4"/>
    <x v="5"/>
    <n v="0"/>
  </r>
  <r>
    <n v="11070445"/>
    <d v="2025-01-21T13:44:18"/>
    <s v="NÃO"/>
    <x v="4"/>
    <x v="2"/>
    <s v="google - cpc"/>
    <s v="Barcarena Nova - PA"/>
    <x v="0"/>
    <x v="3"/>
    <n v="0"/>
  </r>
  <r>
    <n v="11008097"/>
    <d v="2025-01-16T08:08:13"/>
    <s v="NÃO"/>
    <x v="4"/>
    <x v="2"/>
    <s v="google - cpc"/>
    <s v="Rio de Janeiro - RJ"/>
    <x v="0"/>
    <x v="3"/>
    <n v="0"/>
  </r>
  <r>
    <n v="11012692"/>
    <d v="2025-01-17T20:46:35"/>
    <s v="NÃO"/>
    <x v="4"/>
    <x v="2"/>
    <s v="google - cpc"/>
    <s v="Belo Horizonte - MG"/>
    <x v="1"/>
    <x v="4"/>
    <n v="0"/>
  </r>
  <r>
    <n v="10997806"/>
    <d v="2025-01-15T11:14:17"/>
    <s v="NÃO"/>
    <x v="4"/>
    <x v="2"/>
    <s v="google - cpc"/>
    <s v="Sao Goncalo - RJ"/>
    <x v="0"/>
    <x v="0"/>
    <n v="0"/>
  </r>
  <r>
    <n v="10964873"/>
    <d v="2025-01-13T15:20:38"/>
    <s v="NÃO"/>
    <x v="4"/>
    <x v="2"/>
    <s v="google - cpc"/>
    <s v="São Bernardo do Campo - SP"/>
    <x v="1"/>
    <x v="6"/>
    <n v="0"/>
  </r>
  <r>
    <n v="10950407"/>
    <d v="2025-01-12T15:33:59"/>
    <s v="NÃO"/>
    <x v="4"/>
    <x v="2"/>
    <s v="google - cpc"/>
    <s v="São Paulo - SP"/>
    <x v="0"/>
    <x v="4"/>
    <n v="0"/>
  </r>
  <r>
    <n v="10953202"/>
    <d v="2025-01-12T17:22:44"/>
    <s v="NÃO"/>
    <x v="4"/>
    <x v="2"/>
    <s v="google - cpc"/>
    <s v="Londrina - PR"/>
    <x v="1"/>
    <x v="6"/>
    <n v="0"/>
  </r>
  <r>
    <n v="10958795"/>
    <d v="2025-01-13T10:32:30"/>
    <s v="NÃO"/>
    <x v="4"/>
    <x v="2"/>
    <s v="google - cpc"/>
    <s v="Brasília - DF"/>
    <x v="0"/>
    <x v="0"/>
    <n v="0"/>
  </r>
  <r>
    <n v="11317634"/>
    <d v="2025-02-10T19:29:40"/>
    <s v="NÃO"/>
    <x v="4"/>
    <x v="2"/>
    <s v="google - cpc"/>
    <s v="São Paulo - SP"/>
    <x v="3"/>
    <x v="6"/>
    <n v="0"/>
  </r>
  <r>
    <n v="11242777"/>
    <d v="2025-02-03T21:10:46"/>
    <s v="NÃO"/>
    <x v="4"/>
    <x v="2"/>
    <s v="google - cpc"/>
    <s v="São Paulo - SP"/>
    <x v="0"/>
    <x v="0"/>
    <n v="0"/>
  </r>
  <r>
    <n v="11268843"/>
    <d v="2025-02-06T11:31:16"/>
    <s v="NÃO"/>
    <x v="4"/>
    <x v="2"/>
    <s v="google - cpc"/>
    <s v="São Bernardo do Campo - SP"/>
    <x v="0"/>
    <x v="6"/>
    <n v="0"/>
  </r>
  <r>
    <n v="11386360"/>
    <d v="2025-02-18T11:17:48"/>
    <s v="NÃO"/>
    <x v="3"/>
    <x v="2"/>
    <s v="google - cpc"/>
    <s v="São Paulo - SP"/>
    <x v="1"/>
    <x v="4"/>
    <n v="0"/>
  </r>
  <r>
    <n v="11353534"/>
    <d v="2025-02-15T13:48:09"/>
    <s v="NÃO"/>
    <x v="3"/>
    <x v="2"/>
    <s v="google - cpc"/>
    <s v="São Paulo - SP"/>
    <x v="4"/>
    <x v="4"/>
    <n v="0"/>
  </r>
  <r>
    <n v="11580462"/>
    <d v="2025-03-09T09:08:28"/>
    <s v="NÃO"/>
    <x v="3"/>
    <x v="7"/>
    <s v="instagram - social"/>
    <s v="Embu das Artes - SP"/>
    <x v="3"/>
    <x v="5"/>
    <n v="0"/>
  </r>
  <r>
    <n v="11507864"/>
    <d v="2025-03-02T15:24:29"/>
    <s v="NÃO"/>
    <x v="3"/>
    <x v="6"/>
    <s v="bing - cpc"/>
    <s v="Goiânia - GO"/>
    <x v="0"/>
    <x v="6"/>
    <n v="0"/>
  </r>
  <r>
    <n v="11435155"/>
    <d v="2025-02-23T15:23:45"/>
    <s v="NÃO"/>
    <x v="3"/>
    <x v="5"/>
    <s v="youtube - cpc"/>
    <s v="Goiânia - GO"/>
    <x v="3"/>
    <x v="3"/>
    <n v="0"/>
  </r>
  <r>
    <n v="11457587"/>
    <d v="2025-02-25T10:26:53"/>
    <s v="NÃO"/>
    <x v="3"/>
    <x v="5"/>
    <s v="youtube - cpc"/>
    <s v="Mage - RJ"/>
    <x v="0"/>
    <x v="2"/>
    <n v="0"/>
  </r>
  <r>
    <n v="11419904"/>
    <d v="2025-02-22T13:08:21"/>
    <s v="NÃO"/>
    <x v="3"/>
    <x v="5"/>
    <s v="youtube - cpc"/>
    <s v="Belford Roxo - RJ"/>
    <x v="3"/>
    <x v="4"/>
    <n v="0"/>
  </r>
  <r>
    <n v="11710491"/>
    <d v="2025-03-21T15:06:09"/>
    <s v="NÃO"/>
    <x v="3"/>
    <x v="5"/>
    <s v="youtube - social"/>
    <s v="Blumenau - SC"/>
    <x v="3"/>
    <x v="5"/>
    <n v="0"/>
  </r>
  <r>
    <n v="11997202"/>
    <d v="2025-04-15T10:31:46"/>
    <s v="NÃO"/>
    <x v="3"/>
    <x v="2"/>
    <s v="google - cpc"/>
    <s v="Penapolis - SP"/>
    <x v="4"/>
    <x v="2"/>
    <n v="0"/>
  </r>
  <r>
    <n v="11930189"/>
    <d v="2025-04-09T12:34:35"/>
    <s v="NÃO"/>
    <x v="3"/>
    <x v="2"/>
    <s v="google - cpc"/>
    <s v="Sorocaba - SP"/>
    <x v="0"/>
    <x v="0"/>
    <n v="0"/>
  </r>
  <r>
    <n v="11967603"/>
    <d v="2025-04-13T12:35:24"/>
    <s v="NÃO"/>
    <x v="3"/>
    <x v="2"/>
    <s v="google - cpc"/>
    <s v="Mage - RJ"/>
    <x v="0"/>
    <x v="6"/>
    <n v="0"/>
  </r>
  <r>
    <n v="11949593"/>
    <d v="2025-04-12T12:42:29"/>
    <s v="NÃO"/>
    <x v="3"/>
    <x v="2"/>
    <s v="google - cpc"/>
    <s v="São Paulo - SP"/>
    <x v="4"/>
    <x v="0"/>
    <n v="0"/>
  </r>
  <r>
    <n v="11382540"/>
    <d v="2025-02-17T23:44:31"/>
    <s v="NÃO"/>
    <x v="3"/>
    <x v="4"/>
    <s v="facebook - cpc"/>
    <s v="Guarulhos - SP"/>
    <x v="3"/>
    <x v="5"/>
    <n v="0"/>
  </r>
  <r>
    <n v="11382849"/>
    <d v="2025-02-18T05:35:52"/>
    <s v="NÃO"/>
    <x v="3"/>
    <x v="4"/>
    <s v="facebook - cpc"/>
    <s v="Nova Fátima - BA"/>
    <x v="0"/>
    <x v="0"/>
    <n v="0"/>
  </r>
  <r>
    <n v="11300176"/>
    <d v="2025-02-09T14:40:07"/>
    <s v="NÃO"/>
    <x v="3"/>
    <x v="9"/>
    <s v="leads - email"/>
    <s v="Blumenau - SC"/>
    <x v="0"/>
    <x v="6"/>
    <n v="0"/>
  </r>
  <r>
    <n v="11300378"/>
    <d v="2025-02-09T14:51:47"/>
    <s v="NÃO"/>
    <x v="3"/>
    <x v="9"/>
    <s v="leads - email"/>
    <s v="Blumenau - SC"/>
    <x v="0"/>
    <x v="6"/>
    <n v="0"/>
  </r>
  <r>
    <n v="11868790"/>
    <d v="2025-04-05T14:31:00"/>
    <s v="NÃO"/>
    <x v="3"/>
    <x v="1"/>
    <s v="Sales Navigator"/>
    <s v="-"/>
    <x v="0"/>
    <x v="1"/>
    <n v="0"/>
  </r>
  <r>
    <n v="11911487"/>
    <d v="2025-04-08T10:27:43"/>
    <s v="NÃO"/>
    <x v="3"/>
    <x v="2"/>
    <n v="0"/>
    <s v="São Paulo"/>
    <x v="0"/>
    <x v="5"/>
    <n v="0"/>
  </r>
  <r>
    <n v="11843830"/>
    <d v="2025-04-01T12:03:24"/>
    <s v="NÃO"/>
    <x v="3"/>
    <x v="2"/>
    <s v="google - cpc"/>
    <s v="Atibaia - SP"/>
    <x v="1"/>
    <x v="6"/>
    <n v="0"/>
  </r>
  <r>
    <n v="11876290"/>
    <d v="2025-04-06T09:25:48"/>
    <s v="NÃO"/>
    <x v="3"/>
    <x v="2"/>
    <s v="google - cpc"/>
    <s v="Fortaleza - CE"/>
    <x v="1"/>
    <x v="3"/>
    <n v="0"/>
  </r>
  <r>
    <n v="11880212"/>
    <d v="2025-04-06T11:54:57"/>
    <s v="NÃO"/>
    <x v="3"/>
    <x v="2"/>
    <s v="google - cpc"/>
    <s v="Itaquaquecetuba - SP"/>
    <x v="4"/>
    <x v="6"/>
    <n v="0"/>
  </r>
  <r>
    <n v="11648417"/>
    <d v="2025-03-15T19:17:37"/>
    <s v="NÃO"/>
    <x v="3"/>
    <x v="2"/>
    <s v="google - cpc"/>
    <s v="Tijucas - SC"/>
    <x v="0"/>
    <x v="6"/>
    <n v="0"/>
  </r>
  <r>
    <n v="11490009"/>
    <d v="2025-03-01T11:25:35"/>
    <s v="NÃO"/>
    <x v="3"/>
    <x v="2"/>
    <s v="google - cpc"/>
    <s v="Belo Horizonte - MG"/>
    <x v="4"/>
    <x v="6"/>
    <n v="0"/>
  </r>
  <r>
    <n v="11633652"/>
    <d v="2025-03-14T07:30:07"/>
    <s v="NÃO"/>
    <x v="3"/>
    <x v="2"/>
    <s v="google - cpc"/>
    <s v="Teresopolis - RJ"/>
    <x v="0"/>
    <x v="2"/>
    <n v="0"/>
  </r>
  <r>
    <n v="11264785"/>
    <d v="2025-02-05T16:00:56"/>
    <s v="NÃO"/>
    <x v="3"/>
    <x v="2"/>
    <s v="google - cpc"/>
    <s v="Blumenau - SC"/>
    <x v="3"/>
    <x v="3"/>
    <n v="0"/>
  </r>
  <r>
    <n v="11264862"/>
    <d v="2025-02-05T16:05:57"/>
    <s v="NÃO"/>
    <x v="3"/>
    <x v="2"/>
    <s v="google - cpc"/>
    <s v="Blumenau - SC"/>
    <x v="3"/>
    <x v="0"/>
    <n v="0"/>
  </r>
  <r>
    <n v="10641502"/>
    <d v="2024-12-07T17:47:30"/>
    <s v="NÃO"/>
    <x v="3"/>
    <x v="2"/>
    <s v="google - cpc"/>
    <s v="Pelotas - RS"/>
    <x v="3"/>
    <x v="0"/>
    <n v="0"/>
  </r>
  <r>
    <n v="11303671"/>
    <d v="2025-02-09T17:24:31"/>
    <s v="NÃO"/>
    <x v="3"/>
    <x v="2"/>
    <s v="google - cpc"/>
    <s v="Curitiba - PR"/>
    <x v="0"/>
    <x v="6"/>
    <n v="0"/>
  </r>
  <r>
    <n v="11304237"/>
    <d v="2025-02-09T18:07:26"/>
    <s v="NÃO"/>
    <x v="3"/>
    <x v="2"/>
    <s v="google - cpc"/>
    <s v="Dracena - SP"/>
    <x v="0"/>
    <x v="0"/>
    <n v="0"/>
  </r>
  <r>
    <n v="10961540"/>
    <d v="2025-01-13T11:59:56"/>
    <s v="NÃO"/>
    <x v="3"/>
    <x v="2"/>
    <s v="google - cpc"/>
    <s v="Rio de Janeiro, RJ"/>
    <x v="0"/>
    <x v="0"/>
    <n v="0"/>
  </r>
  <r>
    <n v="10955618"/>
    <d v="2025-01-13T08:08:25"/>
    <s v="NÃO"/>
    <x v="3"/>
    <x v="2"/>
    <s v="google - cpc"/>
    <s v="São Paulo - SP"/>
    <x v="0"/>
    <x v="2"/>
    <n v="0"/>
  </r>
  <r>
    <n v="10970381"/>
    <d v="2025-01-13T18:16:50"/>
    <s v="NÃO"/>
    <x v="3"/>
    <x v="2"/>
    <s v="google - cpc"/>
    <s v="Sinop - MT"/>
    <x v="0"/>
    <x v="3"/>
    <n v="0"/>
  </r>
  <r>
    <n v="10952585"/>
    <d v="2025-01-12T16:47:23"/>
    <s v="NÃO"/>
    <x v="3"/>
    <x v="2"/>
    <s v="google - cpc"/>
    <s v="Paracambi - RJ"/>
    <x v="0"/>
    <x v="3"/>
    <n v="0"/>
  </r>
  <r>
    <n v="11030645"/>
    <d v="2025-01-19T02:08:20"/>
    <s v="NÃO"/>
    <x v="3"/>
    <x v="2"/>
    <s v="google - cpc"/>
    <s v="Uberlândia - MG"/>
    <x v="1"/>
    <x v="4"/>
    <n v="0"/>
  </r>
  <r>
    <n v="11013332"/>
    <d v="2025-01-18T01:09:20"/>
    <s v="NÃO"/>
    <x v="3"/>
    <x v="2"/>
    <s v="google - cpc"/>
    <s v="-"/>
    <x v="0"/>
    <x v="3"/>
    <n v="0"/>
  </r>
  <r>
    <n v="11489953"/>
    <d v="2025-03-01T11:20:54"/>
    <s v="NÃO"/>
    <x v="3"/>
    <x v="2"/>
    <n v="0"/>
    <s v="São Paulo"/>
    <x v="0"/>
    <x v="3"/>
    <n v="0"/>
  </r>
  <r>
    <n v="10746472"/>
    <d v="2024-12-16T14:38:01"/>
    <s v="NÃO"/>
    <x v="3"/>
    <x v="8"/>
    <s v="rep - ximena-cubillos"/>
    <s v="São Paulo - SP"/>
    <x v="3"/>
    <x v="6"/>
    <n v="0"/>
  </r>
  <r>
    <n v="11374221"/>
    <d v="2025-02-17T10:36:12"/>
    <s v="NÃO"/>
    <x v="3"/>
    <x v="4"/>
    <s v="facebook - cpc"/>
    <s v="Cuiabá - MT"/>
    <x v="3"/>
    <x v="6"/>
    <n v="0"/>
  </r>
  <r>
    <n v="11348623"/>
    <d v="2025-02-15T05:27:29"/>
    <s v="NÃO"/>
    <x v="3"/>
    <x v="4"/>
    <s v="facebook - cpc"/>
    <s v="Niterói - RJ"/>
    <x v="0"/>
    <x v="6"/>
    <n v="0"/>
  </r>
  <r>
    <n v="11358078"/>
    <d v="2025-02-15T19:23:37"/>
    <s v="NÃO"/>
    <x v="3"/>
    <x v="4"/>
    <s v="facebook - cpc"/>
    <s v="Fortaleza - CE"/>
    <x v="0"/>
    <x v="6"/>
    <n v="0"/>
  </r>
  <r>
    <n v="11680702"/>
    <d v="2025-03-17T21:31:09"/>
    <s v="NÃO"/>
    <x v="3"/>
    <x v="2"/>
    <s v="google - cpc"/>
    <s v="São Paulo - SP"/>
    <x v="0"/>
    <x v="2"/>
    <n v="0"/>
  </r>
  <r>
    <n v="11801937"/>
    <d v="2025-03-29T10:55:18"/>
    <s v="NÃO"/>
    <x v="3"/>
    <x v="2"/>
    <s v="google - cpc"/>
    <s v="Maranguape - CE"/>
    <x v="0"/>
    <x v="3"/>
    <n v="0"/>
  </r>
  <r>
    <n v="11736597"/>
    <d v="2025-03-23T17:55:40"/>
    <s v="NÃO"/>
    <x v="3"/>
    <x v="2"/>
    <s v="google - cpc"/>
    <s v="Rio de Janeiro - RJ"/>
    <x v="4"/>
    <x v="4"/>
    <n v="0"/>
  </r>
  <r>
    <n v="11707589"/>
    <d v="2025-03-20T10:34:10"/>
    <s v="NÃO"/>
    <x v="3"/>
    <x v="2"/>
    <s v="google - cpc"/>
    <s v="Uberaba - MG"/>
    <x v="3"/>
    <x v="0"/>
    <n v="0"/>
  </r>
  <r>
    <n v="11762169"/>
    <d v="2025-03-25T16:07:41"/>
    <s v="NÃO"/>
    <x v="3"/>
    <x v="2"/>
    <s v="google - cpc"/>
    <s v="Mogi das Cruzes - SP"/>
    <x v="6"/>
    <x v="4"/>
    <n v="0"/>
  </r>
  <r>
    <n v="11810939"/>
    <d v="2025-03-29T16:50:51"/>
    <s v="NÃO"/>
    <x v="3"/>
    <x v="2"/>
    <s v="google - cpc"/>
    <s v="Maringá - PR"/>
    <x v="1"/>
    <x v="6"/>
    <n v="0"/>
  </r>
  <r>
    <n v="11731186"/>
    <d v="2025-03-23T11:52:29"/>
    <s v="NÃO"/>
    <x v="3"/>
    <x v="2"/>
    <s v="google - cpc"/>
    <s v="Brasília - DF"/>
    <x v="3"/>
    <x v="3"/>
    <n v="0"/>
  </r>
  <r>
    <n v="11708571"/>
    <d v="2025-03-20T17:44:24"/>
    <s v="NÃO"/>
    <x v="3"/>
    <x v="0"/>
    <n v="0"/>
    <s v="Salvador - BA"/>
    <x v="5"/>
    <x v="0"/>
    <n v="0"/>
  </r>
  <r>
    <n v="11629722"/>
    <d v="2025-03-12T18:29:58"/>
    <s v="NÃO"/>
    <x v="3"/>
    <x v="0"/>
    <n v="0"/>
    <s v="Niterói - RJ"/>
    <x v="1"/>
    <x v="3"/>
    <n v="0"/>
  </r>
  <r>
    <n v="11562201"/>
    <d v="2025-03-07T22:31:35"/>
    <s v="NÃO"/>
    <x v="3"/>
    <x v="0"/>
    <n v="0"/>
    <s v="Rio de Janeiro - RJ"/>
    <x v="3"/>
    <x v="5"/>
    <n v="0"/>
  </r>
  <r>
    <n v="11573700"/>
    <d v="2025-03-08T16:18:21"/>
    <s v="NÃO"/>
    <x v="3"/>
    <x v="0"/>
    <n v="0"/>
    <s v="Ribeirão Preto - SP"/>
    <x v="1"/>
    <x v="4"/>
    <n v="0"/>
  </r>
  <r>
    <n v="11317433"/>
    <d v="2025-02-10T18:44:55"/>
    <s v="NÃO"/>
    <x v="3"/>
    <x v="0"/>
    <n v="0"/>
    <s v="Tailandia - PA"/>
    <x v="0"/>
    <x v="6"/>
    <n v="0"/>
  </r>
  <r>
    <n v="11282992"/>
    <d v="2025-02-08T15:01:39"/>
    <s v="NÃO"/>
    <x v="3"/>
    <x v="0"/>
    <n v="0"/>
    <s v="Caieiras - SP"/>
    <x v="1"/>
    <x v="6"/>
    <n v="0"/>
  </r>
  <r>
    <n v="11266443"/>
    <d v="2025-02-05T17:50:44"/>
    <s v="NÃO"/>
    <x v="3"/>
    <x v="0"/>
    <n v="0"/>
    <s v="Porto Alegre - RS"/>
    <x v="4"/>
    <x v="0"/>
    <n v="0"/>
  </r>
  <r>
    <n v="11263822"/>
    <d v="2025-02-05T15:20:36"/>
    <s v="NÃO"/>
    <x v="3"/>
    <x v="0"/>
    <n v="0"/>
    <s v="São Paulo - SP"/>
    <x v="3"/>
    <x v="5"/>
    <n v="0"/>
  </r>
  <r>
    <n v="11431874"/>
    <d v="2025-02-23T11:50:56"/>
    <s v="NÃO"/>
    <x v="3"/>
    <x v="0"/>
    <n v="0"/>
    <s v="Belo Horizonte - MG"/>
    <x v="4"/>
    <x v="3"/>
    <n v="0"/>
  </r>
  <r>
    <n v="10840880"/>
    <d v="2024-12-30T15:14:31"/>
    <s v="NÃO"/>
    <x v="3"/>
    <x v="0"/>
    <n v="0"/>
    <s v="Imbe de Minas - MG"/>
    <x v="0"/>
    <x v="4"/>
    <n v="0"/>
  </r>
  <r>
    <n v="10773060"/>
    <d v="2024-12-18T13:37:51"/>
    <s v="NÃO"/>
    <x v="3"/>
    <x v="0"/>
    <n v="0"/>
    <s v="-"/>
    <x v="4"/>
    <x v="6"/>
    <n v="0"/>
  </r>
  <r>
    <n v="11920881"/>
    <d v="2025-04-08T18:01:56"/>
    <s v="NÃO"/>
    <x v="3"/>
    <x v="0"/>
    <n v="0"/>
    <s v="Diadema - SP"/>
    <x v="0"/>
    <x v="5"/>
    <n v="0"/>
  </r>
  <r>
    <n v="11900798"/>
    <d v="2025-04-07T14:22:18"/>
    <s v="NÃO"/>
    <x v="3"/>
    <x v="0"/>
    <n v="0"/>
    <s v="Betim - MG"/>
    <x v="1"/>
    <x v="4"/>
    <n v="0"/>
  </r>
  <r>
    <n v="10782692"/>
    <d v="2024-12-20T23:19:10"/>
    <s v="NÃO"/>
    <x v="3"/>
    <x v="0"/>
    <n v="0"/>
    <s v="Balneário Camboriú - SC"/>
    <x v="3"/>
    <x v="4"/>
    <n v="0"/>
  </r>
  <r>
    <n v="10794590"/>
    <d v="2024-12-21T23:22:12"/>
    <s v="NÃO"/>
    <x v="3"/>
    <x v="0"/>
    <n v="0"/>
    <s v="São Paulo - SP"/>
    <x v="1"/>
    <x v="6"/>
    <n v="0"/>
  </r>
  <r>
    <n v="10665604"/>
    <d v="2024-12-09T11:53:41"/>
    <s v="NÃO"/>
    <x v="3"/>
    <x v="0"/>
    <n v="0"/>
    <s v="Rio de Janeiro - RJ"/>
    <x v="1"/>
    <x v="4"/>
    <n v="0"/>
  </r>
  <r>
    <n v="10683933"/>
    <d v="2024-12-10T13:36:02"/>
    <s v="NÃO"/>
    <x v="3"/>
    <x v="0"/>
    <n v="0"/>
    <s v="Xanxere - SC"/>
    <x v="3"/>
    <x v="6"/>
    <n v="0"/>
  </r>
  <r>
    <n v="10691252"/>
    <d v="2024-12-10T21:31:23"/>
    <s v="NÃO"/>
    <x v="3"/>
    <x v="0"/>
    <n v="0"/>
    <s v="Águas Lindas - PA"/>
    <x v="0"/>
    <x v="3"/>
    <n v="0"/>
  </r>
  <r>
    <n v="11666771"/>
    <d v="2025-03-17T09:11:57"/>
    <s v="NÃO"/>
    <x v="3"/>
    <x v="2"/>
    <s v="google - cpc"/>
    <s v="Fazenda Rio Grande - PR"/>
    <x v="0"/>
    <x v="2"/>
    <n v="0"/>
  </r>
  <r>
    <n v="11645536"/>
    <d v="2025-03-15T16:05:09"/>
    <s v="NÃO"/>
    <x v="3"/>
    <x v="2"/>
    <s v="google - cpc"/>
    <s v="Sorocaba - SP"/>
    <x v="1"/>
    <x v="0"/>
    <n v="0"/>
  </r>
  <r>
    <n v="11720335"/>
    <d v="2025-03-22T15:05:00"/>
    <s v="NÃO"/>
    <x v="3"/>
    <x v="2"/>
    <s v="google - cpc"/>
    <s v="Curitiba - PR"/>
    <x v="3"/>
    <x v="0"/>
    <n v="0"/>
  </r>
  <r>
    <n v="10835878"/>
    <d v="2024-12-30T08:59:54"/>
    <s v="NÃO"/>
    <x v="3"/>
    <x v="2"/>
    <s v="google - cpc"/>
    <s v="Brasília - DF"/>
    <x v="6"/>
    <x v="0"/>
    <n v="0"/>
  </r>
  <r>
    <n v="10772027"/>
    <d v="2024-12-18T11:24:56"/>
    <s v="NÃO"/>
    <x v="3"/>
    <x v="2"/>
    <s v="google - cpc"/>
    <s v="Niterói - RJ"/>
    <x v="0"/>
    <x v="6"/>
    <n v="0"/>
  </r>
  <r>
    <n v="10881810"/>
    <d v="2025-01-06T02:00:05"/>
    <s v="NÃO"/>
    <x v="3"/>
    <x v="2"/>
    <s v="google - cpc"/>
    <s v="São Bernardo do Campo - SP"/>
    <x v="4"/>
    <x v="6"/>
    <n v="0"/>
  </r>
  <r>
    <n v="10881351"/>
    <d v="2025-01-05T21:21:33"/>
    <s v="NÃO"/>
    <x v="3"/>
    <x v="2"/>
    <s v="google - cpc"/>
    <s v="Belo Horizonte - MG"/>
    <x v="0"/>
    <x v="0"/>
    <n v="0"/>
  </r>
  <r>
    <n v="10939911"/>
    <d v="2025-01-12T08:30:51"/>
    <s v="NÃO"/>
    <x v="3"/>
    <x v="2"/>
    <s v="google - cpc"/>
    <s v="Joinville - SC"/>
    <x v="1"/>
    <x v="6"/>
    <n v="0"/>
  </r>
  <r>
    <n v="11343133"/>
    <d v="2025-02-12T20:51:00"/>
    <s v="NÃO"/>
    <x v="3"/>
    <x v="4"/>
    <s v="facebook - cpc"/>
    <s v="Brasília - DF"/>
    <x v="0"/>
    <x v="6"/>
    <n v="0"/>
  </r>
  <r>
    <n v="11343431"/>
    <d v="2025-02-12T23:45:57"/>
    <s v="NÃO"/>
    <x v="3"/>
    <x v="4"/>
    <s v="facebook - cpc"/>
    <s v="Sao Benedito - CE"/>
    <x v="3"/>
    <x v="4"/>
    <n v="0"/>
  </r>
  <r>
    <n v="11591588"/>
    <d v="2025-03-09T17:55:01"/>
    <s v="NÃO"/>
    <x v="3"/>
    <x v="4"/>
    <s v="facebook - cpc"/>
    <s v="Fortaleza - CE"/>
    <x v="1"/>
    <x v="6"/>
    <n v="0"/>
  </r>
  <r>
    <n v="11583303"/>
    <d v="2025-03-09T11:20:20"/>
    <s v="NÃO"/>
    <x v="3"/>
    <x v="4"/>
    <s v="facebook - cpc"/>
    <s v="Fortaleza - CE"/>
    <x v="0"/>
    <x v="6"/>
    <n v="0"/>
  </r>
  <r>
    <n v="11583414"/>
    <d v="2025-03-09T11:28:31"/>
    <s v="NÃO"/>
    <x v="3"/>
    <x v="4"/>
    <s v="facebook - cpc"/>
    <s v="Fortaleza - CE"/>
    <x v="0"/>
    <x v="6"/>
    <n v="0"/>
  </r>
  <r>
    <n v="11580684"/>
    <d v="2025-03-09T09:26:20"/>
    <s v="NÃO"/>
    <x v="3"/>
    <x v="4"/>
    <s v="facebook - cpc"/>
    <s v="Natal - RN"/>
    <x v="0"/>
    <x v="0"/>
    <n v="0"/>
  </r>
  <r>
    <n v="11573071"/>
    <d v="2025-03-08T15:58:21"/>
    <s v="NÃO"/>
    <x v="3"/>
    <x v="4"/>
    <s v="facebook - cpc"/>
    <s v="Ipatinga - MG"/>
    <x v="3"/>
    <x v="4"/>
    <n v="0"/>
  </r>
  <r>
    <n v="11562193"/>
    <d v="2025-03-07T22:28:13"/>
    <s v="NÃO"/>
    <x v="3"/>
    <x v="4"/>
    <s v="facebook - cpc"/>
    <s v="Criciúma - SC"/>
    <x v="0"/>
    <x v="2"/>
    <n v="0"/>
  </r>
  <r>
    <n v="11559764"/>
    <d v="2025-03-06T21:18:14"/>
    <s v="NÃO"/>
    <x v="3"/>
    <x v="4"/>
    <s v="facebook - cpc"/>
    <s v="Araguaína - TO"/>
    <x v="3"/>
    <x v="2"/>
    <n v="0"/>
  </r>
  <r>
    <n v="11559071"/>
    <d v="2025-03-06T14:05:53"/>
    <s v="NÃO"/>
    <x v="3"/>
    <x v="4"/>
    <s v="facebook - cpc"/>
    <s v="São Luís - MA"/>
    <x v="0"/>
    <x v="0"/>
    <n v="0"/>
  </r>
  <r>
    <n v="11559274"/>
    <d v="2025-03-06T16:30:52"/>
    <s v="NÃO"/>
    <x v="3"/>
    <x v="4"/>
    <s v="facebook - cpc"/>
    <s v="Pirapora - MG"/>
    <x v="3"/>
    <x v="0"/>
    <n v="0"/>
  </r>
  <r>
    <n v="11543592"/>
    <d v="2025-03-04T22:50:46"/>
    <s v="NÃO"/>
    <x v="3"/>
    <x v="4"/>
    <s v="facebook - cpc"/>
    <s v="Blumenau - SC"/>
    <x v="1"/>
    <x v="5"/>
    <n v="0"/>
  </r>
  <r>
    <n v="11543936"/>
    <d v="2025-03-05T02:55:15"/>
    <s v="NÃO"/>
    <x v="3"/>
    <x v="4"/>
    <s v="facebook - cpc"/>
    <s v="Belém - PA"/>
    <x v="0"/>
    <x v="3"/>
    <n v="0"/>
  </r>
  <r>
    <n v="11634608"/>
    <d v="2025-03-14T14:07:47"/>
    <s v="NÃO"/>
    <x v="3"/>
    <x v="4"/>
    <s v="facebook - cpc"/>
    <s v="Santo André - SP"/>
    <x v="1"/>
    <x v="6"/>
    <n v="0"/>
  </r>
  <r>
    <n v="11617765"/>
    <d v="2025-03-11T23:00:31"/>
    <s v="NÃO"/>
    <x v="3"/>
    <x v="4"/>
    <s v="facebook - cpc"/>
    <s v="Belo Horizonte - MG"/>
    <x v="1"/>
    <x v="4"/>
    <n v="0"/>
  </r>
  <r>
    <n v="11971744"/>
    <d v="2025-04-13T16:23:52"/>
    <s v="NÃO"/>
    <x v="3"/>
    <x v="10"/>
    <n v="0"/>
    <s v="Macaé - RJ"/>
    <x v="1"/>
    <x v="3"/>
    <n v="0"/>
  </r>
  <r>
    <n v="11208915"/>
    <d v="2025-02-01T15:06:26"/>
    <s v="NÃO"/>
    <x v="3"/>
    <x v="0"/>
    <n v="0"/>
    <s v="São Paulo - SP"/>
    <x v="0"/>
    <x v="2"/>
    <n v="0"/>
  </r>
  <r>
    <n v="11448783"/>
    <d v="2025-02-24T14:39:22"/>
    <s v="NÃO"/>
    <x v="3"/>
    <x v="0"/>
    <n v="0"/>
    <s v="Chapecó - SC"/>
    <x v="4"/>
    <x v="2"/>
    <n v="0"/>
  </r>
  <r>
    <n v="11454009"/>
    <d v="2025-02-24T23:10:45"/>
    <s v="NÃO"/>
    <x v="3"/>
    <x v="0"/>
    <n v="0"/>
    <s v="Macaé - RJ"/>
    <x v="0"/>
    <x v="0"/>
    <n v="0"/>
  </r>
  <r>
    <n v="10930465"/>
    <d v="2025-01-11T11:30:35"/>
    <s v="NÃO"/>
    <x v="3"/>
    <x v="0"/>
    <n v="0"/>
    <s v="São Paulo - SP"/>
    <x v="3"/>
    <x v="5"/>
    <n v="0"/>
  </r>
  <r>
    <n v="11538865"/>
    <d v="2025-03-04T15:46:36"/>
    <s v="NÃO"/>
    <x v="3"/>
    <x v="0"/>
    <n v="0"/>
    <s v="Joinville - SC"/>
    <x v="0"/>
    <x v="0"/>
    <n v="0"/>
  </r>
  <r>
    <n v="11116788"/>
    <d v="2025-01-26T10:45:31"/>
    <s v="NÃO"/>
    <x v="4"/>
    <x v="0"/>
    <n v="0"/>
    <s v="Santarém - PA"/>
    <x v="1"/>
    <x v="3"/>
    <n v="0"/>
  </r>
  <r>
    <n v="11082426"/>
    <d v="2025-01-22T10:42:23"/>
    <s v="NÃO"/>
    <x v="4"/>
    <x v="0"/>
    <n v="0"/>
    <s v="Fortaleza - CE"/>
    <x v="1"/>
    <x v="6"/>
    <n v="0"/>
  </r>
  <r>
    <n v="11072277"/>
    <d v="2025-01-21T15:09:19"/>
    <s v="NÃO"/>
    <x v="4"/>
    <x v="0"/>
    <n v="0"/>
    <s v="Fortaleza - CE"/>
    <x v="3"/>
    <x v="0"/>
    <n v="0"/>
  </r>
  <r>
    <n v="11058571"/>
    <d v="2025-01-20T15:23:31"/>
    <s v="NÃO"/>
    <x v="4"/>
    <x v="0"/>
    <n v="0"/>
    <s v="Vitória - ES"/>
    <x v="3"/>
    <x v="0"/>
    <n v="0"/>
  </r>
  <r>
    <n v="11058342"/>
    <d v="2025-01-20T15:16:22"/>
    <s v="NÃO"/>
    <x v="4"/>
    <x v="0"/>
    <n v="0"/>
    <s v="Belo Horizonte - MG"/>
    <x v="0"/>
    <x v="5"/>
    <n v="0"/>
  </r>
  <r>
    <n v="11048469"/>
    <d v="2025-01-19T20:37:42"/>
    <s v="NÃO"/>
    <x v="4"/>
    <x v="0"/>
    <n v="0"/>
    <s v="Rio de Janeiro - RJ"/>
    <x v="3"/>
    <x v="3"/>
    <n v="0"/>
  </r>
  <r>
    <n v="11044645"/>
    <d v="2025-01-19T16:12:27"/>
    <s v="NÃO"/>
    <x v="4"/>
    <x v="0"/>
    <n v="0"/>
    <s v="Brasília - DF"/>
    <x v="0"/>
    <x v="3"/>
    <n v="0"/>
  </r>
  <r>
    <n v="11033612"/>
    <d v="2025-01-19T10:12:42"/>
    <s v="NÃO"/>
    <x v="4"/>
    <x v="0"/>
    <n v="0"/>
    <s v="São Paulo - SP"/>
    <x v="3"/>
    <x v="4"/>
    <n v="0"/>
  </r>
  <r>
    <n v="11007858"/>
    <d v="2025-01-16T00:32:41"/>
    <s v="NÃO"/>
    <x v="4"/>
    <x v="0"/>
    <n v="0"/>
    <s v="João Pessoa - PB"/>
    <x v="3"/>
    <x v="4"/>
    <n v="0"/>
  </r>
  <r>
    <n v="10956516"/>
    <d v="2025-01-13T08:59:19"/>
    <s v="NÃO"/>
    <x v="4"/>
    <x v="0"/>
    <n v="0"/>
    <s v="Rolandia - PR"/>
    <x v="0"/>
    <x v="4"/>
    <n v="0"/>
  </r>
  <r>
    <n v="10958951"/>
    <d v="2025-01-13T10:45:43"/>
    <s v="NÃO"/>
    <x v="4"/>
    <x v="0"/>
    <n v="0"/>
    <s v="Pacaja - PA"/>
    <x v="3"/>
    <x v="4"/>
    <n v="0"/>
  </r>
  <r>
    <n v="10965495"/>
    <d v="2025-01-13T15:31:39"/>
    <s v="NÃO"/>
    <x v="4"/>
    <x v="0"/>
    <n v="0"/>
    <s v="Porto Alegre - RS"/>
    <x v="0"/>
    <x v="5"/>
    <n v="0"/>
  </r>
  <r>
    <n v="10968173"/>
    <d v="2025-01-13T16:42:20"/>
    <s v="NÃO"/>
    <x v="4"/>
    <x v="0"/>
    <n v="0"/>
    <s v="Serra Negra - SP"/>
    <x v="0"/>
    <x v="2"/>
    <n v="0"/>
  </r>
  <r>
    <n v="10971157"/>
    <d v="2025-01-13T22:05:12"/>
    <s v="NÃO"/>
    <x v="4"/>
    <x v="0"/>
    <n v="0"/>
    <s v="Rio de Janeiro - RJ"/>
    <x v="3"/>
    <x v="4"/>
    <n v="0"/>
  </r>
  <r>
    <n v="10991626"/>
    <d v="2025-01-14T19:27:56"/>
    <s v="NÃO"/>
    <x v="4"/>
    <x v="0"/>
    <n v="0"/>
    <s v="Rio de Janeiro - RJ"/>
    <x v="0"/>
    <x v="3"/>
    <n v="0"/>
  </r>
  <r>
    <n v="11025975"/>
    <d v="2025-01-18T16:15:23"/>
    <s v="NÃO"/>
    <x v="4"/>
    <x v="0"/>
    <n v="0"/>
    <s v="Rio de Janeiro - RJ"/>
    <x v="0"/>
    <x v="4"/>
    <n v="0"/>
  </r>
  <r>
    <n v="11009402"/>
    <d v="2025-01-16T13:02:34"/>
    <s v="NÃO"/>
    <x v="4"/>
    <x v="0"/>
    <n v="0"/>
    <s v="Rio de Janeiro - RJ"/>
    <x v="4"/>
    <x v="4"/>
    <n v="0"/>
  </r>
  <r>
    <n v="11009640"/>
    <d v="2025-01-16T15:05:57"/>
    <s v="NÃO"/>
    <x v="4"/>
    <x v="0"/>
    <n v="0"/>
    <s v="Aripuana - MT"/>
    <x v="3"/>
    <x v="4"/>
    <n v="0"/>
  </r>
  <r>
    <n v="11011404"/>
    <d v="2025-01-17T11:27:35"/>
    <s v="NÃO"/>
    <x v="4"/>
    <x v="0"/>
    <n v="0"/>
    <s v="São Luís - MA"/>
    <x v="3"/>
    <x v="4"/>
    <n v="0"/>
  </r>
  <r>
    <n v="11013023"/>
    <d v="2025-01-17T21:47:00"/>
    <s v="NÃO"/>
    <x v="4"/>
    <x v="0"/>
    <n v="0"/>
    <s v="Belo Horizonte - MG"/>
    <x v="3"/>
    <x v="4"/>
    <n v="0"/>
  </r>
  <r>
    <n v="10999768"/>
    <d v="2025-01-15T13:01:33"/>
    <s v="NÃO"/>
    <x v="4"/>
    <x v="0"/>
    <n v="0"/>
    <s v="Uberlândia - MG"/>
    <x v="3"/>
    <x v="4"/>
    <n v="0"/>
  </r>
  <r>
    <n v="10945036"/>
    <d v="2025-01-12T10:37:25"/>
    <s v="NÃO"/>
    <x v="4"/>
    <x v="0"/>
    <n v="0"/>
    <s v="Sorocaba - SP"/>
    <x v="3"/>
    <x v="4"/>
    <n v="0"/>
  </r>
  <r>
    <n v="11015967"/>
    <d v="2025-01-18T09:47:22"/>
    <s v="NÃO"/>
    <x v="4"/>
    <x v="0"/>
    <n v="0"/>
    <s v="Brasília - DF"/>
    <x v="0"/>
    <x v="0"/>
    <n v="0"/>
  </r>
  <r>
    <n v="10936197"/>
    <d v="2025-01-11T16:02:13"/>
    <s v="NÃO"/>
    <x v="4"/>
    <x v="0"/>
    <n v="0"/>
    <s v="Itaborai - RJ"/>
    <x v="0"/>
    <x v="0"/>
    <n v="0"/>
  </r>
  <r>
    <n v="10936734"/>
    <d v="2025-01-11T16:42:15"/>
    <s v="NÃO"/>
    <x v="4"/>
    <x v="0"/>
    <n v="0"/>
    <s v="Olinda - PE"/>
    <x v="0"/>
    <x v="4"/>
    <n v="0"/>
  </r>
  <r>
    <n v="10922905"/>
    <d v="2025-01-10T13:44:10"/>
    <s v="NÃO"/>
    <x v="4"/>
    <x v="0"/>
    <n v="0"/>
    <s v="São Luís - MA"/>
    <x v="3"/>
    <x v="2"/>
    <n v="0"/>
  </r>
  <r>
    <n v="10923489"/>
    <d v="2025-01-10T19:03:27"/>
    <s v="NÃO"/>
    <x v="4"/>
    <x v="0"/>
    <n v="0"/>
    <s v="Pompeu - MG"/>
    <x v="3"/>
    <x v="4"/>
    <n v="0"/>
  </r>
  <r>
    <n v="10922435"/>
    <d v="2025-01-10T10:16:48"/>
    <s v="NÃO"/>
    <x v="4"/>
    <x v="0"/>
    <n v="0"/>
    <s v="São Paulo - SP"/>
    <x v="3"/>
    <x v="4"/>
    <n v="0"/>
  </r>
  <r>
    <n v="10705485"/>
    <d v="2024-12-13T15:46:07"/>
    <s v="NÃO"/>
    <x v="4"/>
    <x v="0"/>
    <n v="0"/>
    <s v="São Paulo - SP"/>
    <x v="3"/>
    <x v="4"/>
    <n v="0"/>
  </r>
  <r>
    <n v="10701294"/>
    <d v="2024-12-11T21:18:20"/>
    <s v="NÃO"/>
    <x v="4"/>
    <x v="0"/>
    <n v="0"/>
    <s v="Araçatuba - SP"/>
    <x v="3"/>
    <x v="4"/>
    <n v="0"/>
  </r>
  <r>
    <n v="10720666"/>
    <d v="2024-12-14T16:16:12"/>
    <s v="NÃO"/>
    <x v="4"/>
    <x v="0"/>
    <n v="0"/>
    <s v="Curitiba - PR"/>
    <x v="0"/>
    <x v="2"/>
    <n v="0"/>
  </r>
  <r>
    <n v="10706011"/>
    <d v="2024-12-13T21:10:00"/>
    <s v="NÃO"/>
    <x v="4"/>
    <x v="0"/>
    <n v="0"/>
    <s v="Manaus - AM"/>
    <x v="3"/>
    <x v="4"/>
    <n v="0"/>
  </r>
  <r>
    <n v="10707353"/>
    <d v="2024-12-14T08:55:27"/>
    <s v="NÃO"/>
    <x v="4"/>
    <x v="0"/>
    <n v="0"/>
    <s v="Nova Olimpia - MT"/>
    <x v="3"/>
    <x v="4"/>
    <n v="0"/>
  </r>
  <r>
    <n v="10724063"/>
    <d v="2024-12-14T19:39:19"/>
    <s v="NÃO"/>
    <x v="4"/>
    <x v="0"/>
    <n v="0"/>
    <s v="Porto Alegre - RS"/>
    <x v="3"/>
    <x v="4"/>
    <n v="0"/>
  </r>
  <r>
    <n v="10724209"/>
    <d v="2024-12-14T20:33:54"/>
    <s v="NÃO"/>
    <x v="4"/>
    <x v="0"/>
    <n v="0"/>
    <s v="Balneário Camboriú - SC"/>
    <x v="3"/>
    <x v="4"/>
    <n v="0"/>
  </r>
  <r>
    <n v="11214391"/>
    <d v="2025-02-01T21:44:25"/>
    <s v="NÃO"/>
    <x v="4"/>
    <x v="0"/>
    <n v="0"/>
    <s v="Rio de Janeiro - RJ"/>
    <x v="0"/>
    <x v="0"/>
    <n v="0"/>
  </r>
  <r>
    <n v="11198491"/>
    <d v="2025-01-31T23:52:01"/>
    <s v="NÃO"/>
    <x v="4"/>
    <x v="0"/>
    <n v="0"/>
    <s v="São Paulo - SP"/>
    <x v="3"/>
    <x v="5"/>
    <n v="0"/>
  </r>
  <r>
    <n v="11195366"/>
    <d v="2025-01-30T16:09:53"/>
    <s v="NÃO"/>
    <x v="4"/>
    <x v="0"/>
    <n v="0"/>
    <s v="Rio de Janeiro - RJ"/>
    <x v="0"/>
    <x v="0"/>
    <n v="0"/>
  </r>
  <r>
    <n v="11178678"/>
    <d v="2025-01-29T11:07:56"/>
    <s v="NÃO"/>
    <x v="4"/>
    <x v="0"/>
    <n v="0"/>
    <s v="Caruaru - PE"/>
    <x v="1"/>
    <x v="0"/>
    <n v="0"/>
  </r>
  <r>
    <n v="11179923"/>
    <d v="2025-01-29T12:58:55"/>
    <s v="NÃO"/>
    <x v="4"/>
    <x v="0"/>
    <n v="0"/>
    <s v="Brasília - DF"/>
    <x v="1"/>
    <x v="0"/>
    <n v="0"/>
  </r>
  <r>
    <n v="11182141"/>
    <d v="2025-01-29T15:18:47"/>
    <s v="NÃO"/>
    <x v="4"/>
    <x v="0"/>
    <n v="0"/>
    <s v="Aracaju - SE"/>
    <x v="3"/>
    <x v="4"/>
    <n v="0"/>
  </r>
  <r>
    <n v="11104488"/>
    <d v="2025-01-25T11:53:33"/>
    <s v="NÃO"/>
    <x v="4"/>
    <x v="0"/>
    <n v="0"/>
    <s v="Santos - SP"/>
    <x v="0"/>
    <x v="2"/>
    <n v="0"/>
  </r>
  <r>
    <n v="11147699"/>
    <d v="2025-01-28T11:06:43"/>
    <s v="NÃO"/>
    <x v="4"/>
    <x v="0"/>
    <n v="0"/>
    <s v="Guarulhos - SP"/>
    <x v="0"/>
    <x v="6"/>
    <n v="0"/>
  </r>
  <r>
    <n v="10773637"/>
    <d v="2024-12-18T14:29:10"/>
    <s v="NÃO"/>
    <x v="4"/>
    <x v="0"/>
    <n v="0"/>
    <s v="Teresina - PI"/>
    <x v="0"/>
    <x v="3"/>
    <n v="0"/>
  </r>
  <r>
    <n v="10763422"/>
    <d v="2024-12-17T16:27:13"/>
    <s v="NÃO"/>
    <x v="4"/>
    <x v="0"/>
    <n v="0"/>
    <s v="Belo Horizonte - MG"/>
    <x v="4"/>
    <x v="0"/>
    <n v="0"/>
  </r>
  <r>
    <n v="10764638"/>
    <d v="2024-12-17T17:38:59"/>
    <s v="NÃO"/>
    <x v="4"/>
    <x v="0"/>
    <n v="0"/>
    <s v="Recife - PE"/>
    <x v="3"/>
    <x v="4"/>
    <n v="0"/>
  </r>
  <r>
    <n v="10765814"/>
    <d v="2024-12-17T21:40:46"/>
    <s v="NÃO"/>
    <x v="4"/>
    <x v="0"/>
    <n v="0"/>
    <s v="Cruzeiro - SP"/>
    <x v="3"/>
    <x v="4"/>
    <n v="0"/>
  </r>
  <r>
    <n v="10753951"/>
    <d v="2024-12-17T10:37:42"/>
    <s v="NÃO"/>
    <x v="4"/>
    <x v="0"/>
    <n v="0"/>
    <s v="Monteiro - PB"/>
    <x v="3"/>
    <x v="4"/>
    <n v="0"/>
  </r>
  <r>
    <n v="10782142"/>
    <d v="2024-12-20T17:18:19"/>
    <s v="NÃO"/>
    <x v="4"/>
    <x v="0"/>
    <n v="0"/>
    <s v="Rochedo - MS"/>
    <x v="3"/>
    <x v="4"/>
    <n v="0"/>
  </r>
  <r>
    <n v="10779059"/>
    <d v="2024-12-18T21:44:32"/>
    <s v="NÃO"/>
    <x v="4"/>
    <x v="0"/>
    <n v="0"/>
    <s v="Itabuna - BA"/>
    <x v="3"/>
    <x v="5"/>
    <n v="0"/>
  </r>
  <r>
    <n v="10834966"/>
    <d v="2024-12-29T20:14:51"/>
    <s v="NÃO"/>
    <x v="4"/>
    <x v="0"/>
    <n v="0"/>
    <s v="São Paulo - SP"/>
    <x v="3"/>
    <x v="4"/>
    <n v="0"/>
  </r>
  <r>
    <n v="10823695"/>
    <d v="2024-12-28T14:01:09"/>
    <s v="NÃO"/>
    <x v="4"/>
    <x v="0"/>
    <n v="0"/>
    <s v="Fortaleza - CE"/>
    <x v="0"/>
    <x v="4"/>
    <n v="0"/>
  </r>
  <r>
    <n v="10843926"/>
    <d v="2024-12-30T16:35:30"/>
    <s v="NÃO"/>
    <x v="4"/>
    <x v="0"/>
    <n v="0"/>
    <s v="São Paulo - SP"/>
    <x v="3"/>
    <x v="4"/>
    <n v="0"/>
  </r>
  <r>
    <n v="10814947"/>
    <d v="2024-12-25T13:11:05"/>
    <s v="NÃO"/>
    <x v="4"/>
    <x v="0"/>
    <n v="0"/>
    <s v="Belo Horizonte - MG"/>
    <x v="3"/>
    <x v="4"/>
    <n v="0"/>
  </r>
  <r>
    <n v="10816864"/>
    <d v="2024-12-26T06:25:47"/>
    <s v="NÃO"/>
    <x v="4"/>
    <x v="0"/>
    <n v="0"/>
    <s v="Andira - PR"/>
    <x v="3"/>
    <x v="4"/>
    <n v="0"/>
  </r>
  <r>
    <n v="10806122"/>
    <d v="2024-12-23T09:43:50"/>
    <s v="NÃO"/>
    <x v="4"/>
    <x v="0"/>
    <n v="0"/>
    <s v="Duque de Caxias - RJ"/>
    <x v="0"/>
    <x v="0"/>
    <n v="0"/>
  </r>
  <r>
    <n v="10803679"/>
    <d v="2024-12-22T18:11:08"/>
    <s v="NÃO"/>
    <x v="4"/>
    <x v="0"/>
    <n v="0"/>
    <s v="Anápolis - GO"/>
    <x v="0"/>
    <x v="0"/>
    <n v="0"/>
  </r>
  <r>
    <n v="10803759"/>
    <d v="2024-12-22T18:46:37"/>
    <s v="NÃO"/>
    <x v="4"/>
    <x v="0"/>
    <n v="0"/>
    <s v="Betim - MG"/>
    <x v="5"/>
    <x v="6"/>
    <n v="0"/>
  </r>
  <r>
    <n v="10804080"/>
    <d v="2024-12-22T21:16:34"/>
    <s v="NÃO"/>
    <x v="4"/>
    <x v="0"/>
    <n v="0"/>
    <s v="Aracaju - SE"/>
    <x v="0"/>
    <x v="4"/>
    <n v="0"/>
  </r>
  <r>
    <n v="10873337"/>
    <d v="2025-01-05T10:38:12"/>
    <s v="NÃO"/>
    <x v="4"/>
    <x v="0"/>
    <n v="0"/>
    <s v="Ouro Preto do Oeste - RO"/>
    <x v="3"/>
    <x v="4"/>
    <n v="0"/>
  </r>
  <r>
    <n v="10868219"/>
    <d v="2025-01-04T17:50:45"/>
    <s v="NÃO"/>
    <x v="4"/>
    <x v="0"/>
    <n v="0"/>
    <s v="Belo Horizonte - MG"/>
    <x v="3"/>
    <x v="4"/>
    <n v="0"/>
  </r>
  <r>
    <n v="10869496"/>
    <d v="2025-01-04T21:37:18"/>
    <s v="NÃO"/>
    <x v="4"/>
    <x v="0"/>
    <n v="0"/>
    <s v="Niterói - RJ"/>
    <x v="0"/>
    <x v="4"/>
    <n v="0"/>
  </r>
  <r>
    <n v="10869526"/>
    <d v="2025-01-04T21:48:56"/>
    <s v="NÃO"/>
    <x v="4"/>
    <x v="0"/>
    <n v="0"/>
    <s v="São Paulo - SP"/>
    <x v="0"/>
    <x v="4"/>
    <n v="0"/>
  </r>
  <r>
    <n v="10869639"/>
    <d v="2025-01-04T22:22:36"/>
    <s v="NÃO"/>
    <x v="4"/>
    <x v="0"/>
    <n v="0"/>
    <s v="Codó - MA"/>
    <x v="3"/>
    <x v="4"/>
    <n v="0"/>
  </r>
  <r>
    <n v="10860499"/>
    <d v="2025-01-04T12:31:37"/>
    <s v="NÃO"/>
    <x v="4"/>
    <x v="0"/>
    <n v="0"/>
    <s v="Niterói - RJ"/>
    <x v="0"/>
    <x v="0"/>
    <n v="0"/>
  </r>
  <r>
    <n v="10861032"/>
    <d v="2025-01-04T13:36:08"/>
    <s v="NÃO"/>
    <x v="4"/>
    <x v="0"/>
    <n v="0"/>
    <s v="Brasília - DF"/>
    <x v="0"/>
    <x v="4"/>
    <n v="0"/>
  </r>
  <r>
    <n v="10867131"/>
    <d v="2025-01-04T17:01:39"/>
    <s v="NÃO"/>
    <x v="4"/>
    <x v="0"/>
    <n v="0"/>
    <s v="Santa Ines - MA"/>
    <x v="3"/>
    <x v="4"/>
    <n v="0"/>
  </r>
  <r>
    <n v="10850894"/>
    <d v="2025-01-02T16:22:07"/>
    <s v="NÃO"/>
    <x v="4"/>
    <x v="0"/>
    <n v="0"/>
    <s v="Mangueirinha - PR"/>
    <x v="3"/>
    <x v="4"/>
    <n v="0"/>
  </r>
  <r>
    <n v="10893807"/>
    <d v="2025-01-06T21:42:03"/>
    <s v="NÃO"/>
    <x v="4"/>
    <x v="0"/>
    <n v="0"/>
    <s v="Fortaleza - CE"/>
    <x v="3"/>
    <x v="4"/>
    <n v="0"/>
  </r>
  <r>
    <n v="10898058"/>
    <d v="2025-01-07T10:13:27"/>
    <s v="NÃO"/>
    <x v="4"/>
    <x v="0"/>
    <n v="0"/>
    <s v="Uberlândia - MG"/>
    <x v="1"/>
    <x v="3"/>
    <n v="0"/>
  </r>
  <r>
    <n v="10904180"/>
    <d v="2025-01-07T16:45:44"/>
    <s v="NÃO"/>
    <x v="4"/>
    <x v="0"/>
    <n v="0"/>
    <s v="Barra dos Coqueiros - SE"/>
    <x v="3"/>
    <x v="4"/>
    <n v="0"/>
  </r>
  <r>
    <n v="10920661"/>
    <d v="2025-01-09T11:29:58"/>
    <s v="NÃO"/>
    <x v="4"/>
    <x v="0"/>
    <n v="0"/>
    <s v="Orizona - GO"/>
    <x v="3"/>
    <x v="4"/>
    <n v="0"/>
  </r>
  <r>
    <n v="10915665"/>
    <d v="2025-01-08T14:40:17"/>
    <s v="NÃO"/>
    <x v="4"/>
    <x v="0"/>
    <n v="0"/>
    <s v="São Paulo - SP"/>
    <x v="0"/>
    <x v="4"/>
    <n v="0"/>
  </r>
  <r>
    <n v="10916151"/>
    <d v="2025-01-08T15:22:27"/>
    <s v="NÃO"/>
    <x v="4"/>
    <x v="0"/>
    <n v="0"/>
    <s v="Magalhaes de Almeida - MA"/>
    <x v="0"/>
    <x v="4"/>
    <n v="0"/>
  </r>
  <r>
    <n v="10691481"/>
    <d v="2024-12-10T22:59:11"/>
    <s v="NÃO"/>
    <x v="4"/>
    <x v="0"/>
    <n v="0"/>
    <s v="Porto Alegre - RS"/>
    <x v="3"/>
    <x v="4"/>
    <n v="0"/>
  </r>
  <r>
    <n v="10692039"/>
    <d v="2024-12-11T08:01:49"/>
    <s v="NÃO"/>
    <x v="4"/>
    <x v="0"/>
    <n v="0"/>
    <s v="Delfinopolis - MG"/>
    <x v="3"/>
    <x v="4"/>
    <n v="0"/>
  </r>
  <r>
    <n v="11693311"/>
    <d v="2025-03-18T17:23:40"/>
    <s v="NÃO"/>
    <x v="4"/>
    <x v="0"/>
    <n v="0"/>
    <s v="Rio de Janeiro - RJ"/>
    <x v="3"/>
    <x v="0"/>
    <n v="0"/>
  </r>
  <r>
    <n v="11715944"/>
    <d v="2025-03-22T11:01:17"/>
    <s v="NÃO"/>
    <x v="4"/>
    <x v="0"/>
    <n v="0"/>
    <s v="Madre de Deus - BA"/>
    <x v="4"/>
    <x v="5"/>
    <n v="0"/>
  </r>
  <r>
    <n v="11746723"/>
    <d v="2025-03-24T14:29:09"/>
    <s v="NÃO"/>
    <x v="4"/>
    <x v="0"/>
    <n v="0"/>
    <s v="Rio de Janeiro - RJ"/>
    <x v="3"/>
    <x v="0"/>
    <n v="0"/>
  </r>
  <r>
    <n v="11682454"/>
    <d v="2025-03-18T07:46:41"/>
    <s v="NÃO"/>
    <x v="4"/>
    <x v="0"/>
    <n v="0"/>
    <s v="Santa Bárbara d\'Oeste - SP"/>
    <x v="0"/>
    <x v="0"/>
    <n v="0"/>
  </r>
  <r>
    <n v="11685706"/>
    <d v="2025-03-18T11:12:48"/>
    <s v="NÃO"/>
    <x v="4"/>
    <x v="0"/>
    <n v="0"/>
    <s v="Rio de Janeiro - RJ"/>
    <x v="0"/>
    <x v="2"/>
    <n v="0"/>
  </r>
  <r>
    <n v="11549074"/>
    <d v="2025-03-05T10:38:48"/>
    <s v="NÃO"/>
    <x v="4"/>
    <x v="0"/>
    <n v="0"/>
    <s v="Niterói - RJ"/>
    <x v="0"/>
    <x v="0"/>
    <n v="0"/>
  </r>
  <r>
    <n v="11524388"/>
    <d v="2025-03-03T16:37:52"/>
    <s v="NÃO"/>
    <x v="4"/>
    <x v="0"/>
    <n v="0"/>
    <s v="Rio de Janeiro - RJ"/>
    <x v="3"/>
    <x v="5"/>
    <n v="0"/>
  </r>
  <r>
    <n v="11527692"/>
    <d v="2025-03-03T22:18:01"/>
    <s v="NÃO"/>
    <x v="4"/>
    <x v="0"/>
    <n v="0"/>
    <s v="São Paulo - SP"/>
    <x v="0"/>
    <x v="0"/>
    <n v="0"/>
  </r>
  <r>
    <n v="11331877"/>
    <d v="2025-02-11T23:58:31"/>
    <s v="NÃO"/>
    <x v="4"/>
    <x v="0"/>
    <n v="0"/>
    <s v="Rio de Janeiro - RJ"/>
    <x v="4"/>
    <x v="0"/>
    <n v="0"/>
  </r>
  <r>
    <n v="11664724"/>
    <d v="2025-03-16T22:07:39"/>
    <s v="NÃO"/>
    <x v="4"/>
    <x v="0"/>
    <n v="0"/>
    <s v="Barra dos Coqueiros - SE"/>
    <x v="3"/>
    <x v="0"/>
    <n v="0"/>
  </r>
  <r>
    <n v="11707234"/>
    <d v="2025-03-20T09:01:06"/>
    <s v="NÃO"/>
    <x v="4"/>
    <x v="0"/>
    <n v="0"/>
    <s v="Niterói - RJ"/>
    <x v="0"/>
    <x v="0"/>
    <n v="0"/>
  </r>
  <r>
    <n v="11447359"/>
    <d v="2025-02-24T13:42:48"/>
    <s v="NÃO"/>
    <x v="4"/>
    <x v="0"/>
    <n v="0"/>
    <s v="Belo Horizonte - MG"/>
    <x v="1"/>
    <x v="2"/>
    <n v="0"/>
  </r>
  <r>
    <n v="11465068"/>
    <d v="2025-02-25T16:18:36"/>
    <s v="NÃO"/>
    <x v="4"/>
    <x v="0"/>
    <n v="0"/>
    <s v="São Paulo - SP"/>
    <x v="4"/>
    <x v="0"/>
    <n v="0"/>
  </r>
  <r>
    <n v="10951238"/>
    <d v="2025-01-12T16:14:38"/>
    <s v="NÃO"/>
    <x v="4"/>
    <x v="0"/>
    <n v="0"/>
    <s v="Blumenau - SC"/>
    <x v="3"/>
    <x v="4"/>
    <n v="0"/>
  </r>
  <r>
    <n v="11498479"/>
    <d v="2025-03-01T19:17:39"/>
    <s v="NÃO"/>
    <x v="4"/>
    <x v="0"/>
    <n v="0"/>
    <s v="Vila Velha - ES"/>
    <x v="3"/>
    <x v="0"/>
    <n v="0"/>
  </r>
  <r>
    <n v="11498689"/>
    <d v="2025-03-01T20:23:43"/>
    <s v="NÃO"/>
    <x v="4"/>
    <x v="0"/>
    <n v="0"/>
    <s v="Niterói - RJ"/>
    <x v="0"/>
    <x v="0"/>
    <n v="0"/>
  </r>
  <r>
    <n v="11512476"/>
    <d v="2025-03-02T23:18:07"/>
    <s v="NÃO"/>
    <x v="4"/>
    <x v="0"/>
    <n v="0"/>
    <s v="Brasília - DF"/>
    <x v="3"/>
    <x v="5"/>
    <n v="0"/>
  </r>
  <r>
    <n v="11444637"/>
    <d v="2025-02-24T10:42:17"/>
    <s v="NÃO"/>
    <x v="4"/>
    <x v="0"/>
    <n v="0"/>
    <s v="São Paulo - SP"/>
    <x v="0"/>
    <x v="6"/>
    <n v="0"/>
  </r>
  <r>
    <n v="11434479"/>
    <d v="2025-02-23T14:53:47"/>
    <s v="NÃO"/>
    <x v="4"/>
    <x v="0"/>
    <n v="0"/>
    <s v="Pelotas - RS"/>
    <x v="3"/>
    <x v="0"/>
    <n v="0"/>
  </r>
  <r>
    <n v="11393183"/>
    <d v="2025-02-18T17:03:24"/>
    <s v="NÃO"/>
    <x v="4"/>
    <x v="0"/>
    <n v="0"/>
    <s v="Belo Horizonte - MG"/>
    <x v="3"/>
    <x v="4"/>
    <n v="0"/>
  </r>
  <r>
    <n v="11381611"/>
    <d v="2025-02-17T18:52:59"/>
    <s v="NÃO"/>
    <x v="4"/>
    <x v="0"/>
    <n v="0"/>
    <s v="Rio de Janeiro - RJ"/>
    <x v="4"/>
    <x v="0"/>
    <n v="0"/>
  </r>
  <r>
    <n v="11395125"/>
    <d v="2025-02-18T22:02:00"/>
    <s v="NÃO"/>
    <x v="4"/>
    <x v="0"/>
    <n v="0"/>
    <s v="Santo André - SP"/>
    <x v="0"/>
    <x v="3"/>
    <n v="0"/>
  </r>
  <r>
    <n v="11270435"/>
    <d v="2025-02-06T21:02:29"/>
    <s v="NÃO"/>
    <x v="4"/>
    <x v="0"/>
    <n v="0"/>
    <s v="Passo Fundo - RS"/>
    <x v="1"/>
    <x v="6"/>
    <n v="0"/>
  </r>
  <r>
    <n v="11279361"/>
    <d v="2025-02-08T12:04:19"/>
    <s v="NÃO"/>
    <x v="4"/>
    <x v="0"/>
    <n v="0"/>
    <s v="Curitiba - PR"/>
    <x v="3"/>
    <x v="4"/>
    <n v="0"/>
  </r>
  <r>
    <n v="11304512"/>
    <d v="2025-02-09T19:11:02"/>
    <s v="NÃO"/>
    <x v="4"/>
    <x v="0"/>
    <n v="0"/>
    <s v="Santana do Garambeu - MG"/>
    <x v="3"/>
    <x v="0"/>
    <n v="0"/>
  </r>
  <r>
    <n v="11299844"/>
    <d v="2025-02-09T14:28:11"/>
    <s v="NÃO"/>
    <x v="4"/>
    <x v="0"/>
    <n v="0"/>
    <s v="Nova Granada - MG"/>
    <x v="5"/>
    <x v="6"/>
    <n v="0"/>
  </r>
  <r>
    <n v="11511313"/>
    <d v="2025-03-02T18:03:10"/>
    <s v="NÃO"/>
    <x v="4"/>
    <x v="0"/>
    <n v="0"/>
    <s v="Maceió - AL"/>
    <x v="4"/>
    <x v="0"/>
    <n v="0"/>
  </r>
  <r>
    <n v="11300254"/>
    <d v="2025-02-09T14:44:30"/>
    <s v="NÃO"/>
    <x v="4"/>
    <x v="0"/>
    <n v="0"/>
    <s v="Porto União - SC"/>
    <x v="3"/>
    <x v="4"/>
    <n v="0"/>
  </r>
  <r>
    <n v="11569192"/>
    <d v="2025-03-08T12:32:16"/>
    <s v="NÃO"/>
    <x v="4"/>
    <x v="0"/>
    <n v="0"/>
    <s v="Mesquita - RJ"/>
    <x v="3"/>
    <x v="0"/>
    <n v="0"/>
  </r>
  <r>
    <n v="11579756"/>
    <d v="2025-03-09T08:21:45"/>
    <s v="NÃO"/>
    <x v="4"/>
    <x v="0"/>
    <n v="0"/>
    <s v="Teresopolis - RJ"/>
    <x v="0"/>
    <x v="0"/>
    <n v="0"/>
  </r>
  <r>
    <n v="11564403"/>
    <d v="2025-03-08T09:15:40"/>
    <s v="NÃO"/>
    <x v="4"/>
    <x v="0"/>
    <n v="0"/>
    <s v="-"/>
    <x v="0"/>
    <x v="1"/>
    <n v="0"/>
  </r>
  <r>
    <n v="11615648"/>
    <d v="2025-03-11T16:53:45"/>
    <s v="NÃO"/>
    <x v="4"/>
    <x v="0"/>
    <n v="0"/>
    <s v="São Paulo - SP"/>
    <x v="1"/>
    <x v="4"/>
    <n v="0"/>
  </r>
  <r>
    <n v="11623779"/>
    <d v="2025-03-12T12:08:47"/>
    <s v="NÃO"/>
    <x v="4"/>
    <x v="0"/>
    <n v="0"/>
    <s v="São Luís - MA"/>
    <x v="3"/>
    <x v="2"/>
    <n v="0"/>
  </r>
  <r>
    <n v="11628281"/>
    <d v="2025-03-12T16:37:54"/>
    <s v="NÃO"/>
    <x v="4"/>
    <x v="0"/>
    <n v="0"/>
    <s v="Rio de Janeiro - RJ"/>
    <x v="3"/>
    <x v="4"/>
    <n v="0"/>
  </r>
  <r>
    <n v="11737026"/>
    <d v="2025-03-23T18:50:45"/>
    <s v="NÃO"/>
    <x v="4"/>
    <x v="0"/>
    <n v="0"/>
    <s v="São Carlos - SP"/>
    <x v="0"/>
    <x v="6"/>
    <n v="0"/>
  </r>
  <r>
    <n v="11775944"/>
    <d v="2025-03-26T13:59:34"/>
    <s v="NÃO"/>
    <x v="4"/>
    <x v="0"/>
    <n v="0"/>
    <s v="Goiânia - GO"/>
    <x v="0"/>
    <x v="4"/>
    <n v="0"/>
  </r>
  <r>
    <n v="11883217"/>
    <d v="2025-04-06T14:05:44"/>
    <s v="NÃO"/>
    <x v="4"/>
    <x v="0"/>
    <n v="0"/>
    <s v="Osasco - SP"/>
    <x v="0"/>
    <x v="4"/>
    <n v="0"/>
  </r>
  <r>
    <n v="11921300"/>
    <d v="2025-04-08T19:02:58"/>
    <s v="NÃO"/>
    <x v="4"/>
    <x v="0"/>
    <n v="0"/>
    <s v="Belo Horizonte - MG"/>
    <x v="0"/>
    <x v="0"/>
    <n v="0"/>
  </r>
  <r>
    <n v="11951528"/>
    <d v="2025-04-12T14:08:11"/>
    <s v="NÃO"/>
    <x v="4"/>
    <x v="0"/>
    <n v="0"/>
    <s v="Aracaju - SE"/>
    <x v="0"/>
    <x v="4"/>
    <n v="0"/>
  </r>
  <r>
    <n v="11942450"/>
    <d v="2025-04-11T23:33:16"/>
    <s v="NÃO"/>
    <x v="4"/>
    <x v="0"/>
    <n v="0"/>
    <s v="Presidente Epitacio - SP"/>
    <x v="0"/>
    <x v="0"/>
    <n v="0"/>
  </r>
  <r>
    <n v="11916697"/>
    <d v="2025-04-08T14:58:28"/>
    <s v="NÃO"/>
    <x v="4"/>
    <x v="0"/>
    <n v="0"/>
    <s v="Contagem - MG"/>
    <x v="0"/>
    <x v="0"/>
    <n v="0"/>
  </r>
  <r>
    <n v="11858304"/>
    <d v="2025-04-03T18:04:49"/>
    <s v="NÃO"/>
    <x v="4"/>
    <x v="0"/>
    <n v="0"/>
    <s v="Cruz das Almas - BA"/>
    <x v="0"/>
    <x v="0"/>
    <n v="0"/>
  </r>
  <r>
    <n v="11827579"/>
    <d v="2025-03-30T20:21:31"/>
    <s v="NÃO"/>
    <x v="4"/>
    <x v="0"/>
    <n v="0"/>
    <s v="Joinville - SC"/>
    <x v="3"/>
    <x v="0"/>
    <n v="0"/>
  </r>
  <r>
    <n v="11843195"/>
    <d v="2025-04-01T11:24:21"/>
    <s v="NÃO"/>
    <x v="4"/>
    <x v="0"/>
    <n v="0"/>
    <s v="Taquara - RS"/>
    <x v="1"/>
    <x v="0"/>
    <n v="0"/>
  </r>
  <r>
    <n v="11844676"/>
    <d v="2025-04-01T13:31:08"/>
    <s v="NÃO"/>
    <x v="4"/>
    <x v="0"/>
    <n v="0"/>
    <s v="Curitiba - PR"/>
    <x v="4"/>
    <x v="6"/>
    <n v="0"/>
  </r>
  <r>
    <n v="11844725"/>
    <d v="2025-04-01T13:40:00"/>
    <s v="NÃO"/>
    <x v="4"/>
    <x v="0"/>
    <n v="0"/>
    <s v="Curitiba - PR"/>
    <x v="4"/>
    <x v="6"/>
    <n v="0"/>
  </r>
  <r>
    <n v="11865613"/>
    <d v="2025-04-05T11:18:40"/>
    <s v="NÃO"/>
    <x v="4"/>
    <x v="0"/>
    <n v="0"/>
    <s v="Niterói - RJ"/>
    <x v="0"/>
    <x v="2"/>
    <n v="0"/>
  </r>
  <r>
    <n v="12022721"/>
    <d v="2025-04-17T19:49:14"/>
    <s v="NÃO"/>
    <x v="4"/>
    <x v="0"/>
    <n v="0"/>
    <s v="São Paulo - SP"/>
    <x v="0"/>
    <x v="0"/>
    <n v="0"/>
  </r>
  <r>
    <n v="10921422"/>
    <d v="2025-01-09T18:05:04"/>
    <s v="NÃO"/>
    <x v="4"/>
    <x v="2"/>
    <s v="google - cpc"/>
    <s v="Foz do Iguaçu - PR"/>
    <x v="3"/>
    <x v="4"/>
    <n v="0"/>
  </r>
  <r>
    <n v="10922721"/>
    <d v="2025-01-10T12:49:24"/>
    <s v="NÃO"/>
    <x v="4"/>
    <x v="2"/>
    <s v="google - cpc"/>
    <s v="Aracaju - SE"/>
    <x v="0"/>
    <x v="0"/>
    <n v="0"/>
  </r>
  <r>
    <n v="10919044"/>
    <d v="2025-01-08T18:04:43"/>
    <s v="NÃO"/>
    <x v="4"/>
    <x v="2"/>
    <s v="google - cpc"/>
    <s v="São Paulo - SP"/>
    <x v="0"/>
    <x v="0"/>
    <n v="0"/>
  </r>
  <r>
    <n v="10904914"/>
    <d v="2025-01-07T17:31:12"/>
    <s v="NÃO"/>
    <x v="4"/>
    <x v="2"/>
    <s v="google - cpc"/>
    <s v="Rio de Janeiro - RJ"/>
    <x v="3"/>
    <x v="3"/>
    <n v="0"/>
  </r>
  <r>
    <n v="10691527"/>
    <d v="2024-12-10T23:26:27"/>
    <s v="NÃO"/>
    <x v="4"/>
    <x v="2"/>
    <s v="google - cpc"/>
    <s v="Ribeirao Pires - SP"/>
    <x v="0"/>
    <x v="4"/>
    <n v="0"/>
  </r>
  <r>
    <n v="10884777"/>
    <d v="2025-01-06T10:21:45"/>
    <s v="NÃO"/>
    <x v="4"/>
    <x v="2"/>
    <s v="google - cpc"/>
    <s v="Campinas - SP"/>
    <x v="0"/>
    <x v="5"/>
    <n v="0"/>
  </r>
  <r>
    <n v="10893618"/>
    <d v="2025-01-06T20:22:45"/>
    <s v="NÃO"/>
    <x v="4"/>
    <x v="2"/>
    <s v="google - cpc"/>
    <s v="Patrocinio - MG"/>
    <x v="0"/>
    <x v="0"/>
    <n v="0"/>
  </r>
  <r>
    <n v="10877161"/>
    <d v="2025-01-05T15:08:05"/>
    <s v="NÃO"/>
    <x v="4"/>
    <x v="2"/>
    <s v="google - cpc"/>
    <s v="Gravataí - RS"/>
    <x v="1"/>
    <x v="0"/>
    <n v="0"/>
  </r>
  <r>
    <n v="10879479"/>
    <d v="2025-01-05T17:38:40"/>
    <s v="NÃO"/>
    <x v="4"/>
    <x v="2"/>
    <s v="google - cpc"/>
    <s v="Caieiras - SP"/>
    <x v="0"/>
    <x v="0"/>
    <n v="0"/>
  </r>
  <r>
    <n v="10881110"/>
    <d v="2025-01-05T19:51:37"/>
    <s v="NÃO"/>
    <x v="4"/>
    <x v="2"/>
    <s v="google - cpc"/>
    <s v="Caçador - SC"/>
    <x v="0"/>
    <x v="2"/>
    <n v="0"/>
  </r>
  <r>
    <n v="10765916"/>
    <d v="2024-12-17T22:34:39"/>
    <s v="NÃO"/>
    <x v="4"/>
    <x v="2"/>
    <s v="google - cpc"/>
    <s v="Vitória - ES"/>
    <x v="3"/>
    <x v="0"/>
    <n v="0"/>
  </r>
  <r>
    <n v="10781568"/>
    <d v="2024-12-20T10:44:23"/>
    <s v="NÃO"/>
    <x v="4"/>
    <x v="2"/>
    <s v="google - cpc"/>
    <s v="Panambi - RS"/>
    <x v="0"/>
    <x v="0"/>
    <n v="0"/>
  </r>
  <r>
    <n v="10782207"/>
    <d v="2024-12-20T18:12:35"/>
    <s v="NÃO"/>
    <x v="4"/>
    <x v="2"/>
    <s v="google - cpc"/>
    <s v="Brasília - DF"/>
    <x v="0"/>
    <x v="0"/>
    <n v="0"/>
  </r>
  <r>
    <n v="10794033"/>
    <d v="2024-12-21T19:09:11"/>
    <s v="NÃO"/>
    <x v="4"/>
    <x v="2"/>
    <s v="google - cpc"/>
    <s v="Guarulhos - SP"/>
    <x v="0"/>
    <x v="5"/>
    <n v="0"/>
  </r>
  <r>
    <n v="10797650"/>
    <d v="2024-12-22T11:06:07"/>
    <s v="NÃO"/>
    <x v="4"/>
    <x v="2"/>
    <s v="google - cpc"/>
    <s v="São Paulo - SP"/>
    <x v="0"/>
    <x v="0"/>
    <n v="0"/>
  </r>
  <r>
    <n v="10850362"/>
    <d v="2025-01-02T11:16:26"/>
    <s v="NÃO"/>
    <x v="4"/>
    <x v="2"/>
    <s v="google - cpc"/>
    <s v="Resende - RJ"/>
    <x v="0"/>
    <x v="0"/>
    <n v="0"/>
  </r>
  <r>
    <n v="10851143"/>
    <d v="2025-01-02T17:38:03"/>
    <s v="NÃO"/>
    <x v="4"/>
    <x v="2"/>
    <s v="google - cpc"/>
    <s v="Joinville - SC"/>
    <x v="3"/>
    <x v="3"/>
    <n v="0"/>
  </r>
  <r>
    <n v="10751641"/>
    <d v="2024-12-17T09:14:52"/>
    <s v="NÃO"/>
    <x v="4"/>
    <x v="2"/>
    <s v="google - cpc"/>
    <s v="Curitiba - PR"/>
    <x v="4"/>
    <x v="6"/>
    <n v="0"/>
  </r>
  <r>
    <n v="10750569"/>
    <d v="2024-12-17T00:01:42"/>
    <s v="NÃO"/>
    <x v="4"/>
    <x v="2"/>
    <s v="google - cpc"/>
    <s v="Petrópolis - RJ"/>
    <x v="3"/>
    <x v="6"/>
    <n v="0"/>
  </r>
  <r>
    <n v="10594958"/>
    <d v="2024-12-02T20:20:49"/>
    <s v="NÃO"/>
    <x v="1"/>
    <x v="0"/>
    <n v="0"/>
    <s v="Brasília - DF"/>
    <x v="3"/>
    <x v="4"/>
    <n v="0"/>
  </r>
  <r>
    <n v="10590214"/>
    <d v="2024-12-02T14:03:17"/>
    <s v="NÃO"/>
    <x v="1"/>
    <x v="0"/>
    <n v="0"/>
    <s v="Londrina - PR"/>
    <x v="3"/>
    <x v="5"/>
    <n v="0"/>
  </r>
  <r>
    <n v="10610471"/>
    <d v="2024-12-04T03:11:50"/>
    <s v="NÃO"/>
    <x v="1"/>
    <x v="0"/>
    <n v="0"/>
    <s v="Feira de Santana - BA"/>
    <x v="3"/>
    <x v="4"/>
    <n v="0"/>
  </r>
  <r>
    <n v="10580602"/>
    <d v="2024-12-01T17:31:17"/>
    <s v="NÃO"/>
    <x v="1"/>
    <x v="0"/>
    <n v="0"/>
    <s v="Rio de Janeiro - RJ"/>
    <x v="0"/>
    <x v="0"/>
    <n v="0"/>
  </r>
  <r>
    <n v="10580665"/>
    <d v="2024-12-01T17:35:30"/>
    <s v="NÃO"/>
    <x v="1"/>
    <x v="0"/>
    <n v="0"/>
    <s v="Pirai - RJ"/>
    <x v="6"/>
    <x v="4"/>
    <n v="0"/>
  </r>
  <r>
    <n v="10583128"/>
    <d v="2024-12-01T21:20:00"/>
    <s v="NÃO"/>
    <x v="1"/>
    <x v="0"/>
    <n v="0"/>
    <s v="São Luís - MA"/>
    <x v="3"/>
    <x v="4"/>
    <n v="0"/>
  </r>
  <r>
    <n v="10583203"/>
    <d v="2024-12-01T21:54:01"/>
    <s v="NÃO"/>
    <x v="1"/>
    <x v="0"/>
    <n v="0"/>
    <s v="São Luís - MA"/>
    <x v="3"/>
    <x v="4"/>
    <n v="0"/>
  </r>
  <r>
    <n v="10583847"/>
    <d v="2024-12-02T07:31:45"/>
    <s v="NÃO"/>
    <x v="1"/>
    <x v="0"/>
    <n v="0"/>
    <s v="Curitiba - PR"/>
    <x v="3"/>
    <x v="4"/>
    <n v="0"/>
  </r>
  <r>
    <n v="10589210"/>
    <d v="2024-12-02T12:36:44"/>
    <s v="NÃO"/>
    <x v="1"/>
    <x v="0"/>
    <n v="0"/>
    <s v="Ouro Fino - MG"/>
    <x v="3"/>
    <x v="4"/>
    <n v="0"/>
  </r>
  <r>
    <n v="10589395"/>
    <d v="2024-12-02T13:05:06"/>
    <s v="NÃO"/>
    <x v="1"/>
    <x v="0"/>
    <n v="0"/>
    <s v="Maceió - AL"/>
    <x v="3"/>
    <x v="4"/>
    <n v="0"/>
  </r>
  <r>
    <n v="10589414"/>
    <d v="2024-12-02T13:10:17"/>
    <s v="NÃO"/>
    <x v="1"/>
    <x v="0"/>
    <n v="0"/>
    <s v="Curitiba - PR"/>
    <x v="1"/>
    <x v="4"/>
    <n v="0"/>
  </r>
  <r>
    <n v="10589498"/>
    <d v="2024-12-02T13:19:52"/>
    <s v="NÃO"/>
    <x v="1"/>
    <x v="0"/>
    <n v="0"/>
    <s v="Maringá - PR"/>
    <x v="3"/>
    <x v="0"/>
    <n v="0"/>
  </r>
  <r>
    <n v="10608811"/>
    <d v="2024-12-03T18:07:40"/>
    <s v="NÃO"/>
    <x v="1"/>
    <x v="6"/>
    <s v="bing - cpc"/>
    <s v="Rio de Janeiro - RJ"/>
    <x v="3"/>
    <x v="2"/>
    <n v="0"/>
  </r>
  <r>
    <n v="10615968"/>
    <d v="2024-12-04T14:07:21"/>
    <s v="NÃO"/>
    <x v="2"/>
    <x v="2"/>
    <s v="google - cpc"/>
    <s v="Porto Alegre - RS"/>
    <x v="0"/>
    <x v="6"/>
    <n v="0"/>
  </r>
  <r>
    <n v="11257822"/>
    <d v="2025-02-05T10:48:36"/>
    <s v="NÃO"/>
    <x v="2"/>
    <x v="2"/>
    <s v="google - cpc"/>
    <s v="Criciúma - SC"/>
    <x v="3"/>
    <x v="4"/>
    <n v="0"/>
  </r>
  <r>
    <n v="10577408"/>
    <d v="2024-12-01T15:01:44"/>
    <s v="NÃO"/>
    <x v="1"/>
    <x v="0"/>
    <n v="0"/>
    <s v="São João del-Rei - MG"/>
    <x v="0"/>
    <x v="4"/>
    <n v="0"/>
  </r>
  <r>
    <n v="10565887"/>
    <d v="2024-12-01T00:09:34"/>
    <s v="NÃO"/>
    <x v="1"/>
    <x v="0"/>
    <n v="0"/>
    <s v="Goiânia - GO"/>
    <x v="3"/>
    <x v="5"/>
    <n v="0"/>
  </r>
  <r>
    <n v="10572118"/>
    <d v="2024-12-01T12:17:03"/>
    <s v="NÃO"/>
    <x v="1"/>
    <x v="0"/>
    <n v="0"/>
    <s v="Olinda - PE"/>
    <x v="0"/>
    <x v="0"/>
    <n v="0"/>
  </r>
  <r>
    <n v="10637945"/>
    <d v="2024-12-07T15:46:31"/>
    <s v="NÃO"/>
    <x v="1"/>
    <x v="0"/>
    <n v="0"/>
    <s v="São José dos Campos - SP"/>
    <x v="1"/>
    <x v="5"/>
    <n v="0"/>
  </r>
  <r>
    <n v="10638303"/>
    <d v="2024-12-07T16:01:52"/>
    <s v="NÃO"/>
    <x v="1"/>
    <x v="0"/>
    <n v="0"/>
    <s v="Andaraí - RJ"/>
    <x v="5"/>
    <x v="3"/>
    <n v="0"/>
  </r>
  <r>
    <n v="10624639"/>
    <d v="2024-12-06T23:11:19"/>
    <s v="NÃO"/>
    <x v="1"/>
    <x v="0"/>
    <n v="0"/>
    <s v="Itauna - MG"/>
    <x v="0"/>
    <x v="0"/>
    <n v="0"/>
  </r>
  <r>
    <n v="10626690"/>
    <d v="2024-12-07T09:46:54"/>
    <s v="NÃO"/>
    <x v="1"/>
    <x v="0"/>
    <n v="0"/>
    <s v="São Paulo - SP"/>
    <x v="0"/>
    <x v="2"/>
    <n v="0"/>
  </r>
  <r>
    <n v="10655248"/>
    <d v="2024-12-08T16:46:37"/>
    <s v="NÃO"/>
    <x v="1"/>
    <x v="0"/>
    <n v="0"/>
    <s v="Nova Iguaçu - RJ"/>
    <x v="0"/>
    <x v="4"/>
    <n v="0"/>
  </r>
  <r>
    <n v="10657111"/>
    <d v="2024-12-08T18:46:27"/>
    <s v="NÃO"/>
    <x v="1"/>
    <x v="0"/>
    <n v="0"/>
    <s v="Belo Horizonte - MG"/>
    <x v="3"/>
    <x v="3"/>
    <n v="0"/>
  </r>
  <r>
    <n v="10641259"/>
    <d v="2024-12-07T17:39:00"/>
    <s v="NÃO"/>
    <x v="1"/>
    <x v="0"/>
    <n v="0"/>
    <s v="Brasília - DF"/>
    <x v="3"/>
    <x v="4"/>
    <n v="0"/>
  </r>
  <r>
    <n v="10644770"/>
    <d v="2024-12-07T21:30:31"/>
    <s v="NÃO"/>
    <x v="1"/>
    <x v="0"/>
    <n v="0"/>
    <s v="Guaratuba - PR"/>
    <x v="3"/>
    <x v="5"/>
    <n v="0"/>
  </r>
  <r>
    <n v="10644974"/>
    <d v="2024-12-07T22:53:17"/>
    <s v="NÃO"/>
    <x v="1"/>
    <x v="0"/>
    <n v="0"/>
    <s v="Pontes e Lacerda - MT"/>
    <x v="3"/>
    <x v="0"/>
    <n v="0"/>
  </r>
  <r>
    <n v="10623971"/>
    <d v="2024-12-06T17:18:08"/>
    <s v="NÃO"/>
    <x v="1"/>
    <x v="0"/>
    <n v="0"/>
    <s v="Rio do Sul - SC"/>
    <x v="0"/>
    <x v="0"/>
    <n v="0"/>
  </r>
  <r>
    <n v="10624054"/>
    <d v="2024-12-06T18:08:34"/>
    <s v="NÃO"/>
    <x v="1"/>
    <x v="0"/>
    <n v="0"/>
    <s v="Barauna - RN"/>
    <x v="3"/>
    <x v="4"/>
    <n v="0"/>
  </r>
  <r>
    <n v="10623631"/>
    <d v="2024-12-06T14:05:32"/>
    <s v="NÃO"/>
    <x v="1"/>
    <x v="0"/>
    <n v="0"/>
    <s v="Rio de Janeiro - RJ"/>
    <x v="3"/>
    <x v="4"/>
    <n v="0"/>
  </r>
  <r>
    <n v="10621734"/>
    <d v="2024-12-05T13:25:55"/>
    <s v="NÃO"/>
    <x v="1"/>
    <x v="0"/>
    <n v="0"/>
    <s v="Tamboré - SP"/>
    <x v="3"/>
    <x v="4"/>
    <n v="0"/>
  </r>
  <r>
    <n v="10621890"/>
    <d v="2024-12-05T15:02:43"/>
    <s v="NÃO"/>
    <x v="1"/>
    <x v="0"/>
    <n v="0"/>
    <s v="Campo Grande - MS"/>
    <x v="0"/>
    <x v="0"/>
    <n v="0"/>
  </r>
  <r>
    <n v="10621914"/>
    <d v="2024-12-05T15:15:48"/>
    <s v="NÃO"/>
    <x v="1"/>
    <x v="0"/>
    <n v="0"/>
    <s v="Manaus - AM"/>
    <x v="0"/>
    <x v="0"/>
    <n v="0"/>
  </r>
  <r>
    <n v="10622159"/>
    <d v="2024-12-05T17:53:04"/>
    <s v="NÃO"/>
    <x v="1"/>
    <x v="0"/>
    <n v="0"/>
    <s v="Araçatuba - SP"/>
    <x v="3"/>
    <x v="4"/>
    <n v="0"/>
  </r>
  <r>
    <n v="10622261"/>
    <d v="2024-12-05T19:08:32"/>
    <s v="NÃO"/>
    <x v="1"/>
    <x v="0"/>
    <n v="0"/>
    <s v="Uberlândia - MG"/>
    <x v="3"/>
    <x v="4"/>
    <n v="0"/>
  </r>
  <r>
    <n v="10622429"/>
    <d v="2024-12-05T21:01:12"/>
    <s v="NÃO"/>
    <x v="1"/>
    <x v="0"/>
    <n v="0"/>
    <s v="São Paulo - SP"/>
    <x v="0"/>
    <x v="2"/>
    <n v="0"/>
  </r>
  <r>
    <n v="10623517"/>
    <d v="2024-12-06T13:33:27"/>
    <s v="NÃO"/>
    <x v="1"/>
    <x v="0"/>
    <n v="0"/>
    <s v="Jales - SP"/>
    <x v="3"/>
    <x v="4"/>
    <n v="0"/>
  </r>
  <r>
    <n v="10614204"/>
    <d v="2024-12-04T10:54:43"/>
    <s v="NÃO"/>
    <x v="1"/>
    <x v="0"/>
    <n v="0"/>
    <s v="Porto Alegre - RS"/>
    <x v="4"/>
    <x v="3"/>
    <n v="0"/>
  </r>
  <r>
    <n v="10597756"/>
    <d v="2024-12-03T10:21:27"/>
    <s v="NÃO"/>
    <x v="1"/>
    <x v="0"/>
    <n v="0"/>
    <s v="Alfenas - MG"/>
    <x v="0"/>
    <x v="2"/>
    <n v="0"/>
  </r>
  <r>
    <n v="10733484"/>
    <d v="2024-12-15T16:29:47"/>
    <s v="NÃO"/>
    <x v="1"/>
    <x v="0"/>
    <n v="0"/>
    <s v="Manaus - AM"/>
    <x v="3"/>
    <x v="4"/>
    <n v="0"/>
  </r>
  <r>
    <n v="10737628"/>
    <d v="2024-12-15T23:30:13"/>
    <s v="NÃO"/>
    <x v="1"/>
    <x v="0"/>
    <n v="0"/>
    <s v="Sao Francisco - MG"/>
    <x v="3"/>
    <x v="4"/>
    <n v="0"/>
  </r>
  <r>
    <n v="10727456"/>
    <d v="2024-12-15T11:05:52"/>
    <s v="NÃO"/>
    <x v="1"/>
    <x v="0"/>
    <n v="0"/>
    <s v="São Paulo - SP"/>
    <x v="3"/>
    <x v="3"/>
    <n v="0"/>
  </r>
  <r>
    <n v="10781389"/>
    <d v="2024-12-20T08:32:13"/>
    <s v="NÃO"/>
    <x v="1"/>
    <x v="0"/>
    <n v="0"/>
    <s v="Picarra - PA"/>
    <x v="3"/>
    <x v="3"/>
    <n v="0"/>
  </r>
  <r>
    <n v="10780737"/>
    <d v="2024-12-19T19:00:29"/>
    <s v="NÃO"/>
    <x v="1"/>
    <x v="0"/>
    <n v="0"/>
    <s v="Tijucas - SC"/>
    <x v="3"/>
    <x v="4"/>
    <n v="0"/>
  </r>
  <r>
    <n v="10804235"/>
    <d v="2024-12-22T22:52:18"/>
    <s v="NÃO"/>
    <x v="1"/>
    <x v="0"/>
    <n v="0"/>
    <s v="Ponta Porã - MS"/>
    <x v="3"/>
    <x v="5"/>
    <n v="0"/>
  </r>
  <r>
    <n v="10808557"/>
    <d v="2024-12-23T13:09:46"/>
    <s v="NÃO"/>
    <x v="1"/>
    <x v="0"/>
    <n v="0"/>
    <s v="Recife - PE"/>
    <x v="0"/>
    <x v="4"/>
    <n v="0"/>
  </r>
  <r>
    <n v="10595672"/>
    <d v="2024-12-03T00:17:38"/>
    <s v="NÃO"/>
    <x v="1"/>
    <x v="6"/>
    <s v="bing - cpc"/>
    <s v="Salvador - BA"/>
    <x v="3"/>
    <x v="3"/>
    <n v="0"/>
  </r>
  <r>
    <n v="10892001"/>
    <d v="2025-01-06T16:36:10"/>
    <s v="NÃO"/>
    <x v="2"/>
    <x v="0"/>
    <n v="0"/>
    <s v="-"/>
    <x v="2"/>
    <x v="1"/>
    <n v="0"/>
  </r>
  <r>
    <n v="10665770"/>
    <d v="2024-12-09T12:16:19"/>
    <s v="NÃO"/>
    <x v="2"/>
    <x v="0"/>
    <n v="0"/>
    <s v="-"/>
    <x v="0"/>
    <x v="3"/>
    <n v="0"/>
  </r>
  <r>
    <n v="10620379"/>
    <d v="2024-12-04T21:48:52"/>
    <s v="NÃO"/>
    <x v="0"/>
    <x v="0"/>
    <n v="0"/>
    <s v="Lagoa Santa - MG"/>
    <x v="0"/>
    <x v="2"/>
    <n v="0"/>
  </r>
  <r>
    <n v="11422465"/>
    <d v="2025-02-22T15:54:23"/>
    <s v="NÃO"/>
    <x v="0"/>
    <x v="2"/>
    <s v="google - cpc"/>
    <s v="Brasília - DF"/>
    <x v="3"/>
    <x v="0"/>
    <n v="0"/>
  </r>
  <r>
    <n v="10643397"/>
    <d v="2024-12-07T19:23:00"/>
    <s v="NÃO"/>
    <x v="1"/>
    <x v="2"/>
    <s v="google - cpc"/>
    <s v="Rio de Janeiro - RJ"/>
    <x v="1"/>
    <x v="5"/>
    <n v="0"/>
  </r>
  <r>
    <n v="10644875"/>
    <d v="2024-12-07T22:13:59"/>
    <s v="NÃO"/>
    <x v="1"/>
    <x v="2"/>
    <s v="google - cpc"/>
    <s v="Salvador - BA"/>
    <x v="3"/>
    <x v="5"/>
    <n v="0"/>
  </r>
  <r>
    <n v="10650572"/>
    <d v="2024-12-08T14:00:20"/>
    <s v="NÃO"/>
    <x v="1"/>
    <x v="2"/>
    <s v="google - cpc"/>
    <s v="Quadra - SP"/>
    <x v="1"/>
    <x v="0"/>
    <n v="0"/>
  </r>
  <r>
    <n v="10665511"/>
    <d v="2024-12-09T11:46:13"/>
    <s v="NÃO"/>
    <x v="1"/>
    <x v="2"/>
    <s v="google - cpc"/>
    <s v="São Paulo - SP"/>
    <x v="3"/>
    <x v="0"/>
    <n v="0"/>
  </r>
  <r>
    <n v="10639663"/>
    <d v="2024-12-07T17:10:16"/>
    <s v="NÃO"/>
    <x v="1"/>
    <x v="2"/>
    <s v="google - cpc"/>
    <s v="Itaperuna - RJ"/>
    <x v="0"/>
    <x v="6"/>
    <n v="0"/>
  </r>
  <r>
    <n v="10627783"/>
    <d v="2024-12-07T10:09:16"/>
    <s v="NÃO"/>
    <x v="1"/>
    <x v="2"/>
    <s v="google - cpc"/>
    <s v="Nova Iguaçu - RJ"/>
    <x v="4"/>
    <x v="0"/>
    <n v="0"/>
  </r>
  <r>
    <n v="10620898"/>
    <d v="2024-12-05T07:50:21"/>
    <s v="NÃO"/>
    <x v="1"/>
    <x v="2"/>
    <s v="google - cpc"/>
    <s v="Brasília - DF"/>
    <x v="0"/>
    <x v="0"/>
    <n v="0"/>
  </r>
  <r>
    <n v="10608837"/>
    <d v="2024-12-03T18:12:40"/>
    <s v="NÃO"/>
    <x v="1"/>
    <x v="2"/>
    <s v="google - cpc"/>
    <s v="São Lourenço - MG"/>
    <x v="0"/>
    <x v="2"/>
    <n v="0"/>
  </r>
  <r>
    <n v="10601766"/>
    <d v="2024-12-03T12:46:59"/>
    <s v="NÃO"/>
    <x v="1"/>
    <x v="2"/>
    <s v="google - cpc"/>
    <s v="São Paulo - SP"/>
    <x v="1"/>
    <x v="4"/>
    <n v="0"/>
  </r>
  <r>
    <n v="10623136"/>
    <d v="2024-12-06T10:34:06"/>
    <s v="NÃO"/>
    <x v="1"/>
    <x v="2"/>
    <s v="google - cpc"/>
    <s v="Uberlândia - MG"/>
    <x v="0"/>
    <x v="0"/>
    <n v="0"/>
  </r>
  <r>
    <n v="10609417"/>
    <d v="2024-12-03T19:33:18"/>
    <s v="NÃO"/>
    <x v="1"/>
    <x v="2"/>
    <s v="google - cpc"/>
    <s v="Fortaleza - CE"/>
    <x v="3"/>
    <x v="0"/>
    <n v="0"/>
  </r>
  <r>
    <n v="10614259"/>
    <d v="2024-12-04T11:00:19"/>
    <s v="NÃO"/>
    <x v="1"/>
    <x v="2"/>
    <s v="google - cpc"/>
    <s v="Rio de Janeiro - RJ"/>
    <x v="0"/>
    <x v="0"/>
    <n v="0"/>
  </r>
  <r>
    <n v="10617978"/>
    <d v="2024-12-04T16:09:33"/>
    <s v="NÃO"/>
    <x v="1"/>
    <x v="2"/>
    <s v="google - cpc"/>
    <s v="Bento Gonçalves - RS"/>
    <x v="3"/>
    <x v="5"/>
    <n v="0"/>
  </r>
  <r>
    <n v="10565957"/>
    <d v="2024-12-01T00:54:11"/>
    <s v="NÃO"/>
    <x v="1"/>
    <x v="2"/>
    <s v="google - cpc"/>
    <s v="Belém - PA"/>
    <x v="3"/>
    <x v="5"/>
    <n v="0"/>
  </r>
  <r>
    <n v="10566399"/>
    <d v="2024-12-01T08:10:58"/>
    <s v="NÃO"/>
    <x v="1"/>
    <x v="2"/>
    <s v="google - cpc"/>
    <s v="Parauapebas - PA"/>
    <x v="3"/>
    <x v="4"/>
    <n v="0"/>
  </r>
  <r>
    <n v="10567513"/>
    <d v="2024-12-01T09:11:01"/>
    <s v="NÃO"/>
    <x v="1"/>
    <x v="2"/>
    <s v="google - cpc"/>
    <s v="Cuiabá - MT"/>
    <x v="0"/>
    <x v="0"/>
    <n v="0"/>
  </r>
  <r>
    <n v="10575766"/>
    <d v="2024-12-01T14:39:39"/>
    <s v="NÃO"/>
    <x v="1"/>
    <x v="2"/>
    <s v="google - cpc"/>
    <s v="Rio de Janeiro - RJ"/>
    <x v="0"/>
    <x v="0"/>
    <n v="0"/>
  </r>
  <r>
    <n v="10584889"/>
    <d v="2024-12-02T09:01:05"/>
    <s v="NÃO"/>
    <x v="1"/>
    <x v="2"/>
    <s v="google - cpc"/>
    <s v="Sao Sebastiao do Paraiso - MG"/>
    <x v="3"/>
    <x v="4"/>
    <n v="0"/>
  </r>
  <r>
    <n v="10588876"/>
    <d v="2024-12-02T11:53:10"/>
    <s v="NÃO"/>
    <x v="1"/>
    <x v="2"/>
    <s v="google - cpc"/>
    <s v="Canoas - RS"/>
    <x v="3"/>
    <x v="0"/>
    <n v="0"/>
  </r>
  <r>
    <n v="10589017"/>
    <d v="2024-12-02T12:07:19"/>
    <s v="NÃO"/>
    <x v="1"/>
    <x v="2"/>
    <s v="google - cpc"/>
    <s v="Mamanguape - PB"/>
    <x v="0"/>
    <x v="0"/>
    <n v="0"/>
  </r>
  <r>
    <n v="10590887"/>
    <d v="2024-12-02T15:02:04"/>
    <s v="NÃO"/>
    <x v="1"/>
    <x v="2"/>
    <s v="google - cpc"/>
    <s v="Poços de Caldas - MG"/>
    <x v="3"/>
    <x v="0"/>
    <n v="0"/>
  </r>
  <r>
    <n v="10595463"/>
    <d v="2024-12-02T22:31:33"/>
    <s v="NÃO"/>
    <x v="1"/>
    <x v="2"/>
    <s v="google - cpc"/>
    <s v="Rio de Janeiro - RJ"/>
    <x v="0"/>
    <x v="0"/>
    <n v="0"/>
  </r>
  <r>
    <n v="10595742"/>
    <d v="2024-12-03T01:46:30"/>
    <s v="NÃO"/>
    <x v="1"/>
    <x v="2"/>
    <s v="google - cpc"/>
    <s v="Peruibe - SP"/>
    <x v="0"/>
    <x v="2"/>
    <n v="0"/>
  </r>
  <r>
    <n v="10595388"/>
    <d v="2024-12-02T22:04:37"/>
    <s v="NÃO"/>
    <x v="1"/>
    <x v="2"/>
    <s v="google - cpc"/>
    <s v="Rio de Janeiro - RJ"/>
    <x v="0"/>
    <x v="0"/>
    <n v="0"/>
  </r>
  <r>
    <n v="10595392"/>
    <d v="2024-12-02T22:05:41"/>
    <s v="NÃO"/>
    <x v="1"/>
    <x v="2"/>
    <s v="google - cpc"/>
    <s v="Divinópolis - MG"/>
    <x v="0"/>
    <x v="6"/>
    <n v="0"/>
  </r>
  <r>
    <n v="10578265"/>
    <d v="2024-12-01T15:57:12"/>
    <s v="NÃO"/>
    <x v="1"/>
    <x v="2"/>
    <s v="google - cpc"/>
    <s v="Maua - SP"/>
    <x v="0"/>
    <x v="5"/>
    <n v="0"/>
  </r>
  <r>
    <n v="10578279"/>
    <d v="2024-12-01T15:58:04"/>
    <s v="NÃO"/>
    <x v="1"/>
    <x v="2"/>
    <s v="google - cpc"/>
    <s v="Belém - PA"/>
    <x v="4"/>
    <x v="0"/>
    <n v="0"/>
  </r>
  <r>
    <n v="10628730"/>
    <d v="2024-12-07T10:35:30"/>
    <s v="NÃO"/>
    <x v="1"/>
    <x v="8"/>
    <s v="rep - ximena-cubillos"/>
    <s v="Sao Joaquim de Bicas - MG"/>
    <x v="6"/>
    <x v="0"/>
    <n v="0"/>
  </r>
  <r>
    <n v="11346670"/>
    <d v="2025-02-14T10:23:44"/>
    <s v="NÃO"/>
    <x v="0"/>
    <x v="7"/>
    <s v="instagram - social"/>
    <s v="Salto - SP"/>
    <x v="0"/>
    <x v="0"/>
    <n v="0"/>
  </r>
  <r>
    <n v="11571805"/>
    <d v="2025-03-08T14:57:35"/>
    <s v="NÃO"/>
    <x v="0"/>
    <x v="7"/>
    <s v="instagram - social"/>
    <s v="Garuva - SC"/>
    <x v="0"/>
    <x v="0"/>
    <n v="0"/>
  </r>
  <r>
    <n v="11379126"/>
    <d v="2025-02-17T15:38:43"/>
    <s v="NÃO"/>
    <x v="0"/>
    <x v="7"/>
    <s v="instagram - social"/>
    <s v="Fortaleza - CE"/>
    <x v="0"/>
    <x v="0"/>
    <n v="0"/>
  </r>
  <r>
    <n v="11405544"/>
    <d v="2025-02-19T19:58:16"/>
    <s v="NÃO"/>
    <x v="0"/>
    <x v="7"/>
    <s v="instagram - social"/>
    <s v="Caxias - MA"/>
    <x v="3"/>
    <x v="0"/>
    <n v="0"/>
  </r>
  <r>
    <n v="11708061"/>
    <d v="2025-03-20T13:36:08"/>
    <s v="NÃO"/>
    <x v="0"/>
    <x v="7"/>
    <s v="instagram - social"/>
    <s v="Porto Velho - RO"/>
    <x v="3"/>
    <x v="4"/>
    <n v="0"/>
  </r>
  <r>
    <n v="11860545"/>
    <d v="2025-04-04T18:57:26"/>
    <s v="NÃO"/>
    <x v="0"/>
    <x v="7"/>
    <s v="instagram - social"/>
    <s v="Guaraciaba do Norte - CE"/>
    <x v="3"/>
    <x v="0"/>
    <n v="0"/>
  </r>
  <r>
    <n v="10790033"/>
    <d v="2024-12-21T15:25:58"/>
    <s v="NÃO"/>
    <x v="0"/>
    <x v="9"/>
    <s v="leads - email"/>
    <s v="Feira de Santana - BA"/>
    <x v="0"/>
    <x v="2"/>
    <n v="0"/>
  </r>
  <r>
    <n v="10790347"/>
    <d v="2024-12-21T15:34:32"/>
    <s v="NÃO"/>
    <x v="0"/>
    <x v="9"/>
    <s v="leads - email"/>
    <s v="Itambacuri - MG"/>
    <x v="0"/>
    <x v="0"/>
    <n v="0"/>
  </r>
  <r>
    <n v="11832452"/>
    <d v="2025-03-31T12:30:09"/>
    <s v="NÃO"/>
    <x v="0"/>
    <x v="1"/>
    <s v="Sales Navigator"/>
    <s v="-"/>
    <x v="6"/>
    <x v="1"/>
    <n v="0"/>
  </r>
  <r>
    <n v="11385747"/>
    <d v="2025-02-18T10:38:00"/>
    <s v="NÃO"/>
    <x v="0"/>
    <x v="2"/>
    <s v="google - cpc"/>
    <s v="Palmas - TO"/>
    <x v="1"/>
    <x v="0"/>
    <n v="0"/>
  </r>
  <r>
    <n v="11371270"/>
    <d v="2025-02-17T01:03:53"/>
    <s v="NÃO"/>
    <x v="0"/>
    <x v="2"/>
    <s v="google - cpc"/>
    <s v="Brasília - DF"/>
    <x v="5"/>
    <x v="0"/>
    <n v="0"/>
  </r>
  <r>
    <n v="11400319"/>
    <d v="2025-02-19T12:19:27"/>
    <s v="NÃO"/>
    <x v="0"/>
    <x v="2"/>
    <s v="google - cpc"/>
    <s v="São Paulo - SP"/>
    <x v="1"/>
    <x v="0"/>
    <n v="0"/>
  </r>
  <r>
    <n v="11348185"/>
    <d v="2025-02-14T22:30:47"/>
    <s v="NÃO"/>
    <x v="0"/>
    <x v="7"/>
    <s v="instagram - social"/>
    <s v="Rio Verde - GO"/>
    <x v="0"/>
    <x v="4"/>
    <n v="0"/>
  </r>
  <r>
    <n v="11826088"/>
    <d v="2025-03-30T17:11:03"/>
    <s v="NÃO"/>
    <x v="0"/>
    <x v="0"/>
    <s v="Sales Navigator"/>
    <s v="-"/>
    <x v="6"/>
    <x v="6"/>
    <n v="0"/>
  </r>
  <r>
    <n v="11619491"/>
    <d v="2025-03-12T09:20:20"/>
    <s v="NÃO"/>
    <x v="0"/>
    <x v="7"/>
    <s v="instagram - social"/>
    <s v="Brasília - DF"/>
    <x v="0"/>
    <x v="0"/>
    <n v="0"/>
  </r>
  <r>
    <n v="11348882"/>
    <d v="2025-02-15T08:24:03"/>
    <s v="NÃO"/>
    <x v="0"/>
    <x v="2"/>
    <s v="google - cpc"/>
    <s v="São Paulo - SP"/>
    <x v="0"/>
    <x v="0"/>
    <n v="0"/>
  </r>
  <r>
    <n v="11363915"/>
    <d v="2025-02-16T13:46:12"/>
    <s v="NÃO"/>
    <x v="0"/>
    <x v="2"/>
    <s v="google - cpc"/>
    <s v="Franco da Rocha - SP"/>
    <x v="3"/>
    <x v="0"/>
    <n v="0"/>
  </r>
  <r>
    <n v="11599483"/>
    <d v="2025-03-10T11:51:11"/>
    <s v="NÃO"/>
    <x v="0"/>
    <x v="9"/>
    <s v="leads - email"/>
    <s v="Hortolândia - SP"/>
    <x v="0"/>
    <x v="0"/>
    <n v="0"/>
  </r>
  <r>
    <n v="11404623"/>
    <d v="2025-02-19T17:10:39"/>
    <s v="NÃO"/>
    <x v="0"/>
    <x v="5"/>
    <s v="youtube - cpc"/>
    <s v="Vitória da Conquista - BA"/>
    <x v="3"/>
    <x v="4"/>
    <n v="0"/>
  </r>
  <r>
    <n v="11356313"/>
    <d v="2025-02-15T16:33:49"/>
    <s v="NÃO"/>
    <x v="0"/>
    <x v="5"/>
    <s v="youtube - cpc"/>
    <s v="Novo Gama - GO"/>
    <x v="0"/>
    <x v="4"/>
    <n v="0"/>
  </r>
  <r>
    <n v="11376032"/>
    <d v="2025-02-17T12:24:11"/>
    <s v="NÃO"/>
    <x v="0"/>
    <x v="5"/>
    <s v="youtube - cpc"/>
    <s v="Sarandi - PR"/>
    <x v="3"/>
    <x v="4"/>
    <n v="0"/>
  </r>
  <r>
    <n v="11318868"/>
    <d v="2025-02-11T07:59:58"/>
    <s v="NÃO"/>
    <x v="0"/>
    <x v="5"/>
    <s v="youtube - cpc"/>
    <s v="Ananindeua - PA"/>
    <x v="3"/>
    <x v="4"/>
    <n v="0"/>
  </r>
  <r>
    <n v="11302924"/>
    <d v="2025-02-09T16:43:44"/>
    <s v="NÃO"/>
    <x v="0"/>
    <x v="5"/>
    <s v="youtube - cpc"/>
    <s v="Caruaru - PE"/>
    <x v="3"/>
    <x v="4"/>
    <n v="0"/>
  </r>
  <r>
    <n v="11618817"/>
    <d v="2025-03-12T08:35:19"/>
    <s v="NÃO"/>
    <x v="0"/>
    <x v="5"/>
    <s v="youtube - cpc"/>
    <s v="Belém - PA"/>
    <x v="3"/>
    <x v="4"/>
    <n v="0"/>
  </r>
  <r>
    <n v="11648017"/>
    <d v="2025-03-15T18:29:17"/>
    <s v="NÃO"/>
    <x v="0"/>
    <x v="5"/>
    <s v="youtube - cpc"/>
    <s v="Belém - PA"/>
    <x v="3"/>
    <x v="4"/>
    <n v="0"/>
  </r>
  <r>
    <n v="11345196"/>
    <d v="2025-02-13T15:11:51"/>
    <s v="NÃO"/>
    <x v="0"/>
    <x v="5"/>
    <s v="youtube - cpc"/>
    <s v="Belo Horizonte - MG"/>
    <x v="3"/>
    <x v="4"/>
    <n v="0"/>
  </r>
  <r>
    <n v="11425029"/>
    <d v="2025-02-22T18:07:47"/>
    <s v="NÃO"/>
    <x v="0"/>
    <x v="5"/>
    <s v="youtube - cpc"/>
    <s v="Santarém - PA"/>
    <x v="3"/>
    <x v="4"/>
    <n v="0"/>
  </r>
  <r>
    <n v="11405634"/>
    <d v="2025-02-19T20:43:13"/>
    <s v="NÃO"/>
    <x v="0"/>
    <x v="2"/>
    <s v="google - cpc"/>
    <s v="Brasília - DF"/>
    <x v="0"/>
    <x v="0"/>
    <n v="0"/>
  </r>
  <r>
    <n v="11394061"/>
    <d v="2025-02-18T17:41:36"/>
    <s v="NÃO"/>
    <x v="0"/>
    <x v="2"/>
    <s v="google - cpc"/>
    <s v="Piracicaba - SP"/>
    <x v="6"/>
    <x v="0"/>
    <n v="0"/>
  </r>
  <r>
    <n v="11407220"/>
    <d v="2025-02-20T12:20:29"/>
    <s v="NÃO"/>
    <x v="0"/>
    <x v="2"/>
    <s v="google - cpc"/>
    <s v="São Paulo - SP"/>
    <x v="0"/>
    <x v="4"/>
    <n v="0"/>
  </r>
  <r>
    <n v="11440821"/>
    <d v="2025-02-23T20:20:48"/>
    <s v="NÃO"/>
    <x v="0"/>
    <x v="2"/>
    <s v="google - cpc"/>
    <s v="Feira de Santana - BA"/>
    <x v="3"/>
    <x v="4"/>
    <n v="0"/>
  </r>
  <r>
    <n v="11379346"/>
    <d v="2025-02-17T15:54:58"/>
    <s v="NÃO"/>
    <x v="0"/>
    <x v="2"/>
    <s v="google - cpc"/>
    <s v="São Paulo - SP"/>
    <x v="6"/>
    <x v="0"/>
    <n v="0"/>
  </r>
  <r>
    <n v="11062050"/>
    <d v="2025-01-20T16:51:53"/>
    <s v="NÃO"/>
    <x v="0"/>
    <x v="6"/>
    <s v="bing - cpc"/>
    <s v="Guarulhos - SP"/>
    <x v="0"/>
    <x v="0"/>
    <n v="0"/>
  </r>
  <r>
    <n v="10719149"/>
    <d v="2024-12-14T15:10:57"/>
    <s v="NÃO"/>
    <x v="0"/>
    <x v="6"/>
    <s v="bing - cpc"/>
    <s v="São Paulo - SP"/>
    <x v="3"/>
    <x v="2"/>
    <n v="0"/>
  </r>
  <r>
    <n v="11231327"/>
    <d v="2025-02-03T08:54:13"/>
    <s v="NÃO"/>
    <x v="0"/>
    <x v="6"/>
    <s v="bing - cpc"/>
    <s v="Caxias do Sul - RS"/>
    <x v="5"/>
    <x v="3"/>
    <n v="0"/>
  </r>
  <r>
    <n v="11345584"/>
    <d v="2025-02-13T18:44:31"/>
    <s v="NÃO"/>
    <x v="0"/>
    <x v="6"/>
    <s v="bing - cpc"/>
    <s v="Cotia - SP"/>
    <x v="3"/>
    <x v="0"/>
    <n v="0"/>
  </r>
  <r>
    <n v="11857547"/>
    <d v="2025-04-03T12:19:26"/>
    <s v="NÃO"/>
    <x v="0"/>
    <x v="6"/>
    <s v="bing - cpc"/>
    <s v="Edeia - GO"/>
    <x v="0"/>
    <x v="6"/>
    <n v="0"/>
  </r>
  <r>
    <n v="11350108"/>
    <d v="2025-02-15T09:52:04"/>
    <s v="NÃO"/>
    <x v="0"/>
    <x v="7"/>
    <s v="instagram - social"/>
    <s v="Vargem Grande Paulista - SP"/>
    <x v="3"/>
    <x v="4"/>
    <n v="0"/>
  </r>
  <r>
    <n v="11447315"/>
    <d v="2025-02-24T13:38:52"/>
    <s v="NÃO"/>
    <x v="0"/>
    <x v="2"/>
    <s v="google - cpc"/>
    <s v="Extremoz - RN"/>
    <x v="0"/>
    <x v="2"/>
    <n v="0"/>
  </r>
  <r>
    <n v="11483931"/>
    <d v="2025-02-28T14:32:46"/>
    <s v="NÃO"/>
    <x v="0"/>
    <x v="2"/>
    <s v="google - cpc"/>
    <s v="Campo Grande - MS"/>
    <x v="0"/>
    <x v="2"/>
    <n v="0"/>
  </r>
  <r>
    <n v="10816536"/>
    <d v="2024-12-25T21:08:30"/>
    <s v="NÃO"/>
    <x v="0"/>
    <x v="0"/>
    <n v="0"/>
    <s v="Florianópolis - SC"/>
    <x v="3"/>
    <x v="4"/>
    <n v="0"/>
  </r>
  <r>
    <n v="10868823"/>
    <d v="2025-01-04T18:24:09"/>
    <s v="NÃO"/>
    <x v="0"/>
    <x v="0"/>
    <n v="0"/>
    <s v="Governador Valadares - MG"/>
    <x v="0"/>
    <x v="0"/>
    <n v="0"/>
  </r>
  <r>
    <n v="10870501"/>
    <d v="2025-01-05T08:25:42"/>
    <s v="NÃO"/>
    <x v="0"/>
    <x v="0"/>
    <n v="0"/>
    <s v="Belo Horizonte - MG"/>
    <x v="0"/>
    <x v="4"/>
    <n v="0"/>
  </r>
  <r>
    <n v="10873254"/>
    <d v="2025-01-05T10:31:24"/>
    <s v="NÃO"/>
    <x v="0"/>
    <x v="0"/>
    <n v="0"/>
    <s v="Campo Ere - SC"/>
    <x v="3"/>
    <x v="4"/>
    <n v="0"/>
  </r>
  <r>
    <n v="10877455"/>
    <d v="2025-01-05T15:26:00"/>
    <s v="NÃO"/>
    <x v="0"/>
    <x v="0"/>
    <n v="0"/>
    <s v="Patrocinio - MG"/>
    <x v="0"/>
    <x v="4"/>
    <n v="0"/>
  </r>
  <r>
    <n v="10904333"/>
    <d v="2025-01-07T16:54:51"/>
    <s v="NÃO"/>
    <x v="0"/>
    <x v="0"/>
    <n v="0"/>
    <s v="Feira de Santana - BA"/>
    <x v="0"/>
    <x v="4"/>
    <n v="0"/>
  </r>
  <r>
    <n v="10704139"/>
    <d v="2024-12-12T20:40:43"/>
    <s v="NÃO"/>
    <x v="0"/>
    <x v="0"/>
    <n v="0"/>
    <s v="Campinas - SP"/>
    <x v="3"/>
    <x v="4"/>
    <n v="0"/>
  </r>
  <r>
    <n v="10894240"/>
    <d v="2025-01-07T02:16:45"/>
    <s v="NÃO"/>
    <x v="0"/>
    <x v="0"/>
    <n v="0"/>
    <s v="Aracaju - SE"/>
    <x v="3"/>
    <x v="4"/>
    <n v="0"/>
  </r>
  <r>
    <n v="10881268"/>
    <d v="2025-01-05T20:49:32"/>
    <s v="NÃO"/>
    <x v="0"/>
    <x v="0"/>
    <n v="0"/>
    <s v="Tamboré - SP"/>
    <x v="0"/>
    <x v="4"/>
    <n v="0"/>
  </r>
  <r>
    <n v="10825193"/>
    <d v="2024-12-28T16:26:48"/>
    <s v="NÃO"/>
    <x v="0"/>
    <x v="0"/>
    <n v="0"/>
    <s v="Fortaleza - CE"/>
    <x v="3"/>
    <x v="4"/>
    <n v="0"/>
  </r>
  <r>
    <n v="10847542"/>
    <d v="2024-12-31T11:36:36"/>
    <s v="NÃO"/>
    <x v="0"/>
    <x v="0"/>
    <n v="0"/>
    <s v="Manaus - AM"/>
    <x v="0"/>
    <x v="4"/>
    <n v="0"/>
  </r>
  <r>
    <n v="10613309"/>
    <d v="2024-12-04T10:13:18"/>
    <s v="NÃO"/>
    <x v="0"/>
    <x v="0"/>
    <n v="0"/>
    <s v="Iguatu - CE"/>
    <x v="1"/>
    <x v="0"/>
    <n v="0"/>
  </r>
  <r>
    <n v="10796614"/>
    <d v="2024-12-22T10:08:24"/>
    <s v="NÃO"/>
    <x v="0"/>
    <x v="0"/>
    <n v="0"/>
    <s v="Aparecida de Goiania - GO"/>
    <x v="3"/>
    <x v="4"/>
    <n v="0"/>
  </r>
  <r>
    <n v="10801540"/>
    <d v="2024-12-22T16:00:30"/>
    <s v="NÃO"/>
    <x v="0"/>
    <x v="0"/>
    <n v="0"/>
    <s v="Búzios - RJ"/>
    <x v="3"/>
    <x v="4"/>
    <n v="0"/>
  </r>
  <r>
    <n v="11461304"/>
    <d v="2025-02-25T14:23:11"/>
    <s v="NÃO"/>
    <x v="0"/>
    <x v="0"/>
    <n v="0"/>
    <s v="São Paulo - SP"/>
    <x v="1"/>
    <x v="0"/>
    <n v="0"/>
  </r>
  <r>
    <n v="11095212"/>
    <d v="2025-01-24T14:06:12"/>
    <s v="NÃO"/>
    <x v="0"/>
    <x v="0"/>
    <n v="0"/>
    <s v="Teresina - PI"/>
    <x v="0"/>
    <x v="0"/>
    <n v="0"/>
  </r>
  <r>
    <n v="11090607"/>
    <d v="2025-01-22T20:04:46"/>
    <s v="NÃO"/>
    <x v="0"/>
    <x v="0"/>
    <n v="0"/>
    <s v="Goiânia - GO"/>
    <x v="0"/>
    <x v="0"/>
    <n v="0"/>
  </r>
  <r>
    <n v="10971582"/>
    <d v="2025-01-14T02:54:50"/>
    <s v="NÃO"/>
    <x v="0"/>
    <x v="0"/>
    <n v="0"/>
    <s v="Jundiaí - SP"/>
    <x v="3"/>
    <x v="4"/>
    <n v="0"/>
  </r>
  <r>
    <n v="11072933"/>
    <d v="2025-01-21T15:48:24"/>
    <s v="NÃO"/>
    <x v="0"/>
    <x v="0"/>
    <n v="0"/>
    <s v="Porto União - SC"/>
    <x v="0"/>
    <x v="0"/>
    <n v="0"/>
  </r>
  <r>
    <n v="11038381"/>
    <d v="2025-01-19T13:55:17"/>
    <s v="NÃO"/>
    <x v="0"/>
    <x v="0"/>
    <n v="0"/>
    <s v="Rio Pardo - RS"/>
    <x v="3"/>
    <x v="4"/>
    <n v="0"/>
  </r>
  <r>
    <n v="11280537"/>
    <d v="2025-02-08T12:50:27"/>
    <s v="NÃO"/>
    <x v="0"/>
    <x v="0"/>
    <n v="0"/>
    <s v="Arapiraca - AL"/>
    <x v="3"/>
    <x v="4"/>
    <n v="0"/>
  </r>
  <r>
    <n v="11346500"/>
    <d v="2025-02-14T08:35:10"/>
    <s v="NÃO"/>
    <x v="0"/>
    <x v="0"/>
    <n v="0"/>
    <s v="Rio Branco - AC"/>
    <x v="0"/>
    <x v="0"/>
    <n v="0"/>
  </r>
  <r>
    <n v="11360269"/>
    <d v="2025-02-16T09:10:34"/>
    <s v="NÃO"/>
    <x v="0"/>
    <x v="0"/>
    <n v="0"/>
    <s v="Salvador - BA"/>
    <x v="0"/>
    <x v="0"/>
    <n v="0"/>
  </r>
  <r>
    <n v="11368045"/>
    <d v="2025-02-16T15:37:14"/>
    <s v="NÃO"/>
    <x v="0"/>
    <x v="0"/>
    <n v="0"/>
    <s v="Pitangueiras - SP"/>
    <x v="1"/>
    <x v="2"/>
    <n v="0"/>
  </r>
  <r>
    <n v="11380279"/>
    <d v="2025-02-17T16:46:00"/>
    <s v="NÃO"/>
    <x v="0"/>
    <x v="0"/>
    <n v="0"/>
    <s v="Ribeirão Preto - SP"/>
    <x v="0"/>
    <x v="6"/>
    <n v="0"/>
  </r>
  <r>
    <n v="11403007"/>
    <d v="2025-02-19T15:26:32"/>
    <s v="NÃO"/>
    <x v="0"/>
    <x v="0"/>
    <n v="0"/>
    <s v="-"/>
    <x v="3"/>
    <x v="0"/>
    <n v="0"/>
  </r>
  <r>
    <n v="11405328"/>
    <d v="2025-02-19T18:58:14"/>
    <s v="NÃO"/>
    <x v="0"/>
    <x v="0"/>
    <n v="0"/>
    <s v="São Paulo - SP"/>
    <x v="3"/>
    <x v="4"/>
    <n v="0"/>
  </r>
  <r>
    <n v="11518450"/>
    <d v="2025-03-03T12:19:03"/>
    <s v="NÃO"/>
    <x v="0"/>
    <x v="0"/>
    <n v="0"/>
    <s v="São Paulo - SP"/>
    <x v="0"/>
    <x v="0"/>
    <n v="0"/>
  </r>
  <r>
    <n v="11123950"/>
    <d v="2025-01-26T16:10:57"/>
    <s v="NÃO"/>
    <x v="0"/>
    <x v="0"/>
    <n v="0"/>
    <s v="São Paulo - SP"/>
    <x v="0"/>
    <x v="0"/>
    <n v="0"/>
  </r>
  <r>
    <n v="11124460"/>
    <d v="2025-01-26T16:49:10"/>
    <s v="NÃO"/>
    <x v="0"/>
    <x v="0"/>
    <n v="0"/>
    <s v="Rio de Janeiro - RJ"/>
    <x v="1"/>
    <x v="4"/>
    <n v="0"/>
  </r>
  <r>
    <n v="11132858"/>
    <d v="2025-01-27T11:49:58"/>
    <s v="NÃO"/>
    <x v="0"/>
    <x v="0"/>
    <n v="0"/>
    <s v="Butia - RS"/>
    <x v="0"/>
    <x v="0"/>
    <n v="0"/>
  </r>
  <r>
    <n v="11058280"/>
    <d v="2025-01-20T15:13:24"/>
    <s v="NÃO"/>
    <x v="0"/>
    <x v="0"/>
    <n v="0"/>
    <s v="Fortaleza - CE"/>
    <x v="0"/>
    <x v="4"/>
    <n v="0"/>
  </r>
  <r>
    <n v="10962990"/>
    <d v="2025-01-13T13:48:38"/>
    <s v="NÃO"/>
    <x v="0"/>
    <x v="0"/>
    <n v="0"/>
    <s v="Conceicao do Jacuipe - BA"/>
    <x v="3"/>
    <x v="4"/>
    <n v="0"/>
  </r>
  <r>
    <n v="10955391"/>
    <d v="2025-01-13T05:39:35"/>
    <s v="NÃO"/>
    <x v="0"/>
    <x v="0"/>
    <n v="0"/>
    <s v="Campo Belo - MG"/>
    <x v="0"/>
    <x v="0"/>
    <n v="0"/>
  </r>
  <r>
    <n v="10954406"/>
    <d v="2025-01-12T19:19:19"/>
    <s v="NÃO"/>
    <x v="0"/>
    <x v="0"/>
    <n v="0"/>
    <s v="Papagaios - MG"/>
    <x v="3"/>
    <x v="4"/>
    <n v="0"/>
  </r>
  <r>
    <n v="11013051"/>
    <d v="2025-01-17T21:59:41"/>
    <s v="NÃO"/>
    <x v="0"/>
    <x v="0"/>
    <n v="0"/>
    <s v="Manaus - AM"/>
    <x v="3"/>
    <x v="5"/>
    <n v="0"/>
  </r>
  <r>
    <n v="10930723"/>
    <d v="2025-01-11T11:41:19"/>
    <s v="NÃO"/>
    <x v="0"/>
    <x v="0"/>
    <n v="0"/>
    <s v="Teresina - PI"/>
    <x v="0"/>
    <x v="0"/>
    <n v="0"/>
  </r>
  <r>
    <n v="10922736"/>
    <d v="2025-01-10T13:02:14"/>
    <s v="NÃO"/>
    <x v="0"/>
    <x v="0"/>
    <n v="0"/>
    <s v="Ribeirão Preto - SP"/>
    <x v="4"/>
    <x v="4"/>
    <n v="0"/>
  </r>
  <r>
    <n v="10831529"/>
    <d v="2024-12-29T14:24:00"/>
    <s v="NÃO"/>
    <x v="0"/>
    <x v="2"/>
    <s v="google - cpc"/>
    <s v="Ibate - SP"/>
    <x v="0"/>
    <x v="6"/>
    <n v="0"/>
  </r>
  <r>
    <n v="10849506"/>
    <d v="2025-01-01T20:15:45"/>
    <s v="NÃO"/>
    <x v="0"/>
    <x v="2"/>
    <s v="google - cpc"/>
    <s v="Rio de Janeiro - RJ"/>
    <x v="0"/>
    <x v="0"/>
    <n v="0"/>
  </r>
  <r>
    <n v="10899716"/>
    <d v="2025-01-07T11:49:03"/>
    <s v="NÃO"/>
    <x v="0"/>
    <x v="2"/>
    <s v="google - cpc"/>
    <s v="Ipatinga - MG"/>
    <x v="0"/>
    <x v="0"/>
    <n v="0"/>
  </r>
  <r>
    <n v="10934165"/>
    <d v="2025-01-11T14:35:54"/>
    <s v="NÃO"/>
    <x v="0"/>
    <x v="2"/>
    <s v="google - cpc"/>
    <s v="Pelotas - RS"/>
    <x v="5"/>
    <x v="3"/>
    <n v="0"/>
  </r>
  <r>
    <n v="10923734"/>
    <d v="2025-01-10T21:31:25"/>
    <s v="NÃO"/>
    <x v="0"/>
    <x v="2"/>
    <s v="google - cpc"/>
    <s v="Florianópolis - SC"/>
    <x v="0"/>
    <x v="2"/>
    <n v="0"/>
  </r>
  <r>
    <n v="10933472"/>
    <d v="2025-01-11T14:11:59"/>
    <s v="NÃO"/>
    <x v="0"/>
    <x v="2"/>
    <s v="google - cpc"/>
    <s v="Londrina - PR"/>
    <x v="3"/>
    <x v="4"/>
    <n v="0"/>
  </r>
  <r>
    <n v="10915370"/>
    <d v="2025-01-08T14:21:30"/>
    <s v="NÃO"/>
    <x v="0"/>
    <x v="2"/>
    <s v="google - cpc"/>
    <s v="São Paulo - SP"/>
    <x v="3"/>
    <x v="0"/>
    <n v="0"/>
  </r>
  <r>
    <n v="10903742"/>
    <d v="2025-01-07T16:10:19"/>
    <s v="NÃO"/>
    <x v="0"/>
    <x v="2"/>
    <s v="google - cpc"/>
    <s v="Feira de Santana - BA"/>
    <x v="0"/>
    <x v="0"/>
    <n v="0"/>
  </r>
  <r>
    <n v="10912162"/>
    <d v="2025-01-08T11:56:28"/>
    <s v="NÃO"/>
    <x v="0"/>
    <x v="2"/>
    <s v="google - cpc"/>
    <s v="Sabara - MG"/>
    <x v="0"/>
    <x v="2"/>
    <n v="0"/>
  </r>
  <r>
    <n v="10912241"/>
    <d v="2025-01-08T12:01:07"/>
    <s v="NÃO"/>
    <x v="0"/>
    <x v="2"/>
    <s v="google - cpc"/>
    <s v="Sabara - MG"/>
    <x v="0"/>
    <x v="2"/>
    <n v="0"/>
  </r>
  <r>
    <n v="11719927"/>
    <d v="2025-03-22T14:52:37"/>
    <s v="NÃO"/>
    <x v="0"/>
    <x v="0"/>
    <n v="0"/>
    <s v="Belém - PA"/>
    <x v="0"/>
    <x v="3"/>
    <n v="0"/>
  </r>
  <r>
    <n v="11746608"/>
    <d v="2025-03-24T14:20:25"/>
    <s v="NÃO"/>
    <x v="0"/>
    <x v="0"/>
    <n v="0"/>
    <s v="Nova Iguaçu - RJ"/>
    <x v="3"/>
    <x v="4"/>
    <n v="0"/>
  </r>
  <r>
    <n v="11587874"/>
    <d v="2025-03-09T15:11:52"/>
    <s v="NÃO"/>
    <x v="0"/>
    <x v="0"/>
    <n v="0"/>
    <s v="Nova Iguaçu - RJ"/>
    <x v="3"/>
    <x v="4"/>
    <n v="0"/>
  </r>
  <r>
    <n v="11686506"/>
    <d v="2025-03-18T11:51:34"/>
    <s v="NÃO"/>
    <x v="0"/>
    <x v="0"/>
    <n v="0"/>
    <s v="Niterói - RJ"/>
    <x v="3"/>
    <x v="4"/>
    <n v="0"/>
  </r>
  <r>
    <n v="11702239"/>
    <d v="2025-03-19T16:24:38"/>
    <s v="NÃO"/>
    <x v="0"/>
    <x v="0"/>
    <n v="0"/>
    <s v="Cuiabá - MT"/>
    <x v="3"/>
    <x v="4"/>
    <n v="0"/>
  </r>
  <r>
    <n v="11675305"/>
    <d v="2025-03-17T15:21:50"/>
    <s v="NÃO"/>
    <x v="0"/>
    <x v="0"/>
    <n v="0"/>
    <s v="Criciúma - SC"/>
    <x v="0"/>
    <x v="0"/>
    <n v="0"/>
  </r>
  <r>
    <n v="11857034"/>
    <d v="2025-04-03T09:41:33"/>
    <s v="NÃO"/>
    <x v="0"/>
    <x v="0"/>
    <n v="0"/>
    <s v="Campo Limpo Paulista - SP"/>
    <x v="0"/>
    <x v="0"/>
    <n v="0"/>
  </r>
  <r>
    <n v="11948139"/>
    <d v="2025-04-12T11:25:01"/>
    <s v="NÃO"/>
    <x v="0"/>
    <x v="0"/>
    <n v="0"/>
    <s v="Goiânia - GO"/>
    <x v="0"/>
    <x v="0"/>
    <n v="0"/>
  </r>
  <r>
    <n v="10952763"/>
    <d v="2025-01-12T17:00:10"/>
    <s v="NÃO"/>
    <x v="0"/>
    <x v="2"/>
    <s v="google - cpc"/>
    <s v="Tamboré - SP"/>
    <x v="5"/>
    <x v="0"/>
    <n v="0"/>
  </r>
  <r>
    <n v="11290631"/>
    <d v="2025-02-08T19:43:18"/>
    <s v="NÃO"/>
    <x v="0"/>
    <x v="2"/>
    <s v="google - cpc"/>
    <s v="Mogi das Cruzes - SP"/>
    <x v="0"/>
    <x v="0"/>
    <n v="0"/>
  </r>
  <r>
    <n v="11290658"/>
    <d v="2025-02-08T19:51:01"/>
    <s v="NÃO"/>
    <x v="0"/>
    <x v="2"/>
    <s v="google - cpc"/>
    <s v="Mogi das Cruzes - SP"/>
    <x v="0"/>
    <x v="0"/>
    <n v="0"/>
  </r>
  <r>
    <n v="11276200"/>
    <d v="2025-02-08T09:47:07"/>
    <s v="NÃO"/>
    <x v="0"/>
    <x v="2"/>
    <s v="google - cpc"/>
    <s v="São Paulo - SP"/>
    <x v="1"/>
    <x v="6"/>
    <n v="0"/>
  </r>
  <r>
    <n v="11280408"/>
    <d v="2025-02-08T12:36:31"/>
    <s v="NÃO"/>
    <x v="0"/>
    <x v="2"/>
    <s v="google - cpc"/>
    <s v="Porto Real do Colegio - AL"/>
    <x v="0"/>
    <x v="0"/>
    <n v="0"/>
  </r>
  <r>
    <n v="11348385"/>
    <d v="2025-02-15T00:41:58"/>
    <s v="NÃO"/>
    <x v="0"/>
    <x v="2"/>
    <s v="google - cpc"/>
    <s v="Fortaleza - CE"/>
    <x v="6"/>
    <x v="6"/>
    <n v="0"/>
  </r>
  <r>
    <n v="11348065"/>
    <d v="2025-02-14T21:38:47"/>
    <s v="NÃO"/>
    <x v="0"/>
    <x v="2"/>
    <s v="google - cpc"/>
    <s v="São Paulo - SP"/>
    <x v="3"/>
    <x v="0"/>
    <n v="0"/>
  </r>
  <r>
    <n v="11331617"/>
    <d v="2025-02-11T21:46:47"/>
    <s v="NÃO"/>
    <x v="0"/>
    <x v="2"/>
    <s v="google - cpc"/>
    <s v="São Paulo - SP"/>
    <x v="1"/>
    <x v="6"/>
    <n v="0"/>
  </r>
  <r>
    <n v="11333325"/>
    <d v="2025-02-12T09:26:50"/>
    <s v="NÃO"/>
    <x v="0"/>
    <x v="2"/>
    <s v="google - cpc"/>
    <s v="Sapiranga - RS"/>
    <x v="0"/>
    <x v="0"/>
    <n v="0"/>
  </r>
  <r>
    <n v="11346556"/>
    <d v="2025-02-14T09:19:40"/>
    <s v="NÃO"/>
    <x v="0"/>
    <x v="2"/>
    <s v="google - cpc"/>
    <s v="Sabara - MG"/>
    <x v="0"/>
    <x v="3"/>
    <n v="0"/>
  </r>
  <r>
    <n v="11344565"/>
    <d v="2025-02-13T12:29:02"/>
    <s v="NÃO"/>
    <x v="0"/>
    <x v="2"/>
    <s v="google - cpc"/>
    <s v="Humaitá - AM"/>
    <x v="0"/>
    <x v="3"/>
    <n v="0"/>
  </r>
  <r>
    <n v="11301260"/>
    <d v="2025-02-09T15:29:49"/>
    <s v="NÃO"/>
    <x v="0"/>
    <x v="2"/>
    <s v="google - cpc"/>
    <s v="Balneário Camboriú - SC"/>
    <x v="0"/>
    <x v="0"/>
    <n v="0"/>
  </r>
  <r>
    <n v="10751375"/>
    <d v="2024-12-17T08:49:18"/>
    <s v="NÃO"/>
    <x v="0"/>
    <x v="2"/>
    <s v="google - cpc"/>
    <s v="V Redonda - RJ"/>
    <x v="0"/>
    <x v="2"/>
    <n v="0"/>
  </r>
  <r>
    <n v="10782630"/>
    <d v="2024-12-20T22:35:13"/>
    <s v="NÃO"/>
    <x v="0"/>
    <x v="2"/>
    <s v="google - cpc"/>
    <s v="Sumaré - SP"/>
    <x v="0"/>
    <x v="0"/>
    <n v="0"/>
  </r>
  <r>
    <n v="10687926"/>
    <d v="2024-12-10T15:44:01"/>
    <s v="NÃO"/>
    <x v="0"/>
    <x v="2"/>
    <s v="google - cpc"/>
    <s v="Brasília - DF"/>
    <x v="3"/>
    <x v="3"/>
    <n v="0"/>
  </r>
  <r>
    <n v="10691487"/>
    <d v="2024-12-10T23:02:06"/>
    <s v="NÃO"/>
    <x v="0"/>
    <x v="2"/>
    <s v="google - cpc"/>
    <s v="Sorocaba - SP"/>
    <x v="0"/>
    <x v="2"/>
    <n v="0"/>
  </r>
  <r>
    <n v="10719851"/>
    <d v="2024-12-14T15:55:08"/>
    <s v="NÃO"/>
    <x v="0"/>
    <x v="2"/>
    <s v="google - cpc"/>
    <s v="Cianorte - PR"/>
    <x v="0"/>
    <x v="4"/>
    <n v="0"/>
  </r>
  <r>
    <n v="11002797"/>
    <d v="2025-01-15T15:52:33"/>
    <s v="NÃO"/>
    <x v="0"/>
    <x v="2"/>
    <s v="google - cpc"/>
    <s v="Itajaí - SC"/>
    <x v="4"/>
    <x v="0"/>
    <n v="0"/>
  </r>
  <r>
    <n v="10968443"/>
    <d v="2025-01-13T17:02:53"/>
    <s v="NÃO"/>
    <x v="0"/>
    <x v="2"/>
    <s v="google - cpc"/>
    <s v="Guaratuba - PR"/>
    <x v="0"/>
    <x v="0"/>
    <n v="0"/>
  </r>
  <r>
    <n v="10987728"/>
    <d v="2025-01-14T17:28:01"/>
    <s v="NÃO"/>
    <x v="0"/>
    <x v="2"/>
    <s v="google - cpc"/>
    <s v="Curitiba - PR"/>
    <x v="5"/>
    <x v="5"/>
    <n v="0"/>
  </r>
  <r>
    <n v="10992120"/>
    <d v="2025-01-14T22:49:22"/>
    <s v="NÃO"/>
    <x v="0"/>
    <x v="2"/>
    <s v="google - cpc"/>
    <s v="Belo Horizonte - MG"/>
    <x v="0"/>
    <x v="0"/>
    <n v="0"/>
  </r>
  <r>
    <n v="10961468"/>
    <d v="2025-01-13T11:54:24"/>
    <s v="NÃO"/>
    <x v="0"/>
    <x v="2"/>
    <s v="google - cpc"/>
    <s v="Sao Goncalo - RJ"/>
    <x v="1"/>
    <x v="6"/>
    <n v="0"/>
  </r>
  <r>
    <n v="10947994"/>
    <d v="2025-01-12T13:10:17"/>
    <s v="NÃO"/>
    <x v="0"/>
    <x v="2"/>
    <s v="google - cpc"/>
    <s v="Recife - PE"/>
    <x v="3"/>
    <x v="0"/>
    <n v="0"/>
  </r>
  <r>
    <n v="11385999"/>
    <d v="2025-02-18T10:56:23"/>
    <s v="NÃO"/>
    <x v="0"/>
    <x v="8"/>
    <s v="rep - ximena-cubillos"/>
    <s v="São Paulo - SP"/>
    <x v="3"/>
    <x v="5"/>
    <n v="0"/>
  </r>
  <r>
    <n v="11812374"/>
    <d v="2025-03-29T17:58:54"/>
    <s v="NÃO"/>
    <x v="0"/>
    <x v="2"/>
    <s v="google - cpc"/>
    <s v="Niterói - RJ"/>
    <x v="3"/>
    <x v="3"/>
    <n v="0"/>
  </r>
  <r>
    <n v="11803303"/>
    <d v="2025-03-29T11:45:07"/>
    <s v="NÃO"/>
    <x v="0"/>
    <x v="2"/>
    <s v="google - cpc"/>
    <s v="São Paulo - SP"/>
    <x v="3"/>
    <x v="0"/>
    <n v="0"/>
  </r>
  <r>
    <n v="11806684"/>
    <d v="2025-03-29T13:29:09"/>
    <s v="NÃO"/>
    <x v="0"/>
    <x v="2"/>
    <s v="google - cpc"/>
    <s v="Uberlândia - MG"/>
    <x v="1"/>
    <x v="4"/>
    <n v="0"/>
  </r>
  <r>
    <n v="11743456"/>
    <d v="2025-03-24T12:28:20"/>
    <s v="NÃO"/>
    <x v="0"/>
    <x v="2"/>
    <s v="google - cpc"/>
    <s v="São Paulo - SP"/>
    <x v="3"/>
    <x v="0"/>
    <n v="0"/>
  </r>
  <r>
    <n v="11496644"/>
    <d v="2025-03-01T16:58:55"/>
    <s v="NÃO"/>
    <x v="0"/>
    <x v="2"/>
    <s v="google - cpc"/>
    <s v="Brasília - DF"/>
    <x v="0"/>
    <x v="6"/>
    <n v="0"/>
  </r>
  <r>
    <n v="11611126"/>
    <d v="2025-03-11T11:25:44"/>
    <s v="NÃO"/>
    <x v="0"/>
    <x v="2"/>
    <s v="google - cpc"/>
    <s v="Rio de Janeiro - RJ"/>
    <x v="0"/>
    <x v="0"/>
    <n v="0"/>
  </r>
  <r>
    <n v="11607209"/>
    <d v="2025-03-10T22:39:54"/>
    <s v="NÃO"/>
    <x v="0"/>
    <x v="2"/>
    <s v="google - cpc"/>
    <s v="São Paulo - SP"/>
    <x v="0"/>
    <x v="0"/>
    <n v="0"/>
  </r>
  <r>
    <n v="11597932"/>
    <d v="2025-03-10T10:33:11"/>
    <s v="NÃO"/>
    <x v="0"/>
    <x v="2"/>
    <s v="google - cpc"/>
    <s v="Sao Jose de Mipibu - RN"/>
    <x v="3"/>
    <x v="5"/>
    <n v="0"/>
  </r>
  <r>
    <n v="11599540"/>
    <d v="2025-03-10T11:54:13"/>
    <s v="NÃO"/>
    <x v="0"/>
    <x v="2"/>
    <s v="google - cpc"/>
    <s v="Jequié - BA"/>
    <x v="3"/>
    <x v="0"/>
    <n v="0"/>
  </r>
  <r>
    <n v="11664703"/>
    <d v="2025-03-16T22:01:27"/>
    <s v="NÃO"/>
    <x v="0"/>
    <x v="2"/>
    <s v="google - cpc"/>
    <s v="Diadema - SP"/>
    <x v="0"/>
    <x v="0"/>
    <n v="0"/>
  </r>
  <r>
    <n v="10852883"/>
    <d v="2025-01-03T16:17:46"/>
    <s v="NÃO"/>
    <x v="0"/>
    <x v="8"/>
    <s v="rep - ximena-cubillos"/>
    <s v="Campo Largo - PR"/>
    <x v="0"/>
    <x v="2"/>
    <n v="0"/>
  </r>
  <r>
    <n v="11398532"/>
    <d v="2025-02-19T10:39:50"/>
    <s v="NÃO"/>
    <x v="0"/>
    <x v="4"/>
    <s v="facebook - cpc"/>
    <s v="Cotia - SP"/>
    <x v="0"/>
    <x v="0"/>
    <n v="0"/>
  </r>
  <r>
    <n v="11370666"/>
    <d v="2025-02-16T20:14:49"/>
    <s v="NÃO"/>
    <x v="0"/>
    <x v="4"/>
    <s v="facebook - cpc"/>
    <s v="-"/>
    <x v="1"/>
    <x v="2"/>
    <n v="0"/>
  </r>
  <r>
    <n v="11363382"/>
    <d v="2025-02-16T12:47:12"/>
    <s v="NÃO"/>
    <x v="0"/>
    <x v="4"/>
    <s v="facebook - cpc"/>
    <s v="Sitio Novo - RN"/>
    <x v="3"/>
    <x v="0"/>
    <n v="0"/>
  </r>
  <r>
    <n v="11371137"/>
    <d v="2025-02-16T23:21:17"/>
    <s v="NÃO"/>
    <x v="0"/>
    <x v="4"/>
    <s v="facebook - cpc"/>
    <s v="Feira de Santana - BA"/>
    <x v="4"/>
    <x v="2"/>
    <n v="0"/>
  </r>
  <r>
    <n v="11949340"/>
    <d v="2025-04-12T12:12:31"/>
    <s v="NÃO"/>
    <x v="0"/>
    <x v="2"/>
    <s v="google - cpc"/>
    <s v="Guarulhos - SP"/>
    <x v="0"/>
    <x v="2"/>
    <n v="0"/>
  </r>
  <r>
    <n v="11976456"/>
    <d v="2025-04-13T20:31:14"/>
    <s v="NÃO"/>
    <x v="0"/>
    <x v="2"/>
    <s v="google - cpc"/>
    <s v="Rio de Janeiro - RJ"/>
    <x v="3"/>
    <x v="0"/>
    <n v="0"/>
  </r>
  <r>
    <n v="11978275"/>
    <d v="2025-04-14T00:42:20"/>
    <s v="NÃO"/>
    <x v="0"/>
    <x v="2"/>
    <s v="google - cpc"/>
    <s v="Rio de Janeiro - RJ"/>
    <x v="0"/>
    <x v="2"/>
    <n v="0"/>
  </r>
  <r>
    <n v="12012532"/>
    <d v="2025-04-16T11:31:51"/>
    <s v="NÃO"/>
    <x v="0"/>
    <x v="2"/>
    <s v="google - cpc"/>
    <s v="Seabra - BA"/>
    <x v="0"/>
    <x v="0"/>
    <n v="0"/>
  </r>
  <r>
    <n v="12007108"/>
    <d v="2025-04-15T20:12:56"/>
    <s v="NÃO"/>
    <x v="0"/>
    <x v="2"/>
    <s v="google - cpc"/>
    <s v="Macaé - RJ"/>
    <x v="0"/>
    <x v="0"/>
    <n v="0"/>
  </r>
  <r>
    <n v="12002261"/>
    <d v="2025-04-15T14:42:07"/>
    <s v="NÃO"/>
    <x v="0"/>
    <x v="2"/>
    <s v="google - cpc"/>
    <s v="São Paulo - SP"/>
    <x v="4"/>
    <x v="2"/>
    <n v="0"/>
  </r>
  <r>
    <n v="12023868"/>
    <d v="2025-04-18T09:37:40"/>
    <s v="NÃO"/>
    <x v="0"/>
    <x v="2"/>
    <s v="google - cpc"/>
    <s v="Brasília - DF"/>
    <x v="0"/>
    <x v="0"/>
    <n v="0"/>
  </r>
  <r>
    <n v="12023976"/>
    <d v="2025-04-18T10:32:51"/>
    <s v="NÃO"/>
    <x v="0"/>
    <x v="2"/>
    <s v="google - cpc"/>
    <s v="São Paulo - SP"/>
    <x v="0"/>
    <x v="0"/>
    <n v="0"/>
  </r>
  <r>
    <n v="12024031"/>
    <d v="2025-04-18T10:58:55"/>
    <s v="NÃO"/>
    <x v="0"/>
    <x v="2"/>
    <s v="google - cpc"/>
    <s v="Brasília - DF"/>
    <x v="4"/>
    <x v="3"/>
    <n v="0"/>
  </r>
  <r>
    <n v="11395433"/>
    <d v="2025-02-18T23:42:53"/>
    <s v="NÃO"/>
    <x v="0"/>
    <x v="4"/>
    <s v="facebook - cpc"/>
    <s v="Paulista - PE"/>
    <x v="3"/>
    <x v="5"/>
    <n v="0"/>
  </r>
  <r>
    <n v="11382010"/>
    <d v="2025-02-17T20:37:25"/>
    <s v="NÃO"/>
    <x v="0"/>
    <x v="4"/>
    <s v="facebook - cpc"/>
    <s v="Sorocaba - SP"/>
    <x v="3"/>
    <x v="2"/>
    <n v="0"/>
  </r>
  <r>
    <n v="12021648"/>
    <d v="2025-04-17T11:43:29"/>
    <s v="NÃO"/>
    <x v="0"/>
    <x v="2"/>
    <s v="google - cpc"/>
    <s v="Maravilha - SC"/>
    <x v="0"/>
    <x v="0"/>
    <n v="0"/>
  </r>
  <r>
    <n v="11875914"/>
    <d v="2025-04-06T08:58:41"/>
    <s v="NÃO"/>
    <x v="0"/>
    <x v="2"/>
    <s v="google - cpc"/>
    <s v="Rio de Janeiro - RJ"/>
    <x v="3"/>
    <x v="4"/>
    <n v="0"/>
  </r>
  <r>
    <n v="11871590"/>
    <d v="2025-04-05T17:05:20"/>
    <s v="NÃO"/>
    <x v="0"/>
    <x v="2"/>
    <s v="google - cpc"/>
    <s v="São Paulo - SP"/>
    <x v="3"/>
    <x v="0"/>
    <n v="0"/>
  </r>
  <r>
    <n v="11858022"/>
    <d v="2025-04-03T15:56:45"/>
    <s v="NÃO"/>
    <x v="0"/>
    <x v="2"/>
    <s v="google - cpc"/>
    <s v="Rio de Janeiro - RJ"/>
    <x v="5"/>
    <x v="0"/>
    <n v="0"/>
  </r>
  <r>
    <n v="11789649"/>
    <d v="2025-03-28T01:36:12"/>
    <s v="NÃO"/>
    <x v="0"/>
    <x v="2"/>
    <s v="google - cpc"/>
    <s v="Douradina - PR"/>
    <x v="1"/>
    <x v="5"/>
    <n v="0"/>
  </r>
  <r>
    <n v="11738122"/>
    <d v="2025-03-23T23:11:24"/>
    <s v="NÃO"/>
    <x v="0"/>
    <x v="2"/>
    <s v="google - cpc"/>
    <s v="João Pessoa - PB"/>
    <x v="0"/>
    <x v="0"/>
    <n v="0"/>
  </r>
  <r>
    <n v="11680530"/>
    <d v="2025-03-17T20:36:13"/>
    <s v="NÃO"/>
    <x v="0"/>
    <x v="2"/>
    <s v="google - cpc"/>
    <s v="Embu das Artes - SP"/>
    <x v="3"/>
    <x v="3"/>
    <n v="0"/>
  </r>
  <r>
    <n v="11708785"/>
    <d v="2025-03-20T19:20:37"/>
    <s v="NÃO"/>
    <x v="0"/>
    <x v="2"/>
    <s v="google - cpc"/>
    <s v="Itaperuna - RJ"/>
    <x v="0"/>
    <x v="2"/>
    <n v="0"/>
  </r>
  <r>
    <n v="11297983"/>
    <d v="2025-02-09T13:02:28"/>
    <s v="NÃO"/>
    <x v="0"/>
    <x v="4"/>
    <s v="facebook - cpc"/>
    <s v="Belo Horizonte - MG"/>
    <x v="3"/>
    <x v="4"/>
    <n v="0"/>
  </r>
  <r>
    <n v="11331813"/>
    <d v="2025-02-11T23:24:10"/>
    <s v="NÃO"/>
    <x v="0"/>
    <x v="4"/>
    <s v="facebook - cpc"/>
    <s v="São Paulo - SP"/>
    <x v="1"/>
    <x v="3"/>
    <n v="0"/>
  </r>
  <r>
    <n v="10846258"/>
    <d v="2024-12-30T19:26:54"/>
    <s v="NÃO"/>
    <x v="0"/>
    <x v="4"/>
    <s v="facebook - cpc"/>
    <s v="Belo Horizonte - MG"/>
    <x v="0"/>
    <x v="0"/>
    <n v="0"/>
  </r>
  <r>
    <n v="11562089"/>
    <d v="2025-03-07T21:33:44"/>
    <s v="NÃO"/>
    <x v="0"/>
    <x v="4"/>
    <s v="facebook - cpc"/>
    <s v="Fortaleza - CE"/>
    <x v="0"/>
    <x v="4"/>
    <n v="0"/>
  </r>
  <r>
    <n v="11561275"/>
    <d v="2025-03-07T15:19:06"/>
    <s v="NÃO"/>
    <x v="0"/>
    <x v="4"/>
    <s v="facebook - cpc"/>
    <s v="Rio de Janeiro - RJ"/>
    <x v="3"/>
    <x v="2"/>
    <n v="0"/>
  </r>
  <r>
    <n v="11566253"/>
    <d v="2025-03-08T10:22:05"/>
    <s v="NÃO"/>
    <x v="0"/>
    <x v="4"/>
    <s v="facebook - cpc"/>
    <s v="João Pessoa - PB"/>
    <x v="3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A7A62-C99B-4F5F-9390-1F18460826D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7" firstHeaderRow="0" firstDataRow="1" firstDataCol="1"/>
  <pivotFields count="10">
    <pivotField dataField="1" showAll="0"/>
    <pivotField numFmtId="22" showAll="0"/>
    <pivotField showAll="0"/>
    <pivotField showAll="0"/>
    <pivotField axis="axisRow" showAll="0">
      <items count="14">
        <item x="6"/>
        <item x="10"/>
        <item x="4"/>
        <item x="2"/>
        <item x="11"/>
        <item x="12"/>
        <item x="7"/>
        <item x="9"/>
        <item x="3"/>
        <item x="0"/>
        <item x="1"/>
        <item x="8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LEAD_ID" fld="0" subtotal="count" baseField="4" baseItem="0"/>
    <dataField name="Soma de FLAG_CONVERSA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DF37B-C0C7-49EE-936E-D1CA17A97F2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10">
    <pivotField dataField="1" showAll="0"/>
    <pivotField numFmtId="22" showAll="0"/>
    <pivotField showAll="0"/>
    <pivotField axis="axisRow" showAll="0">
      <items count="10">
        <item h="1" x="1"/>
        <item x="7"/>
        <item x="5"/>
        <item x="8"/>
        <item x="6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LEAD_ID" fld="0" subtotal="count" baseField="3" baseItem="0"/>
    <dataField name="Soma de FLAG_CONVERSA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C3F2E-44AF-4C4F-A43D-01E5077AEA7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10">
    <pivotField dataField="1" showAll="0"/>
    <pivotField numFmtId="22" showAll="0"/>
    <pivotField showAll="0"/>
    <pivotField showAll="0"/>
    <pivotField showAll="0"/>
    <pivotField showAll="0"/>
    <pivotField showAll="0"/>
    <pivotField axis="axisRow" showAll="0">
      <items count="8">
        <item h="1" x="2"/>
        <item x="5"/>
        <item h="1" x="3"/>
        <item x="0"/>
        <item x="1"/>
        <item x="6"/>
        <item x="4"/>
        <item t="default"/>
      </items>
    </pivotField>
    <pivotField showAll="0"/>
    <pivotField dataField="1" showAll="0"/>
  </pivotFields>
  <rowFields count="1">
    <field x="7"/>
  </rowFields>
  <rowItems count="6">
    <i>
      <x v="1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LEAD_ID" fld="0" subtotal="count" baseField="7" baseItem="0"/>
    <dataField name="Soma de FLAG_CONVERSA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45563-4765-46FB-96C1-F738D382843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0" firstDataRow="1" firstDataCol="1"/>
  <pivotFields count="10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2"/>
        <item x="5"/>
        <item x="6"/>
        <item x="4"/>
        <item x="3"/>
        <item t="default"/>
      </items>
    </pivotField>
    <pivotField dataField="1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LEAD_ID" fld="0" subtotal="count" baseField="8" baseItem="0"/>
    <dataField name="Soma de FLAG_CONVERSA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D227-FC22-4DD7-B480-A125E9B0A414}">
  <dimension ref="A3:D17"/>
  <sheetViews>
    <sheetView tabSelected="1" workbookViewId="0">
      <selection activeCell="D3" sqref="D3"/>
    </sheetView>
  </sheetViews>
  <sheetFormatPr defaultRowHeight="15" x14ac:dyDescent="0.25"/>
  <cols>
    <col min="1" max="1" width="18.42578125" bestFit="1" customWidth="1"/>
    <col min="2" max="2" width="21.42578125" bestFit="1" customWidth="1"/>
    <col min="3" max="3" width="26.7109375" bestFit="1" customWidth="1"/>
    <col min="4" max="4" width="19.7109375" bestFit="1" customWidth="1"/>
  </cols>
  <sheetData>
    <row r="3" spans="1:4" x14ac:dyDescent="0.25">
      <c r="A3" s="2" t="s">
        <v>583</v>
      </c>
      <c r="B3" t="s">
        <v>586</v>
      </c>
      <c r="C3" t="s">
        <v>585</v>
      </c>
      <c r="D3" t="s">
        <v>587</v>
      </c>
    </row>
    <row r="4" spans="1:4" x14ac:dyDescent="0.25">
      <c r="A4" s="3" t="s">
        <v>16</v>
      </c>
      <c r="B4">
        <v>78</v>
      </c>
      <c r="C4">
        <v>2</v>
      </c>
      <c r="D4" s="4">
        <f>IFERROR(C4/B4,0)</f>
        <v>2.564102564102564E-2</v>
      </c>
    </row>
    <row r="5" spans="1:4" x14ac:dyDescent="0.25">
      <c r="A5" s="3" t="s">
        <v>23</v>
      </c>
      <c r="B5">
        <v>27</v>
      </c>
      <c r="C5">
        <v>1</v>
      </c>
      <c r="D5" s="4">
        <f t="shared" ref="D5:D17" si="0">IFERROR(C5/B5,0)</f>
        <v>3.7037037037037035E-2</v>
      </c>
    </row>
    <row r="6" spans="1:4" x14ac:dyDescent="0.25">
      <c r="A6" s="3" t="s">
        <v>7</v>
      </c>
      <c r="B6">
        <v>279</v>
      </c>
      <c r="C6">
        <v>1</v>
      </c>
      <c r="D6" s="4">
        <f t="shared" si="0"/>
        <v>3.5842293906810036E-3</v>
      </c>
    </row>
    <row r="7" spans="1:4" x14ac:dyDescent="0.25">
      <c r="A7" s="3" t="s">
        <v>9</v>
      </c>
      <c r="B7">
        <v>797</v>
      </c>
      <c r="C7">
        <v>35</v>
      </c>
      <c r="D7" s="4">
        <f t="shared" si="0"/>
        <v>4.3914680050188205E-2</v>
      </c>
    </row>
    <row r="8" spans="1:4" x14ac:dyDescent="0.25">
      <c r="A8" s="3" t="s">
        <v>26</v>
      </c>
      <c r="B8">
        <v>4</v>
      </c>
      <c r="C8">
        <v>1</v>
      </c>
      <c r="D8" s="4">
        <f t="shared" si="0"/>
        <v>0.25</v>
      </c>
    </row>
    <row r="9" spans="1:4" x14ac:dyDescent="0.25">
      <c r="A9" s="3" t="s">
        <v>32</v>
      </c>
      <c r="B9">
        <v>2</v>
      </c>
      <c r="C9">
        <v>1</v>
      </c>
      <c r="D9" s="4">
        <f t="shared" si="0"/>
        <v>0.5</v>
      </c>
    </row>
    <row r="10" spans="1:4" x14ac:dyDescent="0.25">
      <c r="A10" s="3" t="s">
        <v>14</v>
      </c>
      <c r="B10">
        <v>59</v>
      </c>
      <c r="C10">
        <v>0</v>
      </c>
      <c r="D10" s="4">
        <f t="shared" si="0"/>
        <v>0</v>
      </c>
    </row>
    <row r="11" spans="1:4" x14ac:dyDescent="0.25">
      <c r="A11" s="3" t="s">
        <v>20</v>
      </c>
      <c r="B11">
        <v>35</v>
      </c>
      <c r="C11">
        <v>1</v>
      </c>
      <c r="D11" s="4">
        <f t="shared" si="0"/>
        <v>2.8571428571428571E-2</v>
      </c>
    </row>
    <row r="12" spans="1:4" x14ac:dyDescent="0.25">
      <c r="A12" s="3" t="s">
        <v>28</v>
      </c>
      <c r="B12">
        <v>15</v>
      </c>
      <c r="C12">
        <v>0</v>
      </c>
      <c r="D12" s="4">
        <f t="shared" si="0"/>
        <v>0</v>
      </c>
    </row>
    <row r="13" spans="1:4" x14ac:dyDescent="0.25">
      <c r="A13" s="3" t="s">
        <v>12</v>
      </c>
      <c r="B13">
        <v>707</v>
      </c>
      <c r="C13">
        <v>30</v>
      </c>
      <c r="D13" s="4">
        <f t="shared" si="0"/>
        <v>4.2432814710042434E-2</v>
      </c>
    </row>
    <row r="14" spans="1:4" x14ac:dyDescent="0.25">
      <c r="A14" s="3" t="s">
        <v>22</v>
      </c>
      <c r="B14">
        <v>188</v>
      </c>
      <c r="C14">
        <v>0</v>
      </c>
      <c r="D14" s="4">
        <f t="shared" si="0"/>
        <v>0</v>
      </c>
    </row>
    <row r="15" spans="1:4" x14ac:dyDescent="0.25">
      <c r="A15" s="3" t="s">
        <v>11</v>
      </c>
      <c r="B15">
        <v>24</v>
      </c>
      <c r="C15">
        <v>0</v>
      </c>
      <c r="D15" s="4">
        <f t="shared" si="0"/>
        <v>0</v>
      </c>
    </row>
    <row r="16" spans="1:4" x14ac:dyDescent="0.25">
      <c r="A16" s="3" t="s">
        <v>18</v>
      </c>
      <c r="B16">
        <v>56</v>
      </c>
      <c r="C16">
        <v>0</v>
      </c>
      <c r="D16" s="4">
        <f t="shared" si="0"/>
        <v>0</v>
      </c>
    </row>
    <row r="17" spans="1:4" x14ac:dyDescent="0.25">
      <c r="A17" s="3" t="s">
        <v>584</v>
      </c>
      <c r="B17">
        <v>2271</v>
      </c>
      <c r="C17">
        <v>72</v>
      </c>
      <c r="D17" s="4">
        <f t="shared" si="0"/>
        <v>3.1704095112285335E-2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5BFA-2DFA-44CE-8B48-D0C592E4B9A1}">
  <dimension ref="A3:D12"/>
  <sheetViews>
    <sheetView workbookViewId="0">
      <selection activeCell="E5" sqref="E5"/>
    </sheetView>
  </sheetViews>
  <sheetFormatPr defaultRowHeight="15" x14ac:dyDescent="0.25"/>
  <cols>
    <col min="1" max="1" width="36.42578125" bestFit="1" customWidth="1"/>
    <col min="2" max="2" width="21.42578125" bestFit="1" customWidth="1"/>
    <col min="3" max="3" width="26.7109375" bestFit="1" customWidth="1"/>
    <col min="4" max="4" width="19.7109375" bestFit="1" customWidth="1"/>
  </cols>
  <sheetData>
    <row r="3" spans="1:4" x14ac:dyDescent="0.25">
      <c r="A3" s="2" t="s">
        <v>583</v>
      </c>
      <c r="B3" t="s">
        <v>586</v>
      </c>
      <c r="C3" t="s">
        <v>585</v>
      </c>
      <c r="D3" t="s">
        <v>587</v>
      </c>
    </row>
    <row r="4" spans="1:4" x14ac:dyDescent="0.25">
      <c r="A4" s="3" t="s">
        <v>41</v>
      </c>
      <c r="B4">
        <v>488</v>
      </c>
      <c r="C4">
        <v>10</v>
      </c>
      <c r="D4" s="4">
        <f>IFERROR(C4/B4,0)</f>
        <v>2.0491803278688523E-2</v>
      </c>
    </row>
    <row r="5" spans="1:4" x14ac:dyDescent="0.25">
      <c r="A5" s="3" t="s">
        <v>39</v>
      </c>
      <c r="B5">
        <v>202</v>
      </c>
      <c r="C5">
        <v>12</v>
      </c>
      <c r="D5" s="4">
        <f>IFERROR(C5/B5,0)</f>
        <v>5.9405940594059403E-2</v>
      </c>
    </row>
    <row r="6" spans="1:4" x14ac:dyDescent="0.25">
      <c r="A6" s="3" t="s">
        <v>40</v>
      </c>
      <c r="B6">
        <v>169</v>
      </c>
      <c r="C6">
        <v>3</v>
      </c>
      <c r="D6" s="4">
        <f t="shared" ref="D6:D12" si="0">IFERROR(C6/B6,0)</f>
        <v>1.7751479289940829E-2</v>
      </c>
    </row>
    <row r="7" spans="1:4" x14ac:dyDescent="0.25">
      <c r="A7" s="3" t="s">
        <v>42</v>
      </c>
      <c r="B7">
        <v>149</v>
      </c>
      <c r="C7">
        <v>6</v>
      </c>
      <c r="D7" s="4">
        <f t="shared" si="0"/>
        <v>4.0268456375838924E-2</v>
      </c>
    </row>
    <row r="8" spans="1:4" x14ac:dyDescent="0.25">
      <c r="A8" s="3" t="s">
        <v>36</v>
      </c>
      <c r="B8">
        <v>166</v>
      </c>
      <c r="C8">
        <v>9</v>
      </c>
      <c r="D8" s="4">
        <f t="shared" si="0"/>
        <v>5.4216867469879519E-2</v>
      </c>
    </row>
    <row r="9" spans="1:4" x14ac:dyDescent="0.25">
      <c r="A9" s="3" t="s">
        <v>37</v>
      </c>
      <c r="B9">
        <v>566</v>
      </c>
      <c r="C9">
        <v>16</v>
      </c>
      <c r="D9" s="4">
        <f t="shared" si="0"/>
        <v>2.8268551236749116E-2</v>
      </c>
    </row>
    <row r="10" spans="1:4" x14ac:dyDescent="0.25">
      <c r="A10" s="3" t="s">
        <v>38</v>
      </c>
      <c r="B10">
        <v>149</v>
      </c>
      <c r="C10">
        <v>5</v>
      </c>
      <c r="D10" s="4">
        <f t="shared" si="0"/>
        <v>3.3557046979865772E-2</v>
      </c>
    </row>
    <row r="11" spans="1:4" x14ac:dyDescent="0.25">
      <c r="A11" s="3" t="s">
        <v>35</v>
      </c>
      <c r="B11">
        <v>287</v>
      </c>
      <c r="C11">
        <v>9</v>
      </c>
      <c r="D11" s="4">
        <f t="shared" si="0"/>
        <v>3.1358885017421602E-2</v>
      </c>
    </row>
    <row r="12" spans="1:4" x14ac:dyDescent="0.25">
      <c r="A12" s="3" t="s">
        <v>584</v>
      </c>
      <c r="B12">
        <v>2176</v>
      </c>
      <c r="C12">
        <v>70</v>
      </c>
      <c r="D12" s="4">
        <f t="shared" si="0"/>
        <v>3.216911764705882E-2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2008-BA37-4EF6-B3A6-C4A8C4F3C534}">
  <dimension ref="A3:D11"/>
  <sheetViews>
    <sheetView workbookViewId="0">
      <selection activeCell="A6" sqref="A6"/>
    </sheetView>
  </sheetViews>
  <sheetFormatPr defaultRowHeight="15" x14ac:dyDescent="0.25"/>
  <cols>
    <col min="1" max="1" width="18.42578125" bestFit="1" customWidth="1"/>
    <col min="2" max="2" width="21.42578125" bestFit="1" customWidth="1"/>
    <col min="3" max="3" width="26.7109375" bestFit="1" customWidth="1"/>
    <col min="4" max="4" width="19.7109375" bestFit="1" customWidth="1"/>
  </cols>
  <sheetData>
    <row r="3" spans="1:4" x14ac:dyDescent="0.25">
      <c r="A3" s="2" t="s">
        <v>583</v>
      </c>
      <c r="B3" t="s">
        <v>586</v>
      </c>
      <c r="C3" t="s">
        <v>585</v>
      </c>
      <c r="D3" t="s">
        <v>587</v>
      </c>
    </row>
    <row r="4" spans="1:4" x14ac:dyDescent="0.25">
      <c r="A4" s="3" t="s">
        <v>571</v>
      </c>
      <c r="B4">
        <v>55</v>
      </c>
      <c r="C4">
        <v>0</v>
      </c>
      <c r="D4" s="4">
        <f>IFERROR(C4/B4,0)</f>
        <v>0</v>
      </c>
    </row>
    <row r="5" spans="1:4" x14ac:dyDescent="0.25">
      <c r="A5" s="3" t="s">
        <v>569</v>
      </c>
      <c r="B5">
        <v>820</v>
      </c>
      <c r="C5">
        <v>33</v>
      </c>
      <c r="D5" s="4">
        <f t="shared" ref="D5:D9" si="0">IFERROR(C5/B5,0)</f>
        <v>4.0243902439024391E-2</v>
      </c>
    </row>
    <row r="6" spans="1:4" x14ac:dyDescent="0.25">
      <c r="A6" s="3" t="s">
        <v>570</v>
      </c>
      <c r="B6">
        <v>285</v>
      </c>
      <c r="C6">
        <v>19</v>
      </c>
      <c r="D6" s="4">
        <f t="shared" si="0"/>
        <v>6.6666666666666666E-2</v>
      </c>
    </row>
    <row r="7" spans="1:4" x14ac:dyDescent="0.25">
      <c r="A7" s="3" t="s">
        <v>573</v>
      </c>
      <c r="B7">
        <v>36</v>
      </c>
      <c r="C7">
        <v>3</v>
      </c>
      <c r="D7" s="4">
        <f t="shared" si="0"/>
        <v>8.3333333333333329E-2</v>
      </c>
    </row>
    <row r="8" spans="1:4" x14ac:dyDescent="0.25">
      <c r="A8" s="3" t="s">
        <v>572</v>
      </c>
      <c r="B8">
        <v>140</v>
      </c>
      <c r="C8">
        <v>11</v>
      </c>
      <c r="D8" s="4">
        <f t="shared" si="0"/>
        <v>7.857142857142857E-2</v>
      </c>
    </row>
    <row r="9" spans="1:4" x14ac:dyDescent="0.25">
      <c r="A9" s="3" t="s">
        <v>584</v>
      </c>
      <c r="B9">
        <v>1336</v>
      </c>
      <c r="C9">
        <v>66</v>
      </c>
      <c r="D9" s="4">
        <f t="shared" si="0"/>
        <v>4.940119760479042E-2</v>
      </c>
    </row>
    <row r="10" spans="1:4" x14ac:dyDescent="0.25">
      <c r="D10" s="4"/>
    </row>
    <row r="11" spans="1:4" x14ac:dyDescent="0.25">
      <c r="D11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F6B7-6D64-4B07-968C-81E88A3FA0B7}">
  <dimension ref="A3:D11"/>
  <sheetViews>
    <sheetView workbookViewId="0">
      <selection activeCell="E11" sqref="E11"/>
    </sheetView>
  </sheetViews>
  <sheetFormatPr defaultRowHeight="15" x14ac:dyDescent="0.25"/>
  <cols>
    <col min="1" max="1" width="25.7109375" bestFit="1" customWidth="1"/>
    <col min="2" max="2" width="21.42578125" bestFit="1" customWidth="1"/>
    <col min="3" max="3" width="26.7109375" bestFit="1" customWidth="1"/>
    <col min="4" max="4" width="19.7109375" bestFit="1" customWidth="1"/>
  </cols>
  <sheetData>
    <row r="3" spans="1:4" x14ac:dyDescent="0.25">
      <c r="A3" s="2" t="s">
        <v>583</v>
      </c>
      <c r="B3" t="s">
        <v>586</v>
      </c>
      <c r="C3" t="s">
        <v>585</v>
      </c>
      <c r="D3" t="s">
        <v>587</v>
      </c>
    </row>
    <row r="4" spans="1:4" x14ac:dyDescent="0.25">
      <c r="A4" s="3">
        <v>0</v>
      </c>
      <c r="B4">
        <v>213</v>
      </c>
      <c r="C4">
        <v>2</v>
      </c>
      <c r="D4" s="4">
        <f>IFERROR(C4/B4,0)</f>
        <v>9.3896713615023476E-3</v>
      </c>
    </row>
    <row r="5" spans="1:4" x14ac:dyDescent="0.25">
      <c r="A5" s="3" t="s">
        <v>575</v>
      </c>
      <c r="B5">
        <v>711</v>
      </c>
      <c r="C5">
        <v>36</v>
      </c>
      <c r="D5" s="4">
        <f t="shared" ref="D5:D11" si="0">IFERROR(C5/B5,0)</f>
        <v>5.0632911392405063E-2</v>
      </c>
    </row>
    <row r="6" spans="1:4" x14ac:dyDescent="0.25">
      <c r="A6" s="3" t="s">
        <v>576</v>
      </c>
      <c r="B6">
        <v>310</v>
      </c>
      <c r="C6">
        <v>9</v>
      </c>
      <c r="D6" s="4">
        <f t="shared" si="0"/>
        <v>2.903225806451613E-2</v>
      </c>
    </row>
    <row r="7" spans="1:4" x14ac:dyDescent="0.25">
      <c r="A7" s="3" t="s">
        <v>579</v>
      </c>
      <c r="B7">
        <v>155</v>
      </c>
      <c r="C7">
        <v>8</v>
      </c>
      <c r="D7" s="4">
        <f t="shared" si="0"/>
        <v>5.1612903225806452E-2</v>
      </c>
    </row>
    <row r="8" spans="1:4" x14ac:dyDescent="0.25">
      <c r="A8" s="3" t="s">
        <v>580</v>
      </c>
      <c r="B8">
        <v>303</v>
      </c>
      <c r="C8">
        <v>4</v>
      </c>
      <c r="D8" s="4">
        <f t="shared" si="0"/>
        <v>1.3201320132013201E-2</v>
      </c>
    </row>
    <row r="9" spans="1:4" x14ac:dyDescent="0.25">
      <c r="A9" s="3" t="s">
        <v>577</v>
      </c>
      <c r="B9">
        <v>343</v>
      </c>
      <c r="C9">
        <v>4</v>
      </c>
      <c r="D9" s="4">
        <f t="shared" si="0"/>
        <v>1.1661807580174927E-2</v>
      </c>
    </row>
    <row r="10" spans="1:4" x14ac:dyDescent="0.25">
      <c r="A10" s="3" t="s">
        <v>578</v>
      </c>
      <c r="B10">
        <v>236</v>
      </c>
      <c r="C10">
        <v>9</v>
      </c>
      <c r="D10" s="4">
        <f t="shared" si="0"/>
        <v>3.8135593220338986E-2</v>
      </c>
    </row>
    <row r="11" spans="1:4" x14ac:dyDescent="0.25">
      <c r="A11" s="3" t="s">
        <v>584</v>
      </c>
      <c r="B11">
        <v>2271</v>
      </c>
      <c r="C11">
        <v>72</v>
      </c>
      <c r="D11" s="4">
        <f t="shared" si="0"/>
        <v>3.1704095112285335E-2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89E1-38D8-4C0D-8991-AC3E8157F6E1}">
  <dimension ref="A1:J2272"/>
  <sheetViews>
    <sheetView zoomScaleNormal="100" workbookViewId="0">
      <selection sqref="A1:J2272"/>
    </sheetView>
  </sheetViews>
  <sheetFormatPr defaultRowHeight="15" x14ac:dyDescent="0.25"/>
  <cols>
    <col min="1" max="1" width="9" bestFit="1" customWidth="1"/>
    <col min="2" max="2" width="15.5703125" bestFit="1" customWidth="1"/>
    <col min="4" max="4" width="36.42578125" bestFit="1" customWidth="1"/>
    <col min="5" max="5" width="17.85546875" bestFit="1" customWidth="1"/>
    <col min="6" max="6" width="20" bestFit="1" customWidth="1"/>
    <col min="7" max="7" width="31.42578125" bestFit="1" customWidth="1"/>
    <col min="8" max="8" width="6.7109375" bestFit="1" customWidth="1"/>
    <col min="9" max="9" width="25.7109375" bestFit="1" customWidth="1"/>
    <col min="10" max="10" width="17.2851562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34</v>
      </c>
      <c r="F1" t="s">
        <v>33</v>
      </c>
      <c r="G1" t="s">
        <v>567</v>
      </c>
      <c r="H1" t="s">
        <v>574</v>
      </c>
      <c r="I1" t="s">
        <v>581</v>
      </c>
      <c r="J1" t="s">
        <v>582</v>
      </c>
    </row>
    <row r="2" spans="1:10" x14ac:dyDescent="0.25">
      <c r="A2">
        <v>11316042</v>
      </c>
      <c r="B2" s="1">
        <v>45698.682986111111</v>
      </c>
      <c r="C2" t="s">
        <v>0</v>
      </c>
      <c r="D2" t="str">
        <f>VLOOKUP(A2,MERCADO!A:B,2,0)</f>
        <v>Varejo</v>
      </c>
      <c r="E2" t="str">
        <f>_xlfn.XLOOKUP(A2, ORIGEM!A:A, ORIGEM!B:B)</f>
        <v>Orgânico</v>
      </c>
      <c r="F2">
        <f>_xlfn.XLOOKUP(A2, ORIGEM!A:A, ORIGEM!C:C)</f>
        <v>0</v>
      </c>
      <c r="G2" t="str">
        <f>_xlfn.XLOOKUP(A2, LOCAL!A:A, LOCAL!B:B)</f>
        <v>Belém - PA</v>
      </c>
      <c r="H2" t="str">
        <f>_xlfn.XLOOKUP(A2, PORTE!A:A, PORTE!B:B)</f>
        <v>1-10</v>
      </c>
      <c r="I2" t="str">
        <f>_xlfn.XLOOKUP(A2, OBJETIVO!A:A, OBJETIVO!B:B)</f>
        <v>Abertura/Expansão</v>
      </c>
      <c r="J2">
        <f>IF(C2="SIM",1,0)</f>
        <v>0</v>
      </c>
    </row>
    <row r="3" spans="1:10" x14ac:dyDescent="0.25">
      <c r="A3">
        <v>11374979</v>
      </c>
      <c r="B3" s="1">
        <v>45705.465601851851</v>
      </c>
      <c r="C3" t="s">
        <v>0</v>
      </c>
      <c r="D3" t="str">
        <f>VLOOKUP(A3,MERCADO!A:B,2,0)</f>
        <v>Varejo</v>
      </c>
      <c r="E3" t="str">
        <f>_xlfn.XLOOKUP(A3, ORIGEM!A:A, ORIGEM!B:B)</f>
        <v>Orgânico</v>
      </c>
      <c r="F3">
        <f>_xlfn.XLOOKUP(A3, ORIGEM!A:A, ORIGEM!C:C)</f>
        <v>0</v>
      </c>
      <c r="G3" t="str">
        <f>_xlfn.XLOOKUP(A3, LOCAL!A:A, LOCAL!B:B)</f>
        <v>São Paulo, SP</v>
      </c>
      <c r="H3" t="str">
        <f>_xlfn.XLOOKUP(A3, PORTE!A:A, PORTE!B:B)</f>
        <v>11-50</v>
      </c>
      <c r="I3">
        <f>_xlfn.XLOOKUP(A3, OBJETIVO!A:A, OBJETIVO!B:B)</f>
        <v>0</v>
      </c>
      <c r="J3">
        <f t="shared" ref="J3:J66" si="0">IF(C3="SIM",1,0)</f>
        <v>0</v>
      </c>
    </row>
    <row r="4" spans="1:10" x14ac:dyDescent="0.25">
      <c r="A4">
        <v>11997870</v>
      </c>
      <c r="B4" s="1">
        <v>45762.462500000001</v>
      </c>
      <c r="C4" t="s">
        <v>0</v>
      </c>
      <c r="D4" t="str">
        <f>VLOOKUP(A4,MERCADO!A:B,2,0)</f>
        <v>Varejo</v>
      </c>
      <c r="E4" t="str">
        <f>_xlfn.XLOOKUP(A4, ORIGEM!A:A, ORIGEM!B:B)</f>
        <v>Prospecção Ativa</v>
      </c>
      <c r="F4" t="str">
        <f>_xlfn.XLOOKUP(A4, ORIGEM!A:A, ORIGEM!C:C)</f>
        <v>Sales Navigator</v>
      </c>
      <c r="G4" t="str">
        <f>_xlfn.XLOOKUP(A4, LOCAL!A:A, LOCAL!B:B)</f>
        <v>-</v>
      </c>
      <c r="H4">
        <f>_xlfn.XLOOKUP(A4, PORTE!A:A, PORTE!B:B)</f>
        <v>0</v>
      </c>
      <c r="I4">
        <f>_xlfn.XLOOKUP(A4, OBJETIVO!A:A, OBJETIVO!B:B)</f>
        <v>0</v>
      </c>
      <c r="J4">
        <f t="shared" si="0"/>
        <v>0</v>
      </c>
    </row>
    <row r="5" spans="1:10" x14ac:dyDescent="0.25">
      <c r="A5">
        <v>11930537</v>
      </c>
      <c r="B5" s="1">
        <v>45756.548854166664</v>
      </c>
      <c r="C5" t="s">
        <v>0</v>
      </c>
      <c r="D5" t="str">
        <f>VLOOKUP(A5,MERCADO!A:B,2,0)</f>
        <v>Varejo</v>
      </c>
      <c r="E5" t="str">
        <f>_xlfn.XLOOKUP(A5, ORIGEM!A:A, ORIGEM!B:B)</f>
        <v>Prospecção Ativa</v>
      </c>
      <c r="F5" t="str">
        <f>_xlfn.XLOOKUP(A5, ORIGEM!A:A, ORIGEM!C:C)</f>
        <v>Sales Navigator</v>
      </c>
      <c r="G5" t="str">
        <f>_xlfn.XLOOKUP(A5, LOCAL!A:A, LOCAL!B:B)</f>
        <v>-</v>
      </c>
      <c r="H5">
        <f>_xlfn.XLOOKUP(A5, PORTE!A:A, PORTE!B:B)</f>
        <v>0</v>
      </c>
      <c r="I5">
        <f>_xlfn.XLOOKUP(A5, OBJETIVO!A:A, OBJETIVO!B:B)</f>
        <v>0</v>
      </c>
      <c r="J5">
        <f t="shared" si="0"/>
        <v>0</v>
      </c>
    </row>
    <row r="6" spans="1:10" x14ac:dyDescent="0.25">
      <c r="A6">
        <v>11899381</v>
      </c>
      <c r="B6" s="1">
        <v>45754.551261574074</v>
      </c>
      <c r="C6" t="s">
        <v>0</v>
      </c>
      <c r="D6" t="str">
        <f>VLOOKUP(A6,MERCADO!A:B,2,0)</f>
        <v>Varejo</v>
      </c>
      <c r="E6" t="str">
        <f>_xlfn.XLOOKUP(A6, ORIGEM!A:A, ORIGEM!B:B)</f>
        <v>Prospecção Ativa</v>
      </c>
      <c r="F6" t="str">
        <f>_xlfn.XLOOKUP(A6, ORIGEM!A:A, ORIGEM!C:C)</f>
        <v>Sales Navigator</v>
      </c>
      <c r="G6" t="str">
        <f>_xlfn.XLOOKUP(A6, LOCAL!A:A, LOCAL!B:B)</f>
        <v>-</v>
      </c>
      <c r="H6">
        <f>_xlfn.XLOOKUP(A6, PORTE!A:A, PORTE!B:B)</f>
        <v>0</v>
      </c>
      <c r="I6">
        <f>_xlfn.XLOOKUP(A6, OBJETIVO!A:A, OBJETIVO!B:B)</f>
        <v>0</v>
      </c>
      <c r="J6">
        <f t="shared" si="0"/>
        <v>0</v>
      </c>
    </row>
    <row r="7" spans="1:10" x14ac:dyDescent="0.25">
      <c r="A7">
        <v>11899592</v>
      </c>
      <c r="B7" s="1">
        <v>45754.564062500001</v>
      </c>
      <c r="C7" t="s">
        <v>0</v>
      </c>
      <c r="D7" t="str">
        <f>VLOOKUP(A7,MERCADO!A:B,2,0)</f>
        <v>Varejo</v>
      </c>
      <c r="E7" t="str">
        <f>_xlfn.XLOOKUP(A7, ORIGEM!A:A, ORIGEM!B:B)</f>
        <v>Prospecção Ativa</v>
      </c>
      <c r="F7" t="str">
        <f>_xlfn.XLOOKUP(A7, ORIGEM!A:A, ORIGEM!C:C)</f>
        <v>Sales Navigator</v>
      </c>
      <c r="G7" t="str">
        <f>_xlfn.XLOOKUP(A7, LOCAL!A:A, LOCAL!B:B)</f>
        <v>-</v>
      </c>
      <c r="H7">
        <f>_xlfn.XLOOKUP(A7, PORTE!A:A, PORTE!B:B)</f>
        <v>0</v>
      </c>
      <c r="I7">
        <f>_xlfn.XLOOKUP(A7, OBJETIVO!A:A, OBJETIVO!B:B)</f>
        <v>0</v>
      </c>
      <c r="J7">
        <f t="shared" si="0"/>
        <v>0</v>
      </c>
    </row>
    <row r="8" spans="1:10" x14ac:dyDescent="0.25">
      <c r="A8">
        <v>11889399</v>
      </c>
      <c r="B8" s="1">
        <v>45753.693148148152</v>
      </c>
      <c r="C8" t="s">
        <v>0</v>
      </c>
      <c r="D8" t="str">
        <f>VLOOKUP(A8,MERCADO!A:B,2,0)</f>
        <v>Varejo</v>
      </c>
      <c r="E8" t="str">
        <f>_xlfn.XLOOKUP(A8, ORIGEM!A:A, ORIGEM!B:B)</f>
        <v>Prospecção Ativa</v>
      </c>
      <c r="F8" t="str">
        <f>_xlfn.XLOOKUP(A8, ORIGEM!A:A, ORIGEM!C:C)</f>
        <v>Sales Navigator</v>
      </c>
      <c r="G8" t="str">
        <f>_xlfn.XLOOKUP(A8, LOCAL!A:A, LOCAL!B:B)</f>
        <v>-</v>
      </c>
      <c r="H8">
        <f>_xlfn.XLOOKUP(A8, PORTE!A:A, PORTE!B:B)</f>
        <v>0</v>
      </c>
      <c r="I8">
        <f>_xlfn.XLOOKUP(A8, OBJETIVO!A:A, OBJETIVO!B:B)</f>
        <v>0</v>
      </c>
      <c r="J8">
        <f t="shared" si="0"/>
        <v>0</v>
      </c>
    </row>
    <row r="9" spans="1:10" x14ac:dyDescent="0.25">
      <c r="A9">
        <v>11842866</v>
      </c>
      <c r="B9" s="1">
        <v>45748.456562500003</v>
      </c>
      <c r="C9" t="s">
        <v>0</v>
      </c>
      <c r="D9" t="str">
        <f>VLOOKUP(A9,MERCADO!A:B,2,0)</f>
        <v>Varejo</v>
      </c>
      <c r="E9" t="str">
        <f>_xlfn.XLOOKUP(A9, ORIGEM!A:A, ORIGEM!B:B)</f>
        <v>Prospecção Ativa</v>
      </c>
      <c r="F9" t="str">
        <f>_xlfn.XLOOKUP(A9, ORIGEM!A:A, ORIGEM!C:C)</f>
        <v>Sales Navigator</v>
      </c>
      <c r="G9" t="str">
        <f>_xlfn.XLOOKUP(A9, LOCAL!A:A, LOCAL!B:B)</f>
        <v>-</v>
      </c>
      <c r="H9">
        <f>_xlfn.XLOOKUP(A9, PORTE!A:A, PORTE!B:B)</f>
        <v>0</v>
      </c>
      <c r="I9">
        <f>_xlfn.XLOOKUP(A9, OBJETIVO!A:A, OBJETIVO!B:B)</f>
        <v>0</v>
      </c>
      <c r="J9">
        <f t="shared" si="0"/>
        <v>0</v>
      </c>
    </row>
    <row r="10" spans="1:10" x14ac:dyDescent="0.25">
      <c r="A10">
        <v>11843011</v>
      </c>
      <c r="B10" s="1">
        <v>45748.464733796296</v>
      </c>
      <c r="C10" t="s">
        <v>0</v>
      </c>
      <c r="D10" t="str">
        <f>VLOOKUP(A10,MERCADO!A:B,2,0)</f>
        <v>Varejo</v>
      </c>
      <c r="E10" t="str">
        <f>_xlfn.XLOOKUP(A10, ORIGEM!A:A, ORIGEM!B:B)</f>
        <v>Prospecção Ativa</v>
      </c>
      <c r="F10" t="str">
        <f>_xlfn.XLOOKUP(A10, ORIGEM!A:A, ORIGEM!C:C)</f>
        <v>Sales Navigator</v>
      </c>
      <c r="G10" t="str">
        <f>_xlfn.XLOOKUP(A10, LOCAL!A:A, LOCAL!B:B)</f>
        <v>-</v>
      </c>
      <c r="H10">
        <f>_xlfn.XLOOKUP(A10, PORTE!A:A, PORTE!B:B)</f>
        <v>0</v>
      </c>
      <c r="I10">
        <f>_xlfn.XLOOKUP(A10, OBJETIVO!A:A, OBJETIVO!B:B)</f>
        <v>0</v>
      </c>
      <c r="J10">
        <f t="shared" si="0"/>
        <v>0</v>
      </c>
    </row>
    <row r="11" spans="1:10" x14ac:dyDescent="0.25">
      <c r="A11">
        <v>11684556</v>
      </c>
      <c r="B11" s="1">
        <v>45734.425173611111</v>
      </c>
      <c r="C11" t="s">
        <v>0</v>
      </c>
      <c r="D11" t="str">
        <f>VLOOKUP(A11,MERCADO!A:B,2,0)</f>
        <v>Varejo</v>
      </c>
      <c r="E11" t="str">
        <f>_xlfn.XLOOKUP(A11, ORIGEM!A:A, ORIGEM!B:B)</f>
        <v>Prospecção Ativa</v>
      </c>
      <c r="F11" t="str">
        <f>_xlfn.XLOOKUP(A11, ORIGEM!A:A, ORIGEM!C:C)</f>
        <v>Sales Navigator</v>
      </c>
      <c r="G11" t="str">
        <f>_xlfn.XLOOKUP(A11, LOCAL!A:A, LOCAL!B:B)</f>
        <v>-</v>
      </c>
      <c r="H11">
        <f>_xlfn.XLOOKUP(A11, PORTE!A:A, PORTE!B:B)</f>
        <v>0</v>
      </c>
      <c r="I11">
        <f>_xlfn.XLOOKUP(A11, OBJETIVO!A:A, OBJETIVO!B:B)</f>
        <v>0</v>
      </c>
      <c r="J11">
        <f t="shared" si="0"/>
        <v>0</v>
      </c>
    </row>
    <row r="12" spans="1:10" x14ac:dyDescent="0.25">
      <c r="A12">
        <v>11685062</v>
      </c>
      <c r="B12" s="1">
        <v>45734.437465277777</v>
      </c>
      <c r="C12" t="s">
        <v>0</v>
      </c>
      <c r="D12" t="str">
        <f>VLOOKUP(A12,MERCADO!A:B,2,0)</f>
        <v>Varejo</v>
      </c>
      <c r="E12" t="str">
        <f>_xlfn.XLOOKUP(A12, ORIGEM!A:A, ORIGEM!B:B)</f>
        <v>Prospecção Ativa</v>
      </c>
      <c r="F12" t="str">
        <f>_xlfn.XLOOKUP(A12, ORIGEM!A:A, ORIGEM!C:C)</f>
        <v>Sales Navigator</v>
      </c>
      <c r="G12" t="str">
        <f>_xlfn.XLOOKUP(A12, LOCAL!A:A, LOCAL!B:B)</f>
        <v>-</v>
      </c>
      <c r="H12">
        <f>_xlfn.XLOOKUP(A12, PORTE!A:A, PORTE!B:B)</f>
        <v>0</v>
      </c>
      <c r="I12">
        <f>_xlfn.XLOOKUP(A12, OBJETIVO!A:A, OBJETIVO!B:B)</f>
        <v>0</v>
      </c>
      <c r="J12">
        <f t="shared" si="0"/>
        <v>0</v>
      </c>
    </row>
    <row r="13" spans="1:10" x14ac:dyDescent="0.25">
      <c r="A13">
        <v>11698167</v>
      </c>
      <c r="B13" s="1">
        <v>45735.49428240741</v>
      </c>
      <c r="C13" t="s">
        <v>0</v>
      </c>
      <c r="D13" t="str">
        <f>VLOOKUP(A13,MERCADO!A:B,2,0)</f>
        <v>Varejo</v>
      </c>
      <c r="E13" t="str">
        <f>_xlfn.XLOOKUP(A13, ORIGEM!A:A, ORIGEM!B:B)</f>
        <v>Prospecção Ativa</v>
      </c>
      <c r="F13" t="str">
        <f>_xlfn.XLOOKUP(A13, ORIGEM!A:A, ORIGEM!C:C)</f>
        <v>Sales Navigator</v>
      </c>
      <c r="G13" t="str">
        <f>_xlfn.XLOOKUP(A13, LOCAL!A:A, LOCAL!B:B)</f>
        <v>-</v>
      </c>
      <c r="H13">
        <f>_xlfn.XLOOKUP(A13, PORTE!A:A, PORTE!B:B)</f>
        <v>0</v>
      </c>
      <c r="I13">
        <f>_xlfn.XLOOKUP(A13, OBJETIVO!A:A, OBJETIVO!B:B)</f>
        <v>0</v>
      </c>
      <c r="J13">
        <f t="shared" si="0"/>
        <v>0</v>
      </c>
    </row>
    <row r="14" spans="1:10" x14ac:dyDescent="0.25">
      <c r="A14">
        <v>11698312</v>
      </c>
      <c r="B14" s="1">
        <v>45735.502106481479</v>
      </c>
      <c r="C14" t="s">
        <v>0</v>
      </c>
      <c r="D14" t="str">
        <f>VLOOKUP(A14,MERCADO!A:B,2,0)</f>
        <v>Varejo</v>
      </c>
      <c r="E14" t="str">
        <f>_xlfn.XLOOKUP(A14, ORIGEM!A:A, ORIGEM!B:B)</f>
        <v>Prospecção Ativa</v>
      </c>
      <c r="F14" t="str">
        <f>_xlfn.XLOOKUP(A14, ORIGEM!A:A, ORIGEM!C:C)</f>
        <v>Sales Navigator</v>
      </c>
      <c r="G14" t="str">
        <f>_xlfn.XLOOKUP(A14, LOCAL!A:A, LOCAL!B:B)</f>
        <v>-</v>
      </c>
      <c r="H14">
        <f>_xlfn.XLOOKUP(A14, PORTE!A:A, PORTE!B:B)</f>
        <v>0</v>
      </c>
      <c r="I14">
        <f>_xlfn.XLOOKUP(A14, OBJETIVO!A:A, OBJETIVO!B:B)</f>
        <v>0</v>
      </c>
      <c r="J14">
        <f t="shared" si="0"/>
        <v>0</v>
      </c>
    </row>
    <row r="15" spans="1:10" x14ac:dyDescent="0.25">
      <c r="A15">
        <v>11684204</v>
      </c>
      <c r="B15" s="1">
        <v>45734.409768518519</v>
      </c>
      <c r="C15" t="s">
        <v>0</v>
      </c>
      <c r="D15" t="str">
        <f>VLOOKUP(A15,MERCADO!A:B,2,0)</f>
        <v>Varejo</v>
      </c>
      <c r="E15" t="str">
        <f>_xlfn.XLOOKUP(A15, ORIGEM!A:A, ORIGEM!B:B)</f>
        <v>Prospecção Ativa</v>
      </c>
      <c r="F15" t="str">
        <f>_xlfn.XLOOKUP(A15, ORIGEM!A:A, ORIGEM!C:C)</f>
        <v>Sales Navigator</v>
      </c>
      <c r="G15" t="str">
        <f>_xlfn.XLOOKUP(A15, LOCAL!A:A, LOCAL!B:B)</f>
        <v>-</v>
      </c>
      <c r="H15">
        <f>_xlfn.XLOOKUP(A15, PORTE!A:A, PORTE!B:B)</f>
        <v>0</v>
      </c>
      <c r="I15">
        <f>_xlfn.XLOOKUP(A15, OBJETIVO!A:A, OBJETIVO!B:B)</f>
        <v>0</v>
      </c>
      <c r="J15">
        <f t="shared" si="0"/>
        <v>0</v>
      </c>
    </row>
    <row r="16" spans="1:10" x14ac:dyDescent="0.25">
      <c r="A16">
        <v>11684264</v>
      </c>
      <c r="B16" s="1">
        <v>45734.41207175926</v>
      </c>
      <c r="C16" t="s">
        <v>0</v>
      </c>
      <c r="D16" t="str">
        <f>VLOOKUP(A16,MERCADO!A:B,2,0)</f>
        <v>Varejo</v>
      </c>
      <c r="E16" t="str">
        <f>_xlfn.XLOOKUP(A16, ORIGEM!A:A, ORIGEM!B:B)</f>
        <v>Prospecção Ativa</v>
      </c>
      <c r="F16" t="str">
        <f>_xlfn.XLOOKUP(A16, ORIGEM!A:A, ORIGEM!C:C)</f>
        <v>Sales Navigator</v>
      </c>
      <c r="G16" t="str">
        <f>_xlfn.XLOOKUP(A16, LOCAL!A:A, LOCAL!B:B)</f>
        <v>-</v>
      </c>
      <c r="H16">
        <f>_xlfn.XLOOKUP(A16, PORTE!A:A, PORTE!B:B)</f>
        <v>0</v>
      </c>
      <c r="I16">
        <f>_xlfn.XLOOKUP(A16, OBJETIVO!A:A, OBJETIVO!B:B)</f>
        <v>0</v>
      </c>
      <c r="J16">
        <f t="shared" si="0"/>
        <v>0</v>
      </c>
    </row>
    <row r="17" spans="1:10" x14ac:dyDescent="0.25">
      <c r="A17">
        <v>11357814</v>
      </c>
      <c r="B17" s="1">
        <v>45703.77244212963</v>
      </c>
      <c r="C17" t="s">
        <v>0</v>
      </c>
      <c r="D17" t="str">
        <f>VLOOKUP(A17,MERCADO!A:B,2,0)</f>
        <v>Varejo</v>
      </c>
      <c r="E17" t="str">
        <f>_xlfn.XLOOKUP(A17, ORIGEM!A:A, ORIGEM!B:B)</f>
        <v>Google</v>
      </c>
      <c r="F17" t="str">
        <f>_xlfn.XLOOKUP(A17, ORIGEM!A:A, ORIGEM!C:C)</f>
        <v>google - cpc</v>
      </c>
      <c r="G17" t="str">
        <f>_xlfn.XLOOKUP(A17, LOCAL!A:A, LOCAL!B:B)</f>
        <v>Rio de Janeiro - RJ</v>
      </c>
      <c r="H17" t="str">
        <f>_xlfn.XLOOKUP(A17, PORTE!A:A, PORTE!B:B)</f>
        <v>0</v>
      </c>
      <c r="I17" t="str">
        <f>_xlfn.XLOOKUP(A17, OBJETIVO!A:A, OBJETIVO!B:B)</f>
        <v>Ações de marketing/vendas</v>
      </c>
      <c r="J17">
        <f t="shared" si="0"/>
        <v>0</v>
      </c>
    </row>
    <row r="18" spans="1:10" x14ac:dyDescent="0.25">
      <c r="A18">
        <v>11842580</v>
      </c>
      <c r="B18" s="1">
        <v>45748.442048611112</v>
      </c>
      <c r="C18" t="s">
        <v>0</v>
      </c>
      <c r="D18" t="str">
        <f>VLOOKUP(A18,MERCADO!A:B,2,0)</f>
        <v>Varejo</v>
      </c>
      <c r="E18" t="str">
        <f>_xlfn.XLOOKUP(A18, ORIGEM!A:A, ORIGEM!B:B)</f>
        <v>Prospecção Ativa</v>
      </c>
      <c r="F18" t="str">
        <f>_xlfn.XLOOKUP(A18, ORIGEM!A:A, ORIGEM!C:C)</f>
        <v>Sales Navigator</v>
      </c>
      <c r="G18" t="str">
        <f>_xlfn.XLOOKUP(A18, LOCAL!A:A, LOCAL!B:B)</f>
        <v>-</v>
      </c>
      <c r="H18">
        <f>_xlfn.XLOOKUP(A18, PORTE!A:A, PORTE!B:B)</f>
        <v>0</v>
      </c>
      <c r="I18">
        <f>_xlfn.XLOOKUP(A18, OBJETIVO!A:A, OBJETIVO!B:B)</f>
        <v>0</v>
      </c>
      <c r="J18">
        <f t="shared" si="0"/>
        <v>0</v>
      </c>
    </row>
    <row r="19" spans="1:10" x14ac:dyDescent="0.25">
      <c r="A19">
        <v>11842668</v>
      </c>
      <c r="B19" s="1">
        <v>45748.447696759256</v>
      </c>
      <c r="C19" t="s">
        <v>0</v>
      </c>
      <c r="D19" t="str">
        <f>VLOOKUP(A19,MERCADO!A:B,2,0)</f>
        <v>Varejo</v>
      </c>
      <c r="E19" t="str">
        <f>_xlfn.XLOOKUP(A19, ORIGEM!A:A, ORIGEM!B:B)</f>
        <v>Prospecção Ativa</v>
      </c>
      <c r="F19" t="str">
        <f>_xlfn.XLOOKUP(A19, ORIGEM!A:A, ORIGEM!C:C)</f>
        <v>Sales Navigator</v>
      </c>
      <c r="G19" t="str">
        <f>_xlfn.XLOOKUP(A19, LOCAL!A:A, LOCAL!B:B)</f>
        <v>-</v>
      </c>
      <c r="H19">
        <f>_xlfn.XLOOKUP(A19, PORTE!A:A, PORTE!B:B)</f>
        <v>0</v>
      </c>
      <c r="I19">
        <f>_xlfn.XLOOKUP(A19, OBJETIVO!A:A, OBJETIVO!B:B)</f>
        <v>0</v>
      </c>
      <c r="J19">
        <f t="shared" si="0"/>
        <v>0</v>
      </c>
    </row>
    <row r="20" spans="1:10" x14ac:dyDescent="0.25">
      <c r="A20">
        <v>11806208</v>
      </c>
      <c r="B20" s="1">
        <v>45745.530451388891</v>
      </c>
      <c r="C20" t="s">
        <v>0</v>
      </c>
      <c r="D20" t="str">
        <f>VLOOKUP(A20,MERCADO!A:B,2,0)</f>
        <v>Varejo</v>
      </c>
      <c r="E20" t="str">
        <f>_xlfn.XLOOKUP(A20, ORIGEM!A:A, ORIGEM!B:B)</f>
        <v>Prospecção Ativa</v>
      </c>
      <c r="F20" t="str">
        <f>_xlfn.XLOOKUP(A20, ORIGEM!A:A, ORIGEM!C:C)</f>
        <v>Sales Navigator</v>
      </c>
      <c r="G20" t="str">
        <f>_xlfn.XLOOKUP(A20, LOCAL!A:A, LOCAL!B:B)</f>
        <v>-</v>
      </c>
      <c r="H20">
        <f>_xlfn.XLOOKUP(A20, PORTE!A:A, PORTE!B:B)</f>
        <v>0</v>
      </c>
      <c r="I20">
        <f>_xlfn.XLOOKUP(A20, OBJETIVO!A:A, OBJETIVO!B:B)</f>
        <v>0</v>
      </c>
      <c r="J20">
        <f t="shared" si="0"/>
        <v>0</v>
      </c>
    </row>
    <row r="21" spans="1:10" x14ac:dyDescent="0.25">
      <c r="A21">
        <v>11817123</v>
      </c>
      <c r="B21" s="1">
        <v>45746.391041666669</v>
      </c>
      <c r="C21" t="s">
        <v>0</v>
      </c>
      <c r="D21" t="str">
        <f>VLOOKUP(A21,MERCADO!A:B,2,0)</f>
        <v>Varejo</v>
      </c>
      <c r="E21" t="str">
        <f>_xlfn.XLOOKUP(A21, ORIGEM!A:A, ORIGEM!B:B)</f>
        <v>Prospecção Ativa</v>
      </c>
      <c r="F21" t="str">
        <f>_xlfn.XLOOKUP(A21, ORIGEM!A:A, ORIGEM!C:C)</f>
        <v>Sales Navigator</v>
      </c>
      <c r="G21" t="str">
        <f>_xlfn.XLOOKUP(A21, LOCAL!A:A, LOCAL!B:B)</f>
        <v>-</v>
      </c>
      <c r="H21">
        <f>_xlfn.XLOOKUP(A21, PORTE!A:A, PORTE!B:B)</f>
        <v>0</v>
      </c>
      <c r="I21">
        <f>_xlfn.XLOOKUP(A21, OBJETIVO!A:A, OBJETIVO!B:B)</f>
        <v>0</v>
      </c>
      <c r="J21">
        <f t="shared" si="0"/>
        <v>0</v>
      </c>
    </row>
    <row r="22" spans="1:10" x14ac:dyDescent="0.25">
      <c r="A22">
        <v>11774094</v>
      </c>
      <c r="B22" s="1">
        <v>45742.466412037036</v>
      </c>
      <c r="C22" t="s">
        <v>0</v>
      </c>
      <c r="D22" t="str">
        <f>VLOOKUP(A22,MERCADO!A:B,2,0)</f>
        <v>Varejo</v>
      </c>
      <c r="E22" t="str">
        <f>_xlfn.XLOOKUP(A22, ORIGEM!A:A, ORIGEM!B:B)</f>
        <v>Prospecção Ativa</v>
      </c>
      <c r="F22" t="str">
        <f>_xlfn.XLOOKUP(A22, ORIGEM!A:A, ORIGEM!C:C)</f>
        <v>Sales Navigator</v>
      </c>
      <c r="G22" t="str">
        <f>_xlfn.XLOOKUP(A22, LOCAL!A:A, LOCAL!B:B)</f>
        <v>-</v>
      </c>
      <c r="H22">
        <f>_xlfn.XLOOKUP(A22, PORTE!A:A, PORTE!B:B)</f>
        <v>0</v>
      </c>
      <c r="I22">
        <f>_xlfn.XLOOKUP(A22, OBJETIVO!A:A, OBJETIVO!B:B)</f>
        <v>0</v>
      </c>
      <c r="J22">
        <f t="shared" si="0"/>
        <v>0</v>
      </c>
    </row>
    <row r="23" spans="1:10" x14ac:dyDescent="0.25">
      <c r="A23">
        <v>11741460</v>
      </c>
      <c r="B23" s="1">
        <v>45740.448252314818</v>
      </c>
      <c r="C23" t="s">
        <v>0</v>
      </c>
      <c r="D23" t="str">
        <f>VLOOKUP(A23,MERCADO!A:B,2,0)</f>
        <v>Varejo</v>
      </c>
      <c r="E23" t="str">
        <f>_xlfn.XLOOKUP(A23, ORIGEM!A:A, ORIGEM!B:B)</f>
        <v>Prospecção Ativa</v>
      </c>
      <c r="F23" t="str">
        <f>_xlfn.XLOOKUP(A23, ORIGEM!A:A, ORIGEM!C:C)</f>
        <v>Sales Navigator</v>
      </c>
      <c r="G23" t="str">
        <f>_xlfn.XLOOKUP(A23, LOCAL!A:A, LOCAL!B:B)</f>
        <v>-</v>
      </c>
      <c r="H23">
        <f>_xlfn.XLOOKUP(A23, PORTE!A:A, PORTE!B:B)</f>
        <v>0</v>
      </c>
      <c r="I23">
        <f>_xlfn.XLOOKUP(A23, OBJETIVO!A:A, OBJETIVO!B:B)</f>
        <v>0</v>
      </c>
      <c r="J23">
        <f t="shared" si="0"/>
        <v>0</v>
      </c>
    </row>
    <row r="24" spans="1:10" x14ac:dyDescent="0.25">
      <c r="A24">
        <v>11741181</v>
      </c>
      <c r="B24" s="1">
        <v>45740.439421296294</v>
      </c>
      <c r="C24" t="s">
        <v>0</v>
      </c>
      <c r="D24" t="str">
        <f>VLOOKUP(A24,MERCADO!A:B,2,0)</f>
        <v>Varejo</v>
      </c>
      <c r="E24" t="str">
        <f>_xlfn.XLOOKUP(A24, ORIGEM!A:A, ORIGEM!B:B)</f>
        <v>Prospecção Ativa</v>
      </c>
      <c r="F24" t="str">
        <f>_xlfn.XLOOKUP(A24, ORIGEM!A:A, ORIGEM!C:C)</f>
        <v>Sales Navigator</v>
      </c>
      <c r="G24" t="str">
        <f>_xlfn.XLOOKUP(A24, LOCAL!A:A, LOCAL!B:B)</f>
        <v>-</v>
      </c>
      <c r="H24">
        <f>_xlfn.XLOOKUP(A24, PORTE!A:A, PORTE!B:B)</f>
        <v>0</v>
      </c>
      <c r="I24">
        <f>_xlfn.XLOOKUP(A24, OBJETIVO!A:A, OBJETIVO!B:B)</f>
        <v>0</v>
      </c>
      <c r="J24">
        <f t="shared" si="0"/>
        <v>0</v>
      </c>
    </row>
    <row r="25" spans="1:10" x14ac:dyDescent="0.25">
      <c r="A25">
        <v>11698497</v>
      </c>
      <c r="B25" s="1">
        <v>45735.521782407406</v>
      </c>
      <c r="C25" t="s">
        <v>0</v>
      </c>
      <c r="D25" t="str">
        <f>VLOOKUP(A25,MERCADO!A:B,2,0)</f>
        <v>Varejo</v>
      </c>
      <c r="E25" t="str">
        <f>_xlfn.XLOOKUP(A25, ORIGEM!A:A, ORIGEM!B:B)</f>
        <v>Prospecção Ativa</v>
      </c>
      <c r="F25" t="str">
        <f>_xlfn.XLOOKUP(A25, ORIGEM!A:A, ORIGEM!C:C)</f>
        <v>Sales Navigator</v>
      </c>
      <c r="G25" t="str">
        <f>_xlfn.XLOOKUP(A25, LOCAL!A:A, LOCAL!B:B)</f>
        <v>-</v>
      </c>
      <c r="H25">
        <f>_xlfn.XLOOKUP(A25, PORTE!A:A, PORTE!B:B)</f>
        <v>0</v>
      </c>
      <c r="I25">
        <f>_xlfn.XLOOKUP(A25, OBJETIVO!A:A, OBJETIVO!B:B)</f>
        <v>0</v>
      </c>
      <c r="J25">
        <f t="shared" si="0"/>
        <v>0</v>
      </c>
    </row>
    <row r="26" spans="1:10" x14ac:dyDescent="0.25">
      <c r="A26">
        <v>11698513</v>
      </c>
      <c r="B26" s="1">
        <v>45735.524780092594</v>
      </c>
      <c r="C26" t="s">
        <v>0</v>
      </c>
      <c r="D26" t="str">
        <f>VLOOKUP(A26,MERCADO!A:B,2,0)</f>
        <v>Varejo</v>
      </c>
      <c r="E26" t="str">
        <f>_xlfn.XLOOKUP(A26, ORIGEM!A:A, ORIGEM!B:B)</f>
        <v>Prospecção Ativa</v>
      </c>
      <c r="F26" t="str">
        <f>_xlfn.XLOOKUP(A26, ORIGEM!A:A, ORIGEM!C:C)</f>
        <v>Sales Navigator</v>
      </c>
      <c r="G26" t="str">
        <f>_xlfn.XLOOKUP(A26, LOCAL!A:A, LOCAL!B:B)</f>
        <v>-</v>
      </c>
      <c r="H26">
        <f>_xlfn.XLOOKUP(A26, PORTE!A:A, PORTE!B:B)</f>
        <v>0</v>
      </c>
      <c r="I26">
        <f>_xlfn.XLOOKUP(A26, OBJETIVO!A:A, OBJETIVO!B:B)</f>
        <v>0</v>
      </c>
      <c r="J26">
        <f t="shared" si="0"/>
        <v>0</v>
      </c>
    </row>
    <row r="27" spans="1:10" x14ac:dyDescent="0.25">
      <c r="A27">
        <v>11698524</v>
      </c>
      <c r="B27" s="1">
        <v>45735.526354166665</v>
      </c>
      <c r="C27" t="s">
        <v>0</v>
      </c>
      <c r="D27" t="str">
        <f>VLOOKUP(A27,MERCADO!A:B,2,0)</f>
        <v>Varejo</v>
      </c>
      <c r="E27" t="str">
        <f>_xlfn.XLOOKUP(A27, ORIGEM!A:A, ORIGEM!B:B)</f>
        <v>Prospecção Ativa</v>
      </c>
      <c r="F27" t="str">
        <f>_xlfn.XLOOKUP(A27, ORIGEM!A:A, ORIGEM!C:C)</f>
        <v>Sales Navigator</v>
      </c>
      <c r="G27" t="str">
        <f>_xlfn.XLOOKUP(A27, LOCAL!A:A, LOCAL!B:B)</f>
        <v>-</v>
      </c>
      <c r="H27">
        <f>_xlfn.XLOOKUP(A27, PORTE!A:A, PORTE!B:B)</f>
        <v>0</v>
      </c>
      <c r="I27">
        <f>_xlfn.XLOOKUP(A27, OBJETIVO!A:A, OBJETIVO!B:B)</f>
        <v>0</v>
      </c>
      <c r="J27">
        <f t="shared" si="0"/>
        <v>0</v>
      </c>
    </row>
    <row r="28" spans="1:10" x14ac:dyDescent="0.25">
      <c r="A28">
        <v>11699034</v>
      </c>
      <c r="B28" s="1">
        <v>45735.527685185189</v>
      </c>
      <c r="C28" t="s">
        <v>0</v>
      </c>
      <c r="D28" t="str">
        <f>VLOOKUP(A28,MERCADO!A:B,2,0)</f>
        <v>Varejo</v>
      </c>
      <c r="E28" t="str">
        <f>_xlfn.XLOOKUP(A28, ORIGEM!A:A, ORIGEM!B:B)</f>
        <v>Prospecção Ativa</v>
      </c>
      <c r="F28" t="str">
        <f>_xlfn.XLOOKUP(A28, ORIGEM!A:A, ORIGEM!C:C)</f>
        <v>Sales Navigator</v>
      </c>
      <c r="G28" t="str">
        <f>_xlfn.XLOOKUP(A28, LOCAL!A:A, LOCAL!B:B)</f>
        <v>-</v>
      </c>
      <c r="H28">
        <f>_xlfn.XLOOKUP(A28, PORTE!A:A, PORTE!B:B)</f>
        <v>0</v>
      </c>
      <c r="I28">
        <f>_xlfn.XLOOKUP(A28, OBJETIVO!A:A, OBJETIVO!B:B)</f>
        <v>0</v>
      </c>
      <c r="J28">
        <f t="shared" si="0"/>
        <v>0</v>
      </c>
    </row>
    <row r="29" spans="1:10" x14ac:dyDescent="0.25">
      <c r="A29">
        <v>11741070</v>
      </c>
      <c r="B29" s="1">
        <v>45740.433680555558</v>
      </c>
      <c r="C29" t="s">
        <v>0</v>
      </c>
      <c r="D29" t="str">
        <f>VLOOKUP(A29,MERCADO!A:B,2,0)</f>
        <v>Varejo</v>
      </c>
      <c r="E29" t="str">
        <f>_xlfn.XLOOKUP(A29, ORIGEM!A:A, ORIGEM!B:B)</f>
        <v>Prospecção Ativa</v>
      </c>
      <c r="F29" t="str">
        <f>_xlfn.XLOOKUP(A29, ORIGEM!A:A, ORIGEM!C:C)</f>
        <v>Sales Navigator</v>
      </c>
      <c r="G29" t="str">
        <f>_xlfn.XLOOKUP(A29, LOCAL!A:A, LOCAL!B:B)</f>
        <v>-</v>
      </c>
      <c r="H29">
        <f>_xlfn.XLOOKUP(A29, PORTE!A:A, PORTE!B:B)</f>
        <v>0</v>
      </c>
      <c r="I29">
        <f>_xlfn.XLOOKUP(A29, OBJETIVO!A:A, OBJETIVO!B:B)</f>
        <v>0</v>
      </c>
      <c r="J29">
        <f t="shared" si="0"/>
        <v>0</v>
      </c>
    </row>
    <row r="30" spans="1:10" x14ac:dyDescent="0.25">
      <c r="A30">
        <v>10566142</v>
      </c>
      <c r="B30" s="1">
        <v>45627.240729166668</v>
      </c>
      <c r="C30" t="s">
        <v>0</v>
      </c>
      <c r="D30">
        <f>VLOOKUP(A30,MERCADO!A:B,2,0)</f>
        <v>0</v>
      </c>
      <c r="E30" t="str">
        <f>_xlfn.XLOOKUP(A30, ORIGEM!A:A, ORIGEM!B:B)</f>
        <v>Google</v>
      </c>
      <c r="F30" t="str">
        <f>_xlfn.XLOOKUP(A30, ORIGEM!A:A, ORIGEM!C:C)</f>
        <v>google - cpc</v>
      </c>
      <c r="G30" t="str">
        <f>_xlfn.XLOOKUP(A30, LOCAL!A:A, LOCAL!B:B)</f>
        <v>Cariacica - ES</v>
      </c>
      <c r="H30" t="str">
        <f>_xlfn.XLOOKUP(A30, PORTE!A:A, PORTE!B:B)</f>
        <v>51-300</v>
      </c>
      <c r="I30" t="str">
        <f>_xlfn.XLOOKUP(A30, OBJETIVO!A:A, OBJETIVO!B:B)</f>
        <v>Abertura/Expansão</v>
      </c>
      <c r="J30">
        <f t="shared" si="0"/>
        <v>0</v>
      </c>
    </row>
    <row r="31" spans="1:10" x14ac:dyDescent="0.25">
      <c r="A31">
        <v>10572176</v>
      </c>
      <c r="B31" s="1">
        <v>45627.518379629626</v>
      </c>
      <c r="C31" t="s">
        <v>0</v>
      </c>
      <c r="D31">
        <f>VLOOKUP(A31,MERCADO!A:B,2,0)</f>
        <v>0</v>
      </c>
      <c r="E31" t="str">
        <f>_xlfn.XLOOKUP(A31, ORIGEM!A:A, ORIGEM!B:B)</f>
        <v>Google</v>
      </c>
      <c r="F31" t="str">
        <f>_xlfn.XLOOKUP(A31, ORIGEM!A:A, ORIGEM!C:C)</f>
        <v>google - cpc</v>
      </c>
      <c r="G31" t="str">
        <f>_xlfn.XLOOKUP(A31, LOCAL!A:A, LOCAL!B:B)</f>
        <v>Ribeirão Preto - SP</v>
      </c>
      <c r="H31" t="str">
        <f>_xlfn.XLOOKUP(A31, PORTE!A:A, PORTE!B:B)</f>
        <v>1-10</v>
      </c>
      <c r="I31" t="str">
        <f>_xlfn.XLOOKUP(A31, OBJETIVO!A:A, OBJETIVO!B:B)</f>
        <v>Planejamento estratégico</v>
      </c>
      <c r="J31">
        <f t="shared" si="0"/>
        <v>0</v>
      </c>
    </row>
    <row r="32" spans="1:10" x14ac:dyDescent="0.25">
      <c r="A32">
        <v>10581011</v>
      </c>
      <c r="B32" s="1">
        <v>45627.751712962963</v>
      </c>
      <c r="C32" t="s">
        <v>0</v>
      </c>
      <c r="D32">
        <f>VLOOKUP(A32,MERCADO!A:B,2,0)</f>
        <v>0</v>
      </c>
      <c r="E32" t="str">
        <f>_xlfn.XLOOKUP(A32, ORIGEM!A:A, ORIGEM!B:B)</f>
        <v>Google</v>
      </c>
      <c r="F32" t="str">
        <f>_xlfn.XLOOKUP(A32, ORIGEM!A:A, ORIGEM!C:C)</f>
        <v>google - cpc</v>
      </c>
      <c r="G32" t="str">
        <f>_xlfn.XLOOKUP(A32, LOCAL!A:A, LOCAL!B:B)</f>
        <v>Missal - PR</v>
      </c>
      <c r="H32" t="str">
        <f>_xlfn.XLOOKUP(A32, PORTE!A:A, PORTE!B:B)</f>
        <v>51-300</v>
      </c>
      <c r="I32" t="str">
        <f>_xlfn.XLOOKUP(A32, OBJETIVO!A:A, OBJETIVO!B:B)</f>
        <v>Planejamento estratégico</v>
      </c>
      <c r="J32">
        <f t="shared" si="0"/>
        <v>0</v>
      </c>
    </row>
    <row r="33" spans="1:10" x14ac:dyDescent="0.25">
      <c r="A33">
        <v>10621157</v>
      </c>
      <c r="B33" s="1">
        <v>45631.412152777775</v>
      </c>
      <c r="C33" t="s">
        <v>0</v>
      </c>
      <c r="D33">
        <f>VLOOKUP(A33,MERCADO!A:B,2,0)</f>
        <v>0</v>
      </c>
      <c r="E33" t="str">
        <f>_xlfn.XLOOKUP(A33, ORIGEM!A:A, ORIGEM!B:B)</f>
        <v>Google</v>
      </c>
      <c r="F33" t="str">
        <f>_xlfn.XLOOKUP(A33, ORIGEM!A:A, ORIGEM!C:C)</f>
        <v>google - cpc</v>
      </c>
      <c r="G33" t="str">
        <f>_xlfn.XLOOKUP(A33, LOCAL!A:A, LOCAL!B:B)</f>
        <v>Valinhos - SP</v>
      </c>
      <c r="H33" t="str">
        <f>_xlfn.XLOOKUP(A33, PORTE!A:A, PORTE!B:B)</f>
        <v>1-10</v>
      </c>
      <c r="I33" t="str">
        <f>_xlfn.XLOOKUP(A33, OBJETIVO!A:A, OBJETIVO!B:B)</f>
        <v>Ações de marketing/vendas</v>
      </c>
      <c r="J33">
        <f t="shared" si="0"/>
        <v>0</v>
      </c>
    </row>
    <row r="34" spans="1:10" x14ac:dyDescent="0.25">
      <c r="A34">
        <v>10608029</v>
      </c>
      <c r="B34" s="1">
        <v>45629.715567129628</v>
      </c>
      <c r="C34" t="s">
        <v>0</v>
      </c>
      <c r="D34">
        <f>VLOOKUP(A34,MERCADO!A:B,2,0)</f>
        <v>0</v>
      </c>
      <c r="E34" t="str">
        <f>_xlfn.XLOOKUP(A34, ORIGEM!A:A, ORIGEM!B:B)</f>
        <v>Google</v>
      </c>
      <c r="F34" t="str">
        <f>_xlfn.XLOOKUP(A34, ORIGEM!A:A, ORIGEM!C:C)</f>
        <v>google - cpc</v>
      </c>
      <c r="G34" t="str">
        <f>_xlfn.XLOOKUP(A34, LOCAL!A:A, LOCAL!B:B)</f>
        <v>São Paulo - SP</v>
      </c>
      <c r="H34" t="str">
        <f>_xlfn.XLOOKUP(A34, PORTE!A:A, PORTE!B:B)</f>
        <v>1-10</v>
      </c>
      <c r="I34" t="str">
        <f>_xlfn.XLOOKUP(A34, OBJETIVO!A:A, OBJETIVO!B:B)</f>
        <v>Ações de marketing/vendas</v>
      </c>
      <c r="J34">
        <f t="shared" si="0"/>
        <v>0</v>
      </c>
    </row>
    <row r="35" spans="1:10" x14ac:dyDescent="0.25">
      <c r="A35">
        <v>10590212</v>
      </c>
      <c r="B35" s="1">
        <v>45628.585543981484</v>
      </c>
      <c r="C35" t="s">
        <v>0</v>
      </c>
      <c r="D35">
        <f>VLOOKUP(A35,MERCADO!A:B,2,0)</f>
        <v>0</v>
      </c>
      <c r="E35" t="str">
        <f>_xlfn.XLOOKUP(A35, ORIGEM!A:A, ORIGEM!B:B)</f>
        <v>Orgânico</v>
      </c>
      <c r="F35">
        <f>_xlfn.XLOOKUP(A35, ORIGEM!A:A, ORIGEM!C:C)</f>
        <v>0</v>
      </c>
      <c r="G35" t="str">
        <f>_xlfn.XLOOKUP(A35, LOCAL!A:A, LOCAL!B:B)</f>
        <v>Piraquara - PR</v>
      </c>
      <c r="H35" t="str">
        <f>_xlfn.XLOOKUP(A35, PORTE!A:A, PORTE!B:B)</f>
        <v>1-10</v>
      </c>
      <c r="I35" t="str">
        <f>_xlfn.XLOOKUP(A35, OBJETIVO!A:A, OBJETIVO!B:B)</f>
        <v>Outro</v>
      </c>
      <c r="J35">
        <f t="shared" si="0"/>
        <v>0</v>
      </c>
    </row>
    <row r="36" spans="1:10" x14ac:dyDescent="0.25">
      <c r="A36">
        <v>10590859</v>
      </c>
      <c r="B36" s="1">
        <v>45628.624351851853</v>
      </c>
      <c r="C36" t="s">
        <v>0</v>
      </c>
      <c r="D36">
        <f>VLOOKUP(A36,MERCADO!A:B,2,0)</f>
        <v>0</v>
      </c>
      <c r="E36" t="str">
        <f>_xlfn.XLOOKUP(A36, ORIGEM!A:A, ORIGEM!B:B)</f>
        <v>Orgânico</v>
      </c>
      <c r="F36">
        <f>_xlfn.XLOOKUP(A36, ORIGEM!A:A, ORIGEM!C:C)</f>
        <v>0</v>
      </c>
      <c r="G36" t="str">
        <f>_xlfn.XLOOKUP(A36, LOCAL!A:A, LOCAL!B:B)</f>
        <v>Sorocaba - SP</v>
      </c>
      <c r="H36" t="str">
        <f>_xlfn.XLOOKUP(A36, PORTE!A:A, PORTE!B:B)</f>
        <v>0</v>
      </c>
      <c r="I36" t="str">
        <f>_xlfn.XLOOKUP(A36, OBJETIVO!A:A, OBJETIVO!B:B)</f>
        <v>Consultoria</v>
      </c>
      <c r="J36">
        <f t="shared" si="0"/>
        <v>0</v>
      </c>
    </row>
    <row r="37" spans="1:10" x14ac:dyDescent="0.25">
      <c r="A37">
        <v>11390110</v>
      </c>
      <c r="B37" s="1">
        <v>45706.607233796298</v>
      </c>
      <c r="C37" t="s">
        <v>0</v>
      </c>
      <c r="D37" t="str">
        <f>VLOOKUP(A37,MERCADO!A:B,2,0)</f>
        <v>Marketing/Publicidade/Consultoria</v>
      </c>
      <c r="E37" t="str">
        <f>_xlfn.XLOOKUP(A37, ORIGEM!A:A, ORIGEM!B:B)</f>
        <v>Orgânico</v>
      </c>
      <c r="F37">
        <f>_xlfn.XLOOKUP(A37, ORIGEM!A:A, ORIGEM!C:C)</f>
        <v>0</v>
      </c>
      <c r="G37" t="str">
        <f>_xlfn.XLOOKUP(A37, LOCAL!A:A, LOCAL!B:B)</f>
        <v>Belo Horizonte - MG</v>
      </c>
      <c r="H37" t="str">
        <f>_xlfn.XLOOKUP(A37, PORTE!A:A, PORTE!B:B)</f>
        <v>1-10</v>
      </c>
      <c r="I37" t="str">
        <f>_xlfn.XLOOKUP(A37, OBJETIVO!A:A, OBJETIVO!B:B)</f>
        <v>Ações de marketing/vendas</v>
      </c>
      <c r="J37">
        <f t="shared" si="0"/>
        <v>0</v>
      </c>
    </row>
    <row r="38" spans="1:10" x14ac:dyDescent="0.25">
      <c r="A38">
        <v>11899460</v>
      </c>
      <c r="B38" s="1">
        <v>45754.558738425927</v>
      </c>
      <c r="C38" t="s">
        <v>0</v>
      </c>
      <c r="D38" t="str">
        <f>VLOOKUP(A38,MERCADO!A:B,2,0)</f>
        <v>Tecnologia</v>
      </c>
      <c r="E38" t="str">
        <f>_xlfn.XLOOKUP(A38, ORIGEM!A:A, ORIGEM!B:B)</f>
        <v>Prospecção Ativa</v>
      </c>
      <c r="F38" t="str">
        <f>_xlfn.XLOOKUP(A38, ORIGEM!A:A, ORIGEM!C:C)</f>
        <v>Sales Navigator</v>
      </c>
      <c r="G38" t="str">
        <f>_xlfn.XLOOKUP(A38, LOCAL!A:A, LOCAL!B:B)</f>
        <v>-</v>
      </c>
      <c r="H38">
        <f>_xlfn.XLOOKUP(A38, PORTE!A:A, PORTE!B:B)</f>
        <v>0</v>
      </c>
      <c r="I38">
        <f>_xlfn.XLOOKUP(A38, OBJETIVO!A:A, OBJETIVO!B:B)</f>
        <v>0</v>
      </c>
      <c r="J38">
        <f t="shared" si="0"/>
        <v>0</v>
      </c>
    </row>
    <row r="39" spans="1:10" x14ac:dyDescent="0.25">
      <c r="A39">
        <v>11269120</v>
      </c>
      <c r="B39" s="1">
        <v>45694.529143518521</v>
      </c>
      <c r="C39" t="s">
        <v>0</v>
      </c>
      <c r="D39" t="str">
        <f>VLOOKUP(A39,MERCADO!A:B,2,0)</f>
        <v>Servicos</v>
      </c>
      <c r="E39" t="str">
        <f>_xlfn.XLOOKUP(A39, ORIGEM!A:A, ORIGEM!B:B)</f>
        <v>Orgânico</v>
      </c>
      <c r="F39">
        <f>_xlfn.XLOOKUP(A39, ORIGEM!A:A, ORIGEM!C:C)</f>
        <v>0</v>
      </c>
      <c r="G39" t="str">
        <f>_xlfn.XLOOKUP(A39, LOCAL!A:A, LOCAL!B:B)</f>
        <v>Recife - PE</v>
      </c>
      <c r="H39" t="str">
        <f>_xlfn.XLOOKUP(A39, PORTE!A:A, PORTE!B:B)</f>
        <v>1-10</v>
      </c>
      <c r="I39" t="str">
        <f>_xlfn.XLOOKUP(A39, OBJETIVO!A:A, OBJETIVO!B:B)</f>
        <v>Abertura/Expansão</v>
      </c>
      <c r="J39">
        <f t="shared" si="0"/>
        <v>0</v>
      </c>
    </row>
    <row r="40" spans="1:10" x14ac:dyDescent="0.25">
      <c r="A40">
        <v>11344672</v>
      </c>
      <c r="B40" s="1">
        <v>45701.558854166666</v>
      </c>
      <c r="C40" t="s">
        <v>0</v>
      </c>
      <c r="D40" t="str">
        <f>VLOOKUP(A40,MERCADO!A:B,2,0)</f>
        <v>Servicos</v>
      </c>
      <c r="E40" t="str">
        <f>_xlfn.XLOOKUP(A40, ORIGEM!A:A, ORIGEM!B:B)</f>
        <v>Orgânico</v>
      </c>
      <c r="F40">
        <f>_xlfn.XLOOKUP(A40, ORIGEM!A:A, ORIGEM!C:C)</f>
        <v>0</v>
      </c>
      <c r="G40" t="str">
        <f>_xlfn.XLOOKUP(A40, LOCAL!A:A, LOCAL!B:B)</f>
        <v>Pederneiras - SP</v>
      </c>
      <c r="H40" t="str">
        <f>_xlfn.XLOOKUP(A40, PORTE!A:A, PORTE!B:B)</f>
        <v>+ 1000</v>
      </c>
      <c r="I40" t="str">
        <f>_xlfn.XLOOKUP(A40, OBJETIVO!A:A, OBJETIVO!B:B)</f>
        <v>Planejamento estratégico</v>
      </c>
      <c r="J40">
        <f t="shared" si="0"/>
        <v>0</v>
      </c>
    </row>
    <row r="41" spans="1:10" x14ac:dyDescent="0.25">
      <c r="A41">
        <v>11269632</v>
      </c>
      <c r="B41" s="1">
        <v>45694.68167824074</v>
      </c>
      <c r="C41" t="s">
        <v>0</v>
      </c>
      <c r="D41" t="str">
        <f>VLOOKUP(A41,MERCADO!A:B,2,0)</f>
        <v>Servicos</v>
      </c>
      <c r="E41" t="str">
        <f>_xlfn.XLOOKUP(A41, ORIGEM!A:A, ORIGEM!B:B)</f>
        <v>Google</v>
      </c>
      <c r="F41" t="str">
        <f>_xlfn.XLOOKUP(A41, ORIGEM!A:A, ORIGEM!C:C)</f>
        <v>google - cpc</v>
      </c>
      <c r="G41" t="str">
        <f>_xlfn.XLOOKUP(A41, LOCAL!A:A, LOCAL!B:B)</f>
        <v>Duque de Caxias - RJ</v>
      </c>
      <c r="H41" t="str">
        <f>_xlfn.XLOOKUP(A41, PORTE!A:A, PORTE!B:B)</f>
        <v>0</v>
      </c>
      <c r="I41" t="str">
        <f>_xlfn.XLOOKUP(A41, OBJETIVO!A:A, OBJETIVO!B:B)</f>
        <v>Abertura/Expansão</v>
      </c>
      <c r="J41">
        <f t="shared" si="0"/>
        <v>0</v>
      </c>
    </row>
    <row r="42" spans="1:10" x14ac:dyDescent="0.25">
      <c r="A42">
        <v>11600384</v>
      </c>
      <c r="B42" s="1">
        <v>45726.552743055552</v>
      </c>
      <c r="C42" t="s">
        <v>0</v>
      </c>
      <c r="D42" t="str">
        <f>VLOOKUP(A42,MERCADO!A:B,2,0)</f>
        <v>Franqueadora</v>
      </c>
      <c r="E42" t="str">
        <f>_xlfn.XLOOKUP(A42, ORIGEM!A:A, ORIGEM!B:B)</f>
        <v>Prospecção Ativa</v>
      </c>
      <c r="F42" t="str">
        <f>_xlfn.XLOOKUP(A42, ORIGEM!A:A, ORIGEM!C:C)</f>
        <v>Sales Navigator</v>
      </c>
      <c r="G42" t="str">
        <f>_xlfn.XLOOKUP(A42, LOCAL!A:A, LOCAL!B:B)</f>
        <v>-</v>
      </c>
      <c r="H42">
        <f>_xlfn.XLOOKUP(A42, PORTE!A:A, PORTE!B:B)</f>
        <v>0</v>
      </c>
      <c r="I42">
        <f>_xlfn.XLOOKUP(A42, OBJETIVO!A:A, OBJETIVO!B:B)</f>
        <v>0</v>
      </c>
      <c r="J42">
        <f t="shared" si="0"/>
        <v>0</v>
      </c>
    </row>
    <row r="43" spans="1:10" x14ac:dyDescent="0.25">
      <c r="A43">
        <v>11600003</v>
      </c>
      <c r="B43" s="1">
        <v>45726.517534722225</v>
      </c>
      <c r="C43" t="s">
        <v>0</v>
      </c>
      <c r="D43" t="str">
        <f>VLOOKUP(A43,MERCADO!A:B,2,0)</f>
        <v>Franqueadora</v>
      </c>
      <c r="E43" t="str">
        <f>_xlfn.XLOOKUP(A43, ORIGEM!A:A, ORIGEM!B:B)</f>
        <v>Prospecção Ativa</v>
      </c>
      <c r="F43" t="str">
        <f>_xlfn.XLOOKUP(A43, ORIGEM!A:A, ORIGEM!C:C)</f>
        <v>Sales Navigator</v>
      </c>
      <c r="G43" t="str">
        <f>_xlfn.XLOOKUP(A43, LOCAL!A:A, LOCAL!B:B)</f>
        <v>-</v>
      </c>
      <c r="H43">
        <f>_xlfn.XLOOKUP(A43, PORTE!A:A, PORTE!B:B)</f>
        <v>0</v>
      </c>
      <c r="I43">
        <f>_xlfn.XLOOKUP(A43, OBJETIVO!A:A, OBJETIVO!B:B)</f>
        <v>0</v>
      </c>
      <c r="J43">
        <f t="shared" si="0"/>
        <v>0</v>
      </c>
    </row>
    <row r="44" spans="1:10" x14ac:dyDescent="0.25">
      <c r="A44">
        <v>11612125</v>
      </c>
      <c r="B44" s="1">
        <v>45727.536979166667</v>
      </c>
      <c r="C44" t="s">
        <v>0</v>
      </c>
      <c r="D44" t="str">
        <f>VLOOKUP(A44,MERCADO!A:B,2,0)</f>
        <v>Franqueadora</v>
      </c>
      <c r="E44" t="str">
        <f>_xlfn.XLOOKUP(A44, ORIGEM!A:A, ORIGEM!B:B)</f>
        <v>Prospecção Ativa</v>
      </c>
      <c r="F44" t="str">
        <f>_xlfn.XLOOKUP(A44, ORIGEM!A:A, ORIGEM!C:C)</f>
        <v>Sales Navigator</v>
      </c>
      <c r="G44" t="str">
        <f>_xlfn.XLOOKUP(A44, LOCAL!A:A, LOCAL!B:B)</f>
        <v>-</v>
      </c>
      <c r="H44">
        <f>_xlfn.XLOOKUP(A44, PORTE!A:A, PORTE!B:B)</f>
        <v>0</v>
      </c>
      <c r="I44">
        <f>_xlfn.XLOOKUP(A44, OBJETIVO!A:A, OBJETIVO!B:B)</f>
        <v>0</v>
      </c>
      <c r="J44">
        <f t="shared" si="0"/>
        <v>0</v>
      </c>
    </row>
    <row r="45" spans="1:10" x14ac:dyDescent="0.25">
      <c r="A45">
        <v>11612134</v>
      </c>
      <c r="B45" s="1">
        <v>45727.538055555553</v>
      </c>
      <c r="C45" t="s">
        <v>0</v>
      </c>
      <c r="D45" t="str">
        <f>VLOOKUP(A45,MERCADO!A:B,2,0)</f>
        <v>Franqueadora</v>
      </c>
      <c r="E45" t="str">
        <f>_xlfn.XLOOKUP(A45, ORIGEM!A:A, ORIGEM!B:B)</f>
        <v>Prospecção Ativa</v>
      </c>
      <c r="F45" t="str">
        <f>_xlfn.XLOOKUP(A45, ORIGEM!A:A, ORIGEM!C:C)</f>
        <v>Sales Navigator</v>
      </c>
      <c r="G45" t="str">
        <f>_xlfn.XLOOKUP(A45, LOCAL!A:A, LOCAL!B:B)</f>
        <v>-</v>
      </c>
      <c r="H45">
        <f>_xlfn.XLOOKUP(A45, PORTE!A:A, PORTE!B:B)</f>
        <v>0</v>
      </c>
      <c r="I45">
        <f>_xlfn.XLOOKUP(A45, OBJETIVO!A:A, OBJETIVO!B:B)</f>
        <v>0</v>
      </c>
      <c r="J45">
        <f t="shared" si="0"/>
        <v>0</v>
      </c>
    </row>
    <row r="46" spans="1:10" x14ac:dyDescent="0.25">
      <c r="A46">
        <v>11612150</v>
      </c>
      <c r="B46" s="1">
        <v>45727.539305555554</v>
      </c>
      <c r="C46" t="s">
        <v>0</v>
      </c>
      <c r="D46" t="str">
        <f>VLOOKUP(A46,MERCADO!A:B,2,0)</f>
        <v>Franqueadora</v>
      </c>
      <c r="E46" t="str">
        <f>_xlfn.XLOOKUP(A46, ORIGEM!A:A, ORIGEM!B:B)</f>
        <v>Prospecção Ativa</v>
      </c>
      <c r="F46" t="str">
        <f>_xlfn.XLOOKUP(A46, ORIGEM!A:A, ORIGEM!C:C)</f>
        <v>Sales Navigator</v>
      </c>
      <c r="G46" t="str">
        <f>_xlfn.XLOOKUP(A46, LOCAL!A:A, LOCAL!B:B)</f>
        <v>-</v>
      </c>
      <c r="H46">
        <f>_xlfn.XLOOKUP(A46, PORTE!A:A, PORTE!B:B)</f>
        <v>0</v>
      </c>
      <c r="I46">
        <f>_xlfn.XLOOKUP(A46, OBJETIVO!A:A, OBJETIVO!B:B)</f>
        <v>0</v>
      </c>
      <c r="J46">
        <f t="shared" si="0"/>
        <v>0</v>
      </c>
    </row>
    <row r="47" spans="1:10" x14ac:dyDescent="0.25">
      <c r="A47">
        <v>11684485</v>
      </c>
      <c r="B47" s="1">
        <v>45734.421180555553</v>
      </c>
      <c r="C47" t="s">
        <v>0</v>
      </c>
      <c r="D47" t="str">
        <f>VLOOKUP(A47,MERCADO!A:B,2,0)</f>
        <v>Franqueadora</v>
      </c>
      <c r="E47" t="str">
        <f>_xlfn.XLOOKUP(A47, ORIGEM!A:A, ORIGEM!B:B)</f>
        <v>Prospecção Ativa</v>
      </c>
      <c r="F47" t="str">
        <f>_xlfn.XLOOKUP(A47, ORIGEM!A:A, ORIGEM!C:C)</f>
        <v>Sales Navigator</v>
      </c>
      <c r="G47" t="str">
        <f>_xlfn.XLOOKUP(A47, LOCAL!A:A, LOCAL!B:B)</f>
        <v>-</v>
      </c>
      <c r="H47">
        <f>_xlfn.XLOOKUP(A47, PORTE!A:A, PORTE!B:B)</f>
        <v>0</v>
      </c>
      <c r="I47">
        <f>_xlfn.XLOOKUP(A47, OBJETIVO!A:A, OBJETIVO!B:B)</f>
        <v>0</v>
      </c>
      <c r="J47">
        <f t="shared" si="0"/>
        <v>0</v>
      </c>
    </row>
    <row r="48" spans="1:10" x14ac:dyDescent="0.25">
      <c r="A48">
        <v>11684795</v>
      </c>
      <c r="B48" s="1">
        <v>45734.430023148147</v>
      </c>
      <c r="C48" t="s">
        <v>0</v>
      </c>
      <c r="D48" t="str">
        <f>VLOOKUP(A48,MERCADO!A:B,2,0)</f>
        <v>Franqueadora</v>
      </c>
      <c r="E48" t="str">
        <f>_xlfn.XLOOKUP(A48, ORIGEM!A:A, ORIGEM!B:B)</f>
        <v>Prospecção Ativa</v>
      </c>
      <c r="F48" t="str">
        <f>_xlfn.XLOOKUP(A48, ORIGEM!A:A, ORIGEM!C:C)</f>
        <v>Sales Navigator</v>
      </c>
      <c r="G48" t="str">
        <f>_xlfn.XLOOKUP(A48, LOCAL!A:A, LOCAL!B:B)</f>
        <v>-</v>
      </c>
      <c r="H48">
        <f>_xlfn.XLOOKUP(A48, PORTE!A:A, PORTE!B:B)</f>
        <v>0</v>
      </c>
      <c r="I48">
        <f>_xlfn.XLOOKUP(A48, OBJETIVO!A:A, OBJETIVO!B:B)</f>
        <v>0</v>
      </c>
      <c r="J48">
        <f t="shared" si="0"/>
        <v>0</v>
      </c>
    </row>
    <row r="49" spans="1:10" x14ac:dyDescent="0.25">
      <c r="A49">
        <v>11684898</v>
      </c>
      <c r="B49" s="1">
        <v>45734.432916666665</v>
      </c>
      <c r="C49" t="s">
        <v>0</v>
      </c>
      <c r="D49" t="str">
        <f>VLOOKUP(A49,MERCADO!A:B,2,0)</f>
        <v>Franqueadora</v>
      </c>
      <c r="E49" t="str">
        <f>_xlfn.XLOOKUP(A49, ORIGEM!A:A, ORIGEM!B:B)</f>
        <v>Prospecção Ativa</v>
      </c>
      <c r="F49" t="str">
        <f>_xlfn.XLOOKUP(A49, ORIGEM!A:A, ORIGEM!C:C)</f>
        <v>Sales Navigator</v>
      </c>
      <c r="G49" t="str">
        <f>_xlfn.XLOOKUP(A49, LOCAL!A:A, LOCAL!B:B)</f>
        <v>-</v>
      </c>
      <c r="H49">
        <f>_xlfn.XLOOKUP(A49, PORTE!A:A, PORTE!B:B)</f>
        <v>0</v>
      </c>
      <c r="I49">
        <f>_xlfn.XLOOKUP(A49, OBJETIVO!A:A, OBJETIVO!B:B)</f>
        <v>0</v>
      </c>
      <c r="J49">
        <f t="shared" si="0"/>
        <v>0</v>
      </c>
    </row>
    <row r="50" spans="1:10" x14ac:dyDescent="0.25">
      <c r="A50">
        <v>11685013</v>
      </c>
      <c r="B50" s="1">
        <v>45734.435127314813</v>
      </c>
      <c r="C50" t="s">
        <v>0</v>
      </c>
      <c r="D50" t="str">
        <f>VLOOKUP(A50,MERCADO!A:B,2,0)</f>
        <v>Franqueadora</v>
      </c>
      <c r="E50" t="str">
        <f>_xlfn.XLOOKUP(A50, ORIGEM!A:A, ORIGEM!B:B)</f>
        <v>Prospecção Ativa</v>
      </c>
      <c r="F50" t="str">
        <f>_xlfn.XLOOKUP(A50, ORIGEM!A:A, ORIGEM!C:C)</f>
        <v>Sales Navigator</v>
      </c>
      <c r="G50" t="str">
        <f>_xlfn.XLOOKUP(A50, LOCAL!A:A, LOCAL!B:B)</f>
        <v>-</v>
      </c>
      <c r="H50">
        <f>_xlfn.XLOOKUP(A50, PORTE!A:A, PORTE!B:B)</f>
        <v>0</v>
      </c>
      <c r="I50">
        <f>_xlfn.XLOOKUP(A50, OBJETIVO!A:A, OBJETIVO!B:B)</f>
        <v>0</v>
      </c>
      <c r="J50">
        <f t="shared" si="0"/>
        <v>0</v>
      </c>
    </row>
    <row r="51" spans="1:10" x14ac:dyDescent="0.25">
      <c r="A51">
        <v>11714445</v>
      </c>
      <c r="B51" s="1">
        <v>45738.414120370369</v>
      </c>
      <c r="C51" t="s">
        <v>0</v>
      </c>
      <c r="D51" t="str">
        <f>VLOOKUP(A51,MERCADO!A:B,2,0)</f>
        <v>Franqueadora</v>
      </c>
      <c r="E51" t="str">
        <f>_xlfn.XLOOKUP(A51, ORIGEM!A:A, ORIGEM!B:B)</f>
        <v>Prospecção Ativa</v>
      </c>
      <c r="F51" t="str">
        <f>_xlfn.XLOOKUP(A51, ORIGEM!A:A, ORIGEM!C:C)</f>
        <v>Sales Navigator</v>
      </c>
      <c r="G51" t="str">
        <f>_xlfn.XLOOKUP(A51, LOCAL!A:A, LOCAL!B:B)</f>
        <v>-</v>
      </c>
      <c r="H51">
        <f>_xlfn.XLOOKUP(A51, PORTE!A:A, PORTE!B:B)</f>
        <v>0</v>
      </c>
      <c r="I51">
        <f>_xlfn.XLOOKUP(A51, OBJETIVO!A:A, OBJETIVO!B:B)</f>
        <v>0</v>
      </c>
      <c r="J51">
        <f t="shared" si="0"/>
        <v>0</v>
      </c>
    </row>
    <row r="52" spans="1:10" x14ac:dyDescent="0.25">
      <c r="A52">
        <v>11714617</v>
      </c>
      <c r="B52" s="1">
        <v>45738.416168981479</v>
      </c>
      <c r="C52" t="s">
        <v>0</v>
      </c>
      <c r="D52" t="str">
        <f>VLOOKUP(A52,MERCADO!A:B,2,0)</f>
        <v>Franqueadora</v>
      </c>
      <c r="E52" t="str">
        <f>_xlfn.XLOOKUP(A52, ORIGEM!A:A, ORIGEM!B:B)</f>
        <v>Prospecção Ativa</v>
      </c>
      <c r="F52" t="str">
        <f>_xlfn.XLOOKUP(A52, ORIGEM!A:A, ORIGEM!C:C)</f>
        <v>Sales Navigator</v>
      </c>
      <c r="G52" t="str">
        <f>_xlfn.XLOOKUP(A52, LOCAL!A:A, LOCAL!B:B)</f>
        <v>-</v>
      </c>
      <c r="H52">
        <f>_xlfn.XLOOKUP(A52, PORTE!A:A, PORTE!B:B)</f>
        <v>0</v>
      </c>
      <c r="I52">
        <f>_xlfn.XLOOKUP(A52, OBJETIVO!A:A, OBJETIVO!B:B)</f>
        <v>0</v>
      </c>
      <c r="J52">
        <f t="shared" si="0"/>
        <v>0</v>
      </c>
    </row>
    <row r="53" spans="1:10" x14ac:dyDescent="0.25">
      <c r="A53">
        <v>11714640</v>
      </c>
      <c r="B53" s="1">
        <v>45738.417326388888</v>
      </c>
      <c r="C53" t="s">
        <v>0</v>
      </c>
      <c r="D53" t="str">
        <f>VLOOKUP(A53,MERCADO!A:B,2,0)</f>
        <v>Franqueadora</v>
      </c>
      <c r="E53" t="str">
        <f>_xlfn.XLOOKUP(A53, ORIGEM!A:A, ORIGEM!B:B)</f>
        <v>Prospecção Ativa</v>
      </c>
      <c r="F53" t="str">
        <f>_xlfn.XLOOKUP(A53, ORIGEM!A:A, ORIGEM!C:C)</f>
        <v>Sales Navigator</v>
      </c>
      <c r="G53" t="str">
        <f>_xlfn.XLOOKUP(A53, LOCAL!A:A, LOCAL!B:B)</f>
        <v>-</v>
      </c>
      <c r="H53">
        <f>_xlfn.XLOOKUP(A53, PORTE!A:A, PORTE!B:B)</f>
        <v>0</v>
      </c>
      <c r="I53">
        <f>_xlfn.XLOOKUP(A53, OBJETIVO!A:A, OBJETIVO!B:B)</f>
        <v>0</v>
      </c>
      <c r="J53">
        <f t="shared" si="0"/>
        <v>0</v>
      </c>
    </row>
    <row r="54" spans="1:10" x14ac:dyDescent="0.25">
      <c r="A54">
        <v>11714702</v>
      </c>
      <c r="B54" s="1">
        <v>45738.420428240737</v>
      </c>
      <c r="C54" t="s">
        <v>0</v>
      </c>
      <c r="D54" t="str">
        <f>VLOOKUP(A54,MERCADO!A:B,2,0)</f>
        <v>Franqueadora</v>
      </c>
      <c r="E54" t="str">
        <f>_xlfn.XLOOKUP(A54, ORIGEM!A:A, ORIGEM!B:B)</f>
        <v>Prospecção Ativa</v>
      </c>
      <c r="F54" t="str">
        <f>_xlfn.XLOOKUP(A54, ORIGEM!A:A, ORIGEM!C:C)</f>
        <v>Sales Navigator</v>
      </c>
      <c r="G54" t="str">
        <f>_xlfn.XLOOKUP(A54, LOCAL!A:A, LOCAL!B:B)</f>
        <v>-</v>
      </c>
      <c r="H54">
        <f>_xlfn.XLOOKUP(A54, PORTE!A:A, PORTE!B:B)</f>
        <v>0</v>
      </c>
      <c r="I54">
        <f>_xlfn.XLOOKUP(A54, OBJETIVO!A:A, OBJETIVO!B:B)</f>
        <v>0</v>
      </c>
      <c r="J54">
        <f t="shared" si="0"/>
        <v>0</v>
      </c>
    </row>
    <row r="55" spans="1:10" x14ac:dyDescent="0.25">
      <c r="A55">
        <v>11717819</v>
      </c>
      <c r="B55" s="1">
        <v>45738.535682870373</v>
      </c>
      <c r="C55" t="s">
        <v>0</v>
      </c>
      <c r="D55" t="str">
        <f>VLOOKUP(A55,MERCADO!A:B,2,0)</f>
        <v>Franqueadora</v>
      </c>
      <c r="E55" t="str">
        <f>_xlfn.XLOOKUP(A55, ORIGEM!A:A, ORIGEM!B:B)</f>
        <v>Prospecção Ativa</v>
      </c>
      <c r="F55" t="str">
        <f>_xlfn.XLOOKUP(A55, ORIGEM!A:A, ORIGEM!C:C)</f>
        <v>Sales Navigator</v>
      </c>
      <c r="G55" t="str">
        <f>_xlfn.XLOOKUP(A55, LOCAL!A:A, LOCAL!B:B)</f>
        <v>-</v>
      </c>
      <c r="H55">
        <f>_xlfn.XLOOKUP(A55, PORTE!A:A, PORTE!B:B)</f>
        <v>0</v>
      </c>
      <c r="I55">
        <f>_xlfn.XLOOKUP(A55, OBJETIVO!A:A, OBJETIVO!B:B)</f>
        <v>0</v>
      </c>
      <c r="J55">
        <f t="shared" si="0"/>
        <v>0</v>
      </c>
    </row>
    <row r="56" spans="1:10" x14ac:dyDescent="0.25">
      <c r="A56">
        <v>11717984</v>
      </c>
      <c r="B56" s="1">
        <v>45738.539386574077</v>
      </c>
      <c r="C56" t="s">
        <v>0</v>
      </c>
      <c r="D56" t="str">
        <f>VLOOKUP(A56,MERCADO!A:B,2,0)</f>
        <v>Franqueadora</v>
      </c>
      <c r="E56" t="str">
        <f>_xlfn.XLOOKUP(A56, ORIGEM!A:A, ORIGEM!B:B)</f>
        <v>Prospecção Ativa</v>
      </c>
      <c r="F56" t="str">
        <f>_xlfn.XLOOKUP(A56, ORIGEM!A:A, ORIGEM!C:C)</f>
        <v>Sales Navigator</v>
      </c>
      <c r="G56" t="str">
        <f>_xlfn.XLOOKUP(A56, LOCAL!A:A, LOCAL!B:B)</f>
        <v>-</v>
      </c>
      <c r="H56">
        <f>_xlfn.XLOOKUP(A56, PORTE!A:A, PORTE!B:B)</f>
        <v>0</v>
      </c>
      <c r="I56">
        <f>_xlfn.XLOOKUP(A56, OBJETIVO!A:A, OBJETIVO!B:B)</f>
        <v>0</v>
      </c>
      <c r="J56">
        <f t="shared" si="0"/>
        <v>0</v>
      </c>
    </row>
    <row r="57" spans="1:10" x14ac:dyDescent="0.25">
      <c r="A57">
        <v>11718243</v>
      </c>
      <c r="B57" s="1">
        <v>45738.558738425927</v>
      </c>
      <c r="C57" t="s">
        <v>0</v>
      </c>
      <c r="D57" t="str">
        <f>VLOOKUP(A57,MERCADO!A:B,2,0)</f>
        <v>Franqueadora</v>
      </c>
      <c r="E57" t="str">
        <f>_xlfn.XLOOKUP(A57, ORIGEM!A:A, ORIGEM!B:B)</f>
        <v>Prospecção Ativa</v>
      </c>
      <c r="F57" t="str">
        <f>_xlfn.XLOOKUP(A57, ORIGEM!A:A, ORIGEM!C:C)</f>
        <v>Sales Navigator</v>
      </c>
      <c r="G57" t="str">
        <f>_xlfn.XLOOKUP(A57, LOCAL!A:A, LOCAL!B:B)</f>
        <v>-</v>
      </c>
      <c r="H57">
        <f>_xlfn.XLOOKUP(A57, PORTE!A:A, PORTE!B:B)</f>
        <v>0</v>
      </c>
      <c r="I57">
        <f>_xlfn.XLOOKUP(A57, OBJETIVO!A:A, OBJETIVO!B:B)</f>
        <v>0</v>
      </c>
      <c r="J57">
        <f t="shared" si="0"/>
        <v>0</v>
      </c>
    </row>
    <row r="58" spans="1:10" x14ac:dyDescent="0.25">
      <c r="A58">
        <v>11718364</v>
      </c>
      <c r="B58" s="1">
        <v>45738.563645833332</v>
      </c>
      <c r="C58" t="s">
        <v>0</v>
      </c>
      <c r="D58" t="str">
        <f>VLOOKUP(A58,MERCADO!A:B,2,0)</f>
        <v>Franqueadora</v>
      </c>
      <c r="E58" t="str">
        <f>_xlfn.XLOOKUP(A58, ORIGEM!A:A, ORIGEM!B:B)</f>
        <v>Prospecção Ativa</v>
      </c>
      <c r="F58" t="str">
        <f>_xlfn.XLOOKUP(A58, ORIGEM!A:A, ORIGEM!C:C)</f>
        <v>Sales Navigator</v>
      </c>
      <c r="G58" t="str">
        <f>_xlfn.XLOOKUP(A58, LOCAL!A:A, LOCAL!B:B)</f>
        <v>-</v>
      </c>
      <c r="H58">
        <f>_xlfn.XLOOKUP(A58, PORTE!A:A, PORTE!B:B)</f>
        <v>0</v>
      </c>
      <c r="I58">
        <f>_xlfn.XLOOKUP(A58, OBJETIVO!A:A, OBJETIVO!B:B)</f>
        <v>0</v>
      </c>
      <c r="J58">
        <f t="shared" si="0"/>
        <v>0</v>
      </c>
    </row>
    <row r="59" spans="1:10" x14ac:dyDescent="0.25">
      <c r="A59">
        <v>11718437</v>
      </c>
      <c r="B59" s="1">
        <v>45738.564826388887</v>
      </c>
      <c r="C59" t="s">
        <v>0</v>
      </c>
      <c r="D59" t="str">
        <f>VLOOKUP(A59,MERCADO!A:B,2,0)</f>
        <v>Franqueadora</v>
      </c>
      <c r="E59" t="str">
        <f>_xlfn.XLOOKUP(A59, ORIGEM!A:A, ORIGEM!B:B)</f>
        <v>Prospecção Ativa</v>
      </c>
      <c r="F59" t="str">
        <f>_xlfn.XLOOKUP(A59, ORIGEM!A:A, ORIGEM!C:C)</f>
        <v>Sales Navigator</v>
      </c>
      <c r="G59" t="str">
        <f>_xlfn.XLOOKUP(A59, LOCAL!A:A, LOCAL!B:B)</f>
        <v>-</v>
      </c>
      <c r="H59">
        <f>_xlfn.XLOOKUP(A59, PORTE!A:A, PORTE!B:B)</f>
        <v>0</v>
      </c>
      <c r="I59">
        <f>_xlfn.XLOOKUP(A59, OBJETIVO!A:A, OBJETIVO!B:B)</f>
        <v>0</v>
      </c>
      <c r="J59">
        <f t="shared" si="0"/>
        <v>0</v>
      </c>
    </row>
    <row r="60" spans="1:10" x14ac:dyDescent="0.25">
      <c r="A60">
        <v>11718549</v>
      </c>
      <c r="B60" s="1">
        <v>45738.568622685183</v>
      </c>
      <c r="C60" t="s">
        <v>0</v>
      </c>
      <c r="D60" t="str">
        <f>VLOOKUP(A60,MERCADO!A:B,2,0)</f>
        <v>Franqueadora</v>
      </c>
      <c r="E60" t="str">
        <f>_xlfn.XLOOKUP(A60, ORIGEM!A:A, ORIGEM!B:B)</f>
        <v>Prospecção Ativa</v>
      </c>
      <c r="F60" t="str">
        <f>_xlfn.XLOOKUP(A60, ORIGEM!A:A, ORIGEM!C:C)</f>
        <v>Sales Navigator</v>
      </c>
      <c r="G60" t="str">
        <f>_xlfn.XLOOKUP(A60, LOCAL!A:A, LOCAL!B:B)</f>
        <v>-</v>
      </c>
      <c r="H60">
        <f>_xlfn.XLOOKUP(A60, PORTE!A:A, PORTE!B:B)</f>
        <v>0</v>
      </c>
      <c r="I60">
        <f>_xlfn.XLOOKUP(A60, OBJETIVO!A:A, OBJETIVO!B:B)</f>
        <v>0</v>
      </c>
      <c r="J60">
        <f t="shared" si="0"/>
        <v>0</v>
      </c>
    </row>
    <row r="61" spans="1:10" x14ac:dyDescent="0.25">
      <c r="A61">
        <v>11740755</v>
      </c>
      <c r="B61" s="1">
        <v>45740.420162037037</v>
      </c>
      <c r="C61" t="s">
        <v>0</v>
      </c>
      <c r="D61" t="str">
        <f>VLOOKUP(A61,MERCADO!A:B,2,0)</f>
        <v>Franqueadora</v>
      </c>
      <c r="E61" t="str">
        <f>_xlfn.XLOOKUP(A61, ORIGEM!A:A, ORIGEM!B:B)</f>
        <v>Prospecção Ativa</v>
      </c>
      <c r="F61" t="str">
        <f>_xlfn.XLOOKUP(A61, ORIGEM!A:A, ORIGEM!C:C)</f>
        <v>Sales Navigator</v>
      </c>
      <c r="G61" t="str">
        <f>_xlfn.XLOOKUP(A61, LOCAL!A:A, LOCAL!B:B)</f>
        <v>-</v>
      </c>
      <c r="H61">
        <f>_xlfn.XLOOKUP(A61, PORTE!A:A, PORTE!B:B)</f>
        <v>0</v>
      </c>
      <c r="I61">
        <f>_xlfn.XLOOKUP(A61, OBJETIVO!A:A, OBJETIVO!B:B)</f>
        <v>0</v>
      </c>
      <c r="J61">
        <f t="shared" si="0"/>
        <v>0</v>
      </c>
    </row>
    <row r="62" spans="1:10" x14ac:dyDescent="0.25">
      <c r="A62">
        <v>11740859</v>
      </c>
      <c r="B62" s="1">
        <v>45740.422337962962</v>
      </c>
      <c r="C62" t="s">
        <v>0</v>
      </c>
      <c r="D62" t="str">
        <f>VLOOKUP(A62,MERCADO!A:B,2,0)</f>
        <v>Franqueadora</v>
      </c>
      <c r="E62" t="str">
        <f>_xlfn.XLOOKUP(A62, ORIGEM!A:A, ORIGEM!B:B)</f>
        <v>Prospecção Ativa</v>
      </c>
      <c r="F62" t="str">
        <f>_xlfn.XLOOKUP(A62, ORIGEM!A:A, ORIGEM!C:C)</f>
        <v>Sales Navigator</v>
      </c>
      <c r="G62" t="str">
        <f>_xlfn.XLOOKUP(A62, LOCAL!A:A, LOCAL!B:B)</f>
        <v>-</v>
      </c>
      <c r="H62">
        <f>_xlfn.XLOOKUP(A62, PORTE!A:A, PORTE!B:B)</f>
        <v>0</v>
      </c>
      <c r="I62">
        <f>_xlfn.XLOOKUP(A62, OBJETIVO!A:A, OBJETIVO!B:B)</f>
        <v>0</v>
      </c>
      <c r="J62">
        <f t="shared" si="0"/>
        <v>0</v>
      </c>
    </row>
    <row r="63" spans="1:10" x14ac:dyDescent="0.25">
      <c r="A63">
        <v>11698469</v>
      </c>
      <c r="B63" s="1">
        <v>45735.5153587963</v>
      </c>
      <c r="C63" t="s">
        <v>0</v>
      </c>
      <c r="D63" t="str">
        <f>VLOOKUP(A63,MERCADO!A:B,2,0)</f>
        <v>Franqueadora</v>
      </c>
      <c r="E63" t="str">
        <f>_xlfn.XLOOKUP(A63, ORIGEM!A:A, ORIGEM!B:B)</f>
        <v>Prospecção Ativa</v>
      </c>
      <c r="F63" t="str">
        <f>_xlfn.XLOOKUP(A63, ORIGEM!A:A, ORIGEM!C:C)</f>
        <v>Sales Navigator</v>
      </c>
      <c r="G63" t="str">
        <f>_xlfn.XLOOKUP(A63, LOCAL!A:A, LOCAL!B:B)</f>
        <v>-</v>
      </c>
      <c r="H63">
        <f>_xlfn.XLOOKUP(A63, PORTE!A:A, PORTE!B:B)</f>
        <v>0</v>
      </c>
      <c r="I63">
        <f>_xlfn.XLOOKUP(A63, OBJETIVO!A:A, OBJETIVO!B:B)</f>
        <v>0</v>
      </c>
      <c r="J63">
        <f t="shared" si="0"/>
        <v>0</v>
      </c>
    </row>
    <row r="64" spans="1:10" x14ac:dyDescent="0.25">
      <c r="A64">
        <v>11698475</v>
      </c>
      <c r="B64" s="1">
        <v>45735.516875000001</v>
      </c>
      <c r="C64" t="s">
        <v>0</v>
      </c>
      <c r="D64" t="str">
        <f>VLOOKUP(A64,MERCADO!A:B,2,0)</f>
        <v>Franqueadora</v>
      </c>
      <c r="E64" t="str">
        <f>_xlfn.XLOOKUP(A64, ORIGEM!A:A, ORIGEM!B:B)</f>
        <v>Prospecção Ativa</v>
      </c>
      <c r="F64" t="str">
        <f>_xlfn.XLOOKUP(A64, ORIGEM!A:A, ORIGEM!C:C)</f>
        <v>Sales Navigator</v>
      </c>
      <c r="G64" t="str">
        <f>_xlfn.XLOOKUP(A64, LOCAL!A:A, LOCAL!B:B)</f>
        <v>-</v>
      </c>
      <c r="H64">
        <f>_xlfn.XLOOKUP(A64, PORTE!A:A, PORTE!B:B)</f>
        <v>0</v>
      </c>
      <c r="I64">
        <f>_xlfn.XLOOKUP(A64, OBJETIVO!A:A, OBJETIVO!B:B)</f>
        <v>0</v>
      </c>
      <c r="J64">
        <f t="shared" si="0"/>
        <v>0</v>
      </c>
    </row>
    <row r="65" spans="1:10" x14ac:dyDescent="0.25">
      <c r="A65">
        <v>11773367</v>
      </c>
      <c r="B65" s="1">
        <v>45742.437094907407</v>
      </c>
      <c r="C65" t="s">
        <v>0</v>
      </c>
      <c r="D65" t="str">
        <f>VLOOKUP(A65,MERCADO!A:B,2,0)</f>
        <v>Franqueadora</v>
      </c>
      <c r="E65" t="str">
        <f>_xlfn.XLOOKUP(A65, ORIGEM!A:A, ORIGEM!B:B)</f>
        <v>Prospecção Ativa</v>
      </c>
      <c r="F65" t="str">
        <f>_xlfn.XLOOKUP(A65, ORIGEM!A:A, ORIGEM!C:C)</f>
        <v>Sales Navigator</v>
      </c>
      <c r="G65" t="str">
        <f>_xlfn.XLOOKUP(A65, LOCAL!A:A, LOCAL!B:B)</f>
        <v>-</v>
      </c>
      <c r="H65">
        <f>_xlfn.XLOOKUP(A65, PORTE!A:A, PORTE!B:B)</f>
        <v>0</v>
      </c>
      <c r="I65">
        <f>_xlfn.XLOOKUP(A65, OBJETIVO!A:A, OBJETIVO!B:B)</f>
        <v>0</v>
      </c>
      <c r="J65">
        <f t="shared" si="0"/>
        <v>0</v>
      </c>
    </row>
    <row r="66" spans="1:10" x14ac:dyDescent="0.25">
      <c r="A66">
        <v>11773409</v>
      </c>
      <c r="B66" s="1">
        <v>45742.439722222225</v>
      </c>
      <c r="C66" t="s">
        <v>0</v>
      </c>
      <c r="D66" t="str">
        <f>VLOOKUP(A66,MERCADO!A:B,2,0)</f>
        <v>Franqueadora</v>
      </c>
      <c r="E66" t="str">
        <f>_xlfn.XLOOKUP(A66, ORIGEM!A:A, ORIGEM!B:B)</f>
        <v>Prospecção Ativa</v>
      </c>
      <c r="F66" t="str">
        <f>_xlfn.XLOOKUP(A66, ORIGEM!A:A, ORIGEM!C:C)</f>
        <v>Sales Navigator</v>
      </c>
      <c r="G66" t="str">
        <f>_xlfn.XLOOKUP(A66, LOCAL!A:A, LOCAL!B:B)</f>
        <v>-</v>
      </c>
      <c r="H66">
        <f>_xlfn.XLOOKUP(A66, PORTE!A:A, PORTE!B:B)</f>
        <v>0</v>
      </c>
      <c r="I66">
        <f>_xlfn.XLOOKUP(A66, OBJETIVO!A:A, OBJETIVO!B:B)</f>
        <v>0</v>
      </c>
      <c r="J66">
        <f t="shared" si="0"/>
        <v>0</v>
      </c>
    </row>
    <row r="67" spans="1:10" x14ac:dyDescent="0.25">
      <c r="A67">
        <v>11757048</v>
      </c>
      <c r="B67" s="1">
        <v>45741.536527777775</v>
      </c>
      <c r="C67" t="s">
        <v>0</v>
      </c>
      <c r="D67" t="str">
        <f>VLOOKUP(A67,MERCADO!A:B,2,0)</f>
        <v>Franqueadora</v>
      </c>
      <c r="E67" t="str">
        <f>_xlfn.XLOOKUP(A67, ORIGEM!A:A, ORIGEM!B:B)</f>
        <v>Prospecção Ativa</v>
      </c>
      <c r="F67" t="str">
        <f>_xlfn.XLOOKUP(A67, ORIGEM!A:A, ORIGEM!C:C)</f>
        <v>Sales Navigator</v>
      </c>
      <c r="G67" t="str">
        <f>_xlfn.XLOOKUP(A67, LOCAL!A:A, LOCAL!B:B)</f>
        <v>-</v>
      </c>
      <c r="H67">
        <f>_xlfn.XLOOKUP(A67, PORTE!A:A, PORTE!B:B)</f>
        <v>0</v>
      </c>
      <c r="I67">
        <f>_xlfn.XLOOKUP(A67, OBJETIVO!A:A, OBJETIVO!B:B)</f>
        <v>0</v>
      </c>
      <c r="J67">
        <f t="shared" ref="J67:J130" si="1">IF(C67="SIM",1,0)</f>
        <v>0</v>
      </c>
    </row>
    <row r="68" spans="1:10" x14ac:dyDescent="0.25">
      <c r="A68">
        <v>11774377</v>
      </c>
      <c r="B68" s="1">
        <v>45742.481064814812</v>
      </c>
      <c r="C68" t="s">
        <v>0</v>
      </c>
      <c r="D68" t="str">
        <f>VLOOKUP(A68,MERCADO!A:B,2,0)</f>
        <v>Franqueadora</v>
      </c>
      <c r="E68" t="str">
        <f>_xlfn.XLOOKUP(A68, ORIGEM!A:A, ORIGEM!B:B)</f>
        <v>Prospecção Ativa</v>
      </c>
      <c r="F68" t="str">
        <f>_xlfn.XLOOKUP(A68, ORIGEM!A:A, ORIGEM!C:C)</f>
        <v>Sales Navigator</v>
      </c>
      <c r="G68" t="str">
        <f>_xlfn.XLOOKUP(A68, LOCAL!A:A, LOCAL!B:B)</f>
        <v>-</v>
      </c>
      <c r="H68">
        <f>_xlfn.XLOOKUP(A68, PORTE!A:A, PORTE!B:B)</f>
        <v>0</v>
      </c>
      <c r="I68">
        <f>_xlfn.XLOOKUP(A68, OBJETIVO!A:A, OBJETIVO!B:B)</f>
        <v>0</v>
      </c>
      <c r="J68">
        <f t="shared" si="1"/>
        <v>0</v>
      </c>
    </row>
    <row r="69" spans="1:10" x14ac:dyDescent="0.25">
      <c r="A69">
        <v>11798332</v>
      </c>
      <c r="B69" s="1">
        <v>45745.407685185186</v>
      </c>
      <c r="C69" t="s">
        <v>0</v>
      </c>
      <c r="D69" t="str">
        <f>VLOOKUP(A69,MERCADO!A:B,2,0)</f>
        <v>Franqueadora</v>
      </c>
      <c r="E69" t="str">
        <f>_xlfn.XLOOKUP(A69, ORIGEM!A:A, ORIGEM!B:B)</f>
        <v>Prospecção Ativa</v>
      </c>
      <c r="F69" t="str">
        <f>_xlfn.XLOOKUP(A69, ORIGEM!A:A, ORIGEM!C:C)</f>
        <v>Sales Navigator</v>
      </c>
      <c r="G69" t="str">
        <f>_xlfn.XLOOKUP(A69, LOCAL!A:A, LOCAL!B:B)</f>
        <v>-</v>
      </c>
      <c r="H69">
        <f>_xlfn.XLOOKUP(A69, PORTE!A:A, PORTE!B:B)</f>
        <v>0</v>
      </c>
      <c r="I69">
        <f>_xlfn.XLOOKUP(A69, OBJETIVO!A:A, OBJETIVO!B:B)</f>
        <v>0</v>
      </c>
      <c r="J69">
        <f t="shared" si="1"/>
        <v>0</v>
      </c>
    </row>
    <row r="70" spans="1:10" x14ac:dyDescent="0.25">
      <c r="A70">
        <v>11799384</v>
      </c>
      <c r="B70" s="1">
        <v>45745.411145833335</v>
      </c>
      <c r="C70" t="s">
        <v>0</v>
      </c>
      <c r="D70" t="str">
        <f>VLOOKUP(A70,MERCADO!A:B,2,0)</f>
        <v>Franqueadora</v>
      </c>
      <c r="E70" t="str">
        <f>_xlfn.XLOOKUP(A70, ORIGEM!A:A, ORIGEM!B:B)</f>
        <v>Prospecção Ativa</v>
      </c>
      <c r="F70" t="str">
        <f>_xlfn.XLOOKUP(A70, ORIGEM!A:A, ORIGEM!C:C)</f>
        <v>Sales Navigator</v>
      </c>
      <c r="G70" t="str">
        <f>_xlfn.XLOOKUP(A70, LOCAL!A:A, LOCAL!B:B)</f>
        <v>-</v>
      </c>
      <c r="H70">
        <f>_xlfn.XLOOKUP(A70, PORTE!A:A, PORTE!B:B)</f>
        <v>0</v>
      </c>
      <c r="I70">
        <f>_xlfn.XLOOKUP(A70, OBJETIVO!A:A, OBJETIVO!B:B)</f>
        <v>0</v>
      </c>
      <c r="J70">
        <f t="shared" si="1"/>
        <v>0</v>
      </c>
    </row>
    <row r="71" spans="1:10" x14ac:dyDescent="0.25">
      <c r="A71">
        <v>11800181</v>
      </c>
      <c r="B71" s="1">
        <v>45745.413101851853</v>
      </c>
      <c r="C71" t="s">
        <v>0</v>
      </c>
      <c r="D71" t="str">
        <f>VLOOKUP(A71,MERCADO!A:B,2,0)</f>
        <v>Franqueadora</v>
      </c>
      <c r="E71" t="str">
        <f>_xlfn.XLOOKUP(A71, ORIGEM!A:A, ORIGEM!B:B)</f>
        <v>Prospecção Ativa</v>
      </c>
      <c r="F71" t="str">
        <f>_xlfn.XLOOKUP(A71, ORIGEM!A:A, ORIGEM!C:C)</f>
        <v>Sales Navigator</v>
      </c>
      <c r="G71" t="str">
        <f>_xlfn.XLOOKUP(A71, LOCAL!A:A, LOCAL!B:B)</f>
        <v>-</v>
      </c>
      <c r="H71">
        <f>_xlfn.XLOOKUP(A71, PORTE!A:A, PORTE!B:B)</f>
        <v>0</v>
      </c>
      <c r="I71">
        <f>_xlfn.XLOOKUP(A71, OBJETIVO!A:A, OBJETIVO!B:B)</f>
        <v>0</v>
      </c>
      <c r="J71">
        <f t="shared" si="1"/>
        <v>0</v>
      </c>
    </row>
    <row r="72" spans="1:10" x14ac:dyDescent="0.25">
      <c r="A72">
        <v>11800788</v>
      </c>
      <c r="B72" s="1">
        <v>45745.417337962965</v>
      </c>
      <c r="C72" t="s">
        <v>0</v>
      </c>
      <c r="D72" t="str">
        <f>VLOOKUP(A72,MERCADO!A:B,2,0)</f>
        <v>Franqueadora</v>
      </c>
      <c r="E72" t="str">
        <f>_xlfn.XLOOKUP(A72, ORIGEM!A:A, ORIGEM!B:B)</f>
        <v>Prospecção Ativa</v>
      </c>
      <c r="F72" t="str">
        <f>_xlfn.XLOOKUP(A72, ORIGEM!A:A, ORIGEM!C:C)</f>
        <v>Sales Navigator</v>
      </c>
      <c r="G72" t="str">
        <f>_xlfn.XLOOKUP(A72, LOCAL!A:A, LOCAL!B:B)</f>
        <v>-</v>
      </c>
      <c r="H72">
        <f>_xlfn.XLOOKUP(A72, PORTE!A:A, PORTE!B:B)</f>
        <v>0</v>
      </c>
      <c r="I72">
        <f>_xlfn.XLOOKUP(A72, OBJETIVO!A:A, OBJETIVO!B:B)</f>
        <v>0</v>
      </c>
      <c r="J72">
        <f t="shared" si="1"/>
        <v>0</v>
      </c>
    </row>
    <row r="73" spans="1:10" x14ac:dyDescent="0.25">
      <c r="A73">
        <v>11806133</v>
      </c>
      <c r="B73" s="1">
        <v>45745.525046296294</v>
      </c>
      <c r="C73" t="s">
        <v>0</v>
      </c>
      <c r="D73" t="str">
        <f>VLOOKUP(A73,MERCADO!A:B,2,0)</f>
        <v>Franqueadora</v>
      </c>
      <c r="E73" t="str">
        <f>_xlfn.XLOOKUP(A73, ORIGEM!A:A, ORIGEM!B:B)</f>
        <v>Prospecção Ativa</v>
      </c>
      <c r="F73" t="str">
        <f>_xlfn.XLOOKUP(A73, ORIGEM!A:A, ORIGEM!C:C)</f>
        <v>Sales Navigator</v>
      </c>
      <c r="G73" t="str">
        <f>_xlfn.XLOOKUP(A73, LOCAL!A:A, LOCAL!B:B)</f>
        <v>-</v>
      </c>
      <c r="H73">
        <f>_xlfn.XLOOKUP(A73, PORTE!A:A, PORTE!B:B)</f>
        <v>0</v>
      </c>
      <c r="I73">
        <f>_xlfn.XLOOKUP(A73, OBJETIVO!A:A, OBJETIVO!B:B)</f>
        <v>0</v>
      </c>
      <c r="J73">
        <f t="shared" si="1"/>
        <v>0</v>
      </c>
    </row>
    <row r="74" spans="1:10" x14ac:dyDescent="0.25">
      <c r="A74">
        <v>11611775</v>
      </c>
      <c r="B74" s="1">
        <v>45727.503564814811</v>
      </c>
      <c r="C74" t="s">
        <v>0</v>
      </c>
      <c r="D74" t="str">
        <f>VLOOKUP(A74,MERCADO!A:B,2,0)</f>
        <v>Franqueadora</v>
      </c>
      <c r="E74" t="str">
        <f>_xlfn.XLOOKUP(A74, ORIGEM!A:A, ORIGEM!B:B)</f>
        <v>Prospecção Ativa</v>
      </c>
      <c r="F74" t="str">
        <f>_xlfn.XLOOKUP(A74, ORIGEM!A:A, ORIGEM!C:C)</f>
        <v>Sales Navigator</v>
      </c>
      <c r="G74" t="str">
        <f>_xlfn.XLOOKUP(A74, LOCAL!A:A, LOCAL!B:B)</f>
        <v>-</v>
      </c>
      <c r="H74">
        <f>_xlfn.XLOOKUP(A74, PORTE!A:A, PORTE!B:B)</f>
        <v>0</v>
      </c>
      <c r="I74">
        <f>_xlfn.XLOOKUP(A74, OBJETIVO!A:A, OBJETIVO!B:B)</f>
        <v>0</v>
      </c>
      <c r="J74">
        <f t="shared" si="1"/>
        <v>0</v>
      </c>
    </row>
    <row r="75" spans="1:10" x14ac:dyDescent="0.25">
      <c r="A75">
        <v>11832009</v>
      </c>
      <c r="B75" s="1">
        <v>45747.508240740739</v>
      </c>
      <c r="C75" t="s">
        <v>0</v>
      </c>
      <c r="D75" t="str">
        <f>VLOOKUP(A75,MERCADO!A:B,2,0)</f>
        <v>Franqueadora</v>
      </c>
      <c r="E75" t="str">
        <f>_xlfn.XLOOKUP(A75, ORIGEM!A:A, ORIGEM!B:B)</f>
        <v>Prospecção Ativa</v>
      </c>
      <c r="F75" t="str">
        <f>_xlfn.XLOOKUP(A75, ORIGEM!A:A, ORIGEM!C:C)</f>
        <v>Sales Navigator</v>
      </c>
      <c r="G75" t="str">
        <f>_xlfn.XLOOKUP(A75, LOCAL!A:A, LOCAL!B:B)</f>
        <v>-</v>
      </c>
      <c r="H75">
        <f>_xlfn.XLOOKUP(A75, PORTE!A:A, PORTE!B:B)</f>
        <v>0</v>
      </c>
      <c r="I75">
        <f>_xlfn.XLOOKUP(A75, OBJETIVO!A:A, OBJETIVO!B:B)</f>
        <v>0</v>
      </c>
      <c r="J75">
        <f t="shared" si="1"/>
        <v>0</v>
      </c>
    </row>
    <row r="76" spans="1:10" x14ac:dyDescent="0.25">
      <c r="A76">
        <v>11832538</v>
      </c>
      <c r="B76" s="1">
        <v>45747.52679398148</v>
      </c>
      <c r="C76" t="s">
        <v>0</v>
      </c>
      <c r="D76" t="str">
        <f>VLOOKUP(A76,MERCADO!A:B,2,0)</f>
        <v>Franqueadora</v>
      </c>
      <c r="E76" t="str">
        <f>_xlfn.XLOOKUP(A76, ORIGEM!A:A, ORIGEM!B:B)</f>
        <v>Prospecção Ativa</v>
      </c>
      <c r="F76" t="str">
        <f>_xlfn.XLOOKUP(A76, ORIGEM!A:A, ORIGEM!C:C)</f>
        <v>Sales Navigator</v>
      </c>
      <c r="G76" t="str">
        <f>_xlfn.XLOOKUP(A76, LOCAL!A:A, LOCAL!B:B)</f>
        <v>-</v>
      </c>
      <c r="H76">
        <f>_xlfn.XLOOKUP(A76, PORTE!A:A, PORTE!B:B)</f>
        <v>0</v>
      </c>
      <c r="I76">
        <f>_xlfn.XLOOKUP(A76, OBJETIVO!A:A, OBJETIVO!B:B)</f>
        <v>0</v>
      </c>
      <c r="J76">
        <f t="shared" si="1"/>
        <v>0</v>
      </c>
    </row>
    <row r="77" spans="1:10" x14ac:dyDescent="0.25">
      <c r="A77">
        <v>11842737</v>
      </c>
      <c r="B77" s="1">
        <v>45748.451909722222</v>
      </c>
      <c r="C77" t="s">
        <v>0</v>
      </c>
      <c r="D77" t="str">
        <f>VLOOKUP(A77,MERCADO!A:B,2,0)</f>
        <v>Franqueadora</v>
      </c>
      <c r="E77" t="str">
        <f>_xlfn.XLOOKUP(A77, ORIGEM!A:A, ORIGEM!B:B)</f>
        <v>Prospecção Ativa</v>
      </c>
      <c r="F77" t="str">
        <f>_xlfn.XLOOKUP(A77, ORIGEM!A:A, ORIGEM!C:C)</f>
        <v>Sales Navigator</v>
      </c>
      <c r="G77" t="str">
        <f>_xlfn.XLOOKUP(A77, LOCAL!A:A, LOCAL!B:B)</f>
        <v>-</v>
      </c>
      <c r="H77">
        <f>_xlfn.XLOOKUP(A77, PORTE!A:A, PORTE!B:B)</f>
        <v>0</v>
      </c>
      <c r="I77">
        <f>_xlfn.XLOOKUP(A77, OBJETIVO!A:A, OBJETIVO!B:B)</f>
        <v>0</v>
      </c>
      <c r="J77">
        <f t="shared" si="1"/>
        <v>0</v>
      </c>
    </row>
    <row r="78" spans="1:10" x14ac:dyDescent="0.25">
      <c r="A78">
        <v>11843401</v>
      </c>
      <c r="B78" s="1">
        <v>45748.478692129633</v>
      </c>
      <c r="C78" t="s">
        <v>0</v>
      </c>
      <c r="D78" t="str">
        <f>VLOOKUP(A78,MERCADO!A:B,2,0)</f>
        <v>Franqueadora</v>
      </c>
      <c r="E78" t="str">
        <f>_xlfn.XLOOKUP(A78, ORIGEM!A:A, ORIGEM!B:B)</f>
        <v>Prospecção Ativa</v>
      </c>
      <c r="F78" t="str">
        <f>_xlfn.XLOOKUP(A78, ORIGEM!A:A, ORIGEM!C:C)</f>
        <v>Sales Navigator</v>
      </c>
      <c r="G78" t="str">
        <f>_xlfn.XLOOKUP(A78, LOCAL!A:A, LOCAL!B:B)</f>
        <v>-</v>
      </c>
      <c r="H78">
        <f>_xlfn.XLOOKUP(A78, PORTE!A:A, PORTE!B:B)</f>
        <v>0</v>
      </c>
      <c r="I78">
        <f>_xlfn.XLOOKUP(A78, OBJETIVO!A:A, OBJETIVO!B:B)</f>
        <v>0</v>
      </c>
      <c r="J78">
        <f t="shared" si="1"/>
        <v>0</v>
      </c>
    </row>
    <row r="79" spans="1:10" x14ac:dyDescent="0.25">
      <c r="A79">
        <v>11888712</v>
      </c>
      <c r="B79" s="1">
        <v>45753.686423611114</v>
      </c>
      <c r="C79" t="s">
        <v>0</v>
      </c>
      <c r="D79" t="str">
        <f>VLOOKUP(A79,MERCADO!A:B,2,0)</f>
        <v>Franqueadora</v>
      </c>
      <c r="E79" t="str">
        <f>_xlfn.XLOOKUP(A79, ORIGEM!A:A, ORIGEM!B:B)</f>
        <v>Prospecção Ativa</v>
      </c>
      <c r="F79" t="str">
        <f>_xlfn.XLOOKUP(A79, ORIGEM!A:A, ORIGEM!C:C)</f>
        <v>Sales Navigator</v>
      </c>
      <c r="G79" t="str">
        <f>_xlfn.XLOOKUP(A79, LOCAL!A:A, LOCAL!B:B)</f>
        <v>-</v>
      </c>
      <c r="H79">
        <f>_xlfn.XLOOKUP(A79, PORTE!A:A, PORTE!B:B)</f>
        <v>0</v>
      </c>
      <c r="I79">
        <f>_xlfn.XLOOKUP(A79, OBJETIVO!A:A, OBJETIVO!B:B)</f>
        <v>0</v>
      </c>
      <c r="J79">
        <f t="shared" si="1"/>
        <v>0</v>
      </c>
    </row>
    <row r="80" spans="1:10" x14ac:dyDescent="0.25">
      <c r="A80">
        <v>11889032</v>
      </c>
      <c r="B80" s="1">
        <v>45753.688738425924</v>
      </c>
      <c r="C80" t="s">
        <v>0</v>
      </c>
      <c r="D80" t="str">
        <f>VLOOKUP(A80,MERCADO!A:B,2,0)</f>
        <v>Franqueadora</v>
      </c>
      <c r="E80" t="str">
        <f>_xlfn.XLOOKUP(A80, ORIGEM!A:A, ORIGEM!B:B)</f>
        <v>Prospecção Ativa</v>
      </c>
      <c r="F80" t="str">
        <f>_xlfn.XLOOKUP(A80, ORIGEM!A:A, ORIGEM!C:C)</f>
        <v>Sales Navigator</v>
      </c>
      <c r="G80" t="str">
        <f>_xlfn.XLOOKUP(A80, LOCAL!A:A, LOCAL!B:B)</f>
        <v>-</v>
      </c>
      <c r="H80">
        <f>_xlfn.XLOOKUP(A80, PORTE!A:A, PORTE!B:B)</f>
        <v>0</v>
      </c>
      <c r="I80">
        <f>_xlfn.XLOOKUP(A80, OBJETIVO!A:A, OBJETIVO!B:B)</f>
        <v>0</v>
      </c>
      <c r="J80">
        <f t="shared" si="1"/>
        <v>0</v>
      </c>
    </row>
    <row r="81" spans="1:10" x14ac:dyDescent="0.25">
      <c r="A81">
        <v>11890089</v>
      </c>
      <c r="B81" s="1">
        <v>45753.702476851853</v>
      </c>
      <c r="C81" t="s">
        <v>0</v>
      </c>
      <c r="D81" t="str">
        <f>VLOOKUP(A81,MERCADO!A:B,2,0)</f>
        <v>Franqueadora</v>
      </c>
      <c r="E81" t="str">
        <f>_xlfn.XLOOKUP(A81, ORIGEM!A:A, ORIGEM!B:B)</f>
        <v>Prospecção Ativa</v>
      </c>
      <c r="F81" t="str">
        <f>_xlfn.XLOOKUP(A81, ORIGEM!A:A, ORIGEM!C:C)</f>
        <v>Sales Navigator</v>
      </c>
      <c r="G81" t="str">
        <f>_xlfn.XLOOKUP(A81, LOCAL!A:A, LOCAL!B:B)</f>
        <v>-</v>
      </c>
      <c r="H81">
        <f>_xlfn.XLOOKUP(A81, PORTE!A:A, PORTE!B:B)</f>
        <v>0</v>
      </c>
      <c r="I81">
        <f>_xlfn.XLOOKUP(A81, OBJETIVO!A:A, OBJETIVO!B:B)</f>
        <v>0</v>
      </c>
      <c r="J81">
        <f t="shared" si="1"/>
        <v>0</v>
      </c>
    </row>
    <row r="82" spans="1:10" x14ac:dyDescent="0.25">
      <c r="A82">
        <v>11930488</v>
      </c>
      <c r="B82" s="1">
        <v>45756.544178240743</v>
      </c>
      <c r="C82" t="s">
        <v>0</v>
      </c>
      <c r="D82" t="str">
        <f>VLOOKUP(A82,MERCADO!A:B,2,0)</f>
        <v>Franqueadora</v>
      </c>
      <c r="E82" t="str">
        <f>_xlfn.XLOOKUP(A82, ORIGEM!A:A, ORIGEM!B:B)</f>
        <v>Prospecção Ativa</v>
      </c>
      <c r="F82" t="str">
        <f>_xlfn.XLOOKUP(A82, ORIGEM!A:A, ORIGEM!C:C)</f>
        <v>Sales Navigator</v>
      </c>
      <c r="G82" t="str">
        <f>_xlfn.XLOOKUP(A82, LOCAL!A:A, LOCAL!B:B)</f>
        <v>-</v>
      </c>
      <c r="H82">
        <f>_xlfn.XLOOKUP(A82, PORTE!A:A, PORTE!B:B)</f>
        <v>0</v>
      </c>
      <c r="I82">
        <f>_xlfn.XLOOKUP(A82, OBJETIVO!A:A, OBJETIVO!B:B)</f>
        <v>0</v>
      </c>
      <c r="J82">
        <f t="shared" si="1"/>
        <v>0</v>
      </c>
    </row>
    <row r="83" spans="1:10" x14ac:dyDescent="0.25">
      <c r="A83">
        <v>11899817</v>
      </c>
      <c r="B83" s="1">
        <v>45754.57135416667</v>
      </c>
      <c r="C83" t="s">
        <v>0</v>
      </c>
      <c r="D83" t="str">
        <f>VLOOKUP(A83,MERCADO!A:B,2,0)</f>
        <v>Franqueadora</v>
      </c>
      <c r="E83" t="str">
        <f>_xlfn.XLOOKUP(A83, ORIGEM!A:A, ORIGEM!B:B)</f>
        <v>Prospecção Ativa</v>
      </c>
      <c r="F83" t="str">
        <f>_xlfn.XLOOKUP(A83, ORIGEM!A:A, ORIGEM!C:C)</f>
        <v>Sales Navigator</v>
      </c>
      <c r="G83" t="str">
        <f>_xlfn.XLOOKUP(A83, LOCAL!A:A, LOCAL!B:B)</f>
        <v>-</v>
      </c>
      <c r="H83">
        <f>_xlfn.XLOOKUP(A83, PORTE!A:A, PORTE!B:B)</f>
        <v>0</v>
      </c>
      <c r="I83">
        <f>_xlfn.XLOOKUP(A83, OBJETIVO!A:A, OBJETIVO!B:B)</f>
        <v>0</v>
      </c>
      <c r="J83">
        <f t="shared" si="1"/>
        <v>0</v>
      </c>
    </row>
    <row r="84" spans="1:10" x14ac:dyDescent="0.25">
      <c r="A84">
        <v>10706315</v>
      </c>
      <c r="B84" s="1">
        <v>45640.025833333333</v>
      </c>
      <c r="C84" t="s">
        <v>0</v>
      </c>
      <c r="D84" t="str">
        <f>VLOOKUP(A84,MERCADO!A:B,2,0)</f>
        <v>Franqueadora</v>
      </c>
      <c r="E84" t="str">
        <f>_xlfn.XLOOKUP(A84, ORIGEM!A:A, ORIGEM!B:B)</f>
        <v>Google</v>
      </c>
      <c r="F84" t="str">
        <f>_xlfn.XLOOKUP(A84, ORIGEM!A:A, ORIGEM!C:C)</f>
        <v>google - cpc</v>
      </c>
      <c r="G84" t="str">
        <f>_xlfn.XLOOKUP(A84, LOCAL!A:A, LOCAL!B:B)</f>
        <v>São Paulo - SP</v>
      </c>
      <c r="H84" t="str">
        <f>_xlfn.XLOOKUP(A84, PORTE!A:A, PORTE!B:B)</f>
        <v>1-10</v>
      </c>
      <c r="I84" t="str">
        <f>_xlfn.XLOOKUP(A84, OBJETIVO!A:A, OBJETIVO!B:B)</f>
        <v>Abertura/Expansão</v>
      </c>
      <c r="J84">
        <f t="shared" si="1"/>
        <v>0</v>
      </c>
    </row>
    <row r="85" spans="1:10" x14ac:dyDescent="0.25">
      <c r="A85">
        <v>11296113</v>
      </c>
      <c r="B85" s="1">
        <v>45697.461840277778</v>
      </c>
      <c r="C85" t="s">
        <v>0</v>
      </c>
      <c r="D85" t="str">
        <f>VLOOKUP(A85,MERCADO!A:B,2,0)</f>
        <v>Franqueadora</v>
      </c>
      <c r="E85" t="str">
        <f>_xlfn.XLOOKUP(A85, ORIGEM!A:A, ORIGEM!B:B)</f>
        <v>Google</v>
      </c>
      <c r="F85" t="str">
        <f>_xlfn.XLOOKUP(A85, ORIGEM!A:A, ORIGEM!C:C)</f>
        <v>google - cpc</v>
      </c>
      <c r="G85" t="str">
        <f>_xlfn.XLOOKUP(A85, LOCAL!A:A, LOCAL!B:B)</f>
        <v>Rio de Janeiro - RJ</v>
      </c>
      <c r="H85" t="str">
        <f>_xlfn.XLOOKUP(A85, PORTE!A:A, PORTE!B:B)</f>
        <v>1-10</v>
      </c>
      <c r="I85" t="str">
        <f>_xlfn.XLOOKUP(A85, OBJETIVO!A:A, OBJETIVO!B:B)</f>
        <v>Outro</v>
      </c>
      <c r="J85">
        <f t="shared" si="1"/>
        <v>0</v>
      </c>
    </row>
    <row r="86" spans="1:10" x14ac:dyDescent="0.25">
      <c r="A86">
        <v>11611811</v>
      </c>
      <c r="B86" s="1">
        <v>45727.505497685182</v>
      </c>
      <c r="C86" t="s">
        <v>0</v>
      </c>
      <c r="D86" t="str">
        <f>VLOOKUP(A86,MERCADO!A:B,2,0)</f>
        <v>Franqueadora</v>
      </c>
      <c r="E86" t="str">
        <f>_xlfn.XLOOKUP(A86, ORIGEM!A:A, ORIGEM!B:B)</f>
        <v>Prospecção Ativa</v>
      </c>
      <c r="F86">
        <f>_xlfn.XLOOKUP(A86, ORIGEM!A:A, ORIGEM!C:C)</f>
        <v>0</v>
      </c>
      <c r="G86" t="str">
        <f>_xlfn.XLOOKUP(A86, LOCAL!A:A, LOCAL!B:B)</f>
        <v>-</v>
      </c>
      <c r="H86">
        <f>_xlfn.XLOOKUP(A86, PORTE!A:A, PORTE!B:B)</f>
        <v>0</v>
      </c>
      <c r="I86">
        <f>_xlfn.XLOOKUP(A86, OBJETIVO!A:A, OBJETIVO!B:B)</f>
        <v>0</v>
      </c>
      <c r="J86">
        <f t="shared" si="1"/>
        <v>0</v>
      </c>
    </row>
    <row r="87" spans="1:10" x14ac:dyDescent="0.25">
      <c r="A87">
        <v>11588015</v>
      </c>
      <c r="B87" s="1">
        <v>45725.636481481481</v>
      </c>
      <c r="C87" t="s">
        <v>0</v>
      </c>
      <c r="D87" t="str">
        <f>VLOOKUP(A87,MERCADO!A:B,2,0)</f>
        <v>Franqueadora</v>
      </c>
      <c r="E87" t="str">
        <f>_xlfn.XLOOKUP(A87, ORIGEM!A:A, ORIGEM!B:B)</f>
        <v>Prospecção Ativa</v>
      </c>
      <c r="F87">
        <f>_xlfn.XLOOKUP(A87, ORIGEM!A:A, ORIGEM!C:C)</f>
        <v>0</v>
      </c>
      <c r="G87" t="str">
        <f>_xlfn.XLOOKUP(A87, LOCAL!A:A, LOCAL!B:B)</f>
        <v>-</v>
      </c>
      <c r="H87">
        <f>_xlfn.XLOOKUP(A87, PORTE!A:A, PORTE!B:B)</f>
        <v>0</v>
      </c>
      <c r="I87">
        <f>_xlfn.XLOOKUP(A87, OBJETIVO!A:A, OBJETIVO!B:B)</f>
        <v>0</v>
      </c>
      <c r="J87">
        <f t="shared" si="1"/>
        <v>0</v>
      </c>
    </row>
    <row r="88" spans="1:10" x14ac:dyDescent="0.25">
      <c r="A88">
        <v>11599660</v>
      </c>
      <c r="B88" s="1">
        <v>45726.502222222225</v>
      </c>
      <c r="C88" t="s">
        <v>0</v>
      </c>
      <c r="D88" t="str">
        <f>VLOOKUP(A88,MERCADO!A:B,2,0)</f>
        <v>Franqueadora</v>
      </c>
      <c r="E88" t="str">
        <f>_xlfn.XLOOKUP(A88, ORIGEM!A:A, ORIGEM!B:B)</f>
        <v>Prospecção Ativa</v>
      </c>
      <c r="F88">
        <f>_xlfn.XLOOKUP(A88, ORIGEM!A:A, ORIGEM!C:C)</f>
        <v>0</v>
      </c>
      <c r="G88" t="str">
        <f>_xlfn.XLOOKUP(A88, LOCAL!A:A, LOCAL!B:B)</f>
        <v>-</v>
      </c>
      <c r="H88">
        <f>_xlfn.XLOOKUP(A88, PORTE!A:A, PORTE!B:B)</f>
        <v>0</v>
      </c>
      <c r="I88">
        <f>_xlfn.XLOOKUP(A88, OBJETIVO!A:A, OBJETIVO!B:B)</f>
        <v>0</v>
      </c>
      <c r="J88">
        <f t="shared" si="1"/>
        <v>0</v>
      </c>
    </row>
    <row r="89" spans="1:10" x14ac:dyDescent="0.25">
      <c r="A89">
        <v>11599672</v>
      </c>
      <c r="B89" s="1">
        <v>45726.503449074073</v>
      </c>
      <c r="C89" t="s">
        <v>0</v>
      </c>
      <c r="D89" t="str">
        <f>VLOOKUP(A89,MERCADO!A:B,2,0)</f>
        <v>Franqueadora</v>
      </c>
      <c r="E89" t="str">
        <f>_xlfn.XLOOKUP(A89, ORIGEM!A:A, ORIGEM!B:B)</f>
        <v>Prospecção Ativa</v>
      </c>
      <c r="F89">
        <f>_xlfn.XLOOKUP(A89, ORIGEM!A:A, ORIGEM!C:C)</f>
        <v>0</v>
      </c>
      <c r="G89" t="str">
        <f>_xlfn.XLOOKUP(A89, LOCAL!A:A, LOCAL!B:B)</f>
        <v>-</v>
      </c>
      <c r="H89">
        <f>_xlfn.XLOOKUP(A89, PORTE!A:A, PORTE!B:B)</f>
        <v>0</v>
      </c>
      <c r="I89">
        <f>_xlfn.XLOOKUP(A89, OBJETIVO!A:A, OBJETIVO!B:B)</f>
        <v>0</v>
      </c>
      <c r="J89">
        <f t="shared" si="1"/>
        <v>0</v>
      </c>
    </row>
    <row r="90" spans="1:10" x14ac:dyDescent="0.25">
      <c r="A90">
        <v>11599681</v>
      </c>
      <c r="B90" s="1">
        <v>45726.50409722222</v>
      </c>
      <c r="C90" t="s">
        <v>0</v>
      </c>
      <c r="D90" t="str">
        <f>VLOOKUP(A90,MERCADO!A:B,2,0)</f>
        <v>Franqueadora</v>
      </c>
      <c r="E90" t="str">
        <f>_xlfn.XLOOKUP(A90, ORIGEM!A:A, ORIGEM!B:B)</f>
        <v>Prospecção Ativa</v>
      </c>
      <c r="F90">
        <f>_xlfn.XLOOKUP(A90, ORIGEM!A:A, ORIGEM!C:C)</f>
        <v>0</v>
      </c>
      <c r="G90" t="str">
        <f>_xlfn.XLOOKUP(A90, LOCAL!A:A, LOCAL!B:B)</f>
        <v>-</v>
      </c>
      <c r="H90">
        <f>_xlfn.XLOOKUP(A90, PORTE!A:A, PORTE!B:B)</f>
        <v>0</v>
      </c>
      <c r="I90">
        <f>_xlfn.XLOOKUP(A90, OBJETIVO!A:A, OBJETIVO!B:B)</f>
        <v>0</v>
      </c>
      <c r="J90">
        <f t="shared" si="1"/>
        <v>0</v>
      </c>
    </row>
    <row r="91" spans="1:10" x14ac:dyDescent="0.25">
      <c r="A91">
        <v>11599755</v>
      </c>
      <c r="B91" s="1">
        <v>45726.511817129627</v>
      </c>
      <c r="C91" t="s">
        <v>0</v>
      </c>
      <c r="D91" t="str">
        <f>VLOOKUP(A91,MERCADO!A:B,2,0)</f>
        <v>Franqueadora</v>
      </c>
      <c r="E91" t="str">
        <f>_xlfn.XLOOKUP(A91, ORIGEM!A:A, ORIGEM!B:B)</f>
        <v>Prospecção Ativa</v>
      </c>
      <c r="F91">
        <f>_xlfn.XLOOKUP(A91, ORIGEM!A:A, ORIGEM!C:C)</f>
        <v>0</v>
      </c>
      <c r="G91" t="str">
        <f>_xlfn.XLOOKUP(A91, LOCAL!A:A, LOCAL!B:B)</f>
        <v>-</v>
      </c>
      <c r="H91">
        <f>_xlfn.XLOOKUP(A91, PORTE!A:A, PORTE!B:B)</f>
        <v>0</v>
      </c>
      <c r="I91">
        <f>_xlfn.XLOOKUP(A91, OBJETIVO!A:A, OBJETIVO!B:B)</f>
        <v>0</v>
      </c>
      <c r="J91">
        <f t="shared" si="1"/>
        <v>0</v>
      </c>
    </row>
    <row r="92" spans="1:10" x14ac:dyDescent="0.25">
      <c r="A92">
        <v>11600028</v>
      </c>
      <c r="B92" s="1">
        <v>45726.520358796297</v>
      </c>
      <c r="C92" t="s">
        <v>0</v>
      </c>
      <c r="D92" t="str">
        <f>VLOOKUP(A92,MERCADO!A:B,2,0)</f>
        <v>Franqueadora</v>
      </c>
      <c r="E92" t="str">
        <f>_xlfn.XLOOKUP(A92, ORIGEM!A:A, ORIGEM!B:B)</f>
        <v>Prospecção Ativa</v>
      </c>
      <c r="F92">
        <f>_xlfn.XLOOKUP(A92, ORIGEM!A:A, ORIGEM!C:C)</f>
        <v>0</v>
      </c>
      <c r="G92" t="str">
        <f>_xlfn.XLOOKUP(A92, LOCAL!A:A, LOCAL!B:B)</f>
        <v>-</v>
      </c>
      <c r="H92">
        <f>_xlfn.XLOOKUP(A92, PORTE!A:A, PORTE!B:B)</f>
        <v>0</v>
      </c>
      <c r="I92">
        <f>_xlfn.XLOOKUP(A92, OBJETIVO!A:A, OBJETIVO!B:B)</f>
        <v>0</v>
      </c>
      <c r="J92">
        <f t="shared" si="1"/>
        <v>0</v>
      </c>
    </row>
    <row r="93" spans="1:10" x14ac:dyDescent="0.25">
      <c r="A93">
        <v>11067193</v>
      </c>
      <c r="B93" s="1">
        <v>45678.411400462966</v>
      </c>
      <c r="C93" t="s">
        <v>0</v>
      </c>
      <c r="D93" t="str">
        <f>VLOOKUP(A93,MERCADO!A:B,2,0)</f>
        <v>Industria</v>
      </c>
      <c r="E93" t="str">
        <f>_xlfn.XLOOKUP(A93, ORIGEM!A:A, ORIGEM!B:B)</f>
        <v>Prospecção Ativa</v>
      </c>
      <c r="F93">
        <f>_xlfn.XLOOKUP(A93, ORIGEM!A:A, ORIGEM!C:C)</f>
        <v>0</v>
      </c>
      <c r="G93" t="str">
        <f>_xlfn.XLOOKUP(A93, LOCAL!A:A, LOCAL!B:B)</f>
        <v>-</v>
      </c>
      <c r="H93">
        <f>_xlfn.XLOOKUP(A93, PORTE!A:A, PORTE!B:B)</f>
        <v>0</v>
      </c>
      <c r="I93">
        <f>_xlfn.XLOOKUP(A93, OBJETIVO!A:A, OBJETIVO!B:B)</f>
        <v>0</v>
      </c>
      <c r="J93">
        <f t="shared" si="1"/>
        <v>0</v>
      </c>
    </row>
    <row r="94" spans="1:10" x14ac:dyDescent="0.25">
      <c r="A94">
        <v>11068581</v>
      </c>
      <c r="B94" s="1">
        <v>45678.470671296294</v>
      </c>
      <c r="C94" t="s">
        <v>0</v>
      </c>
      <c r="D94" t="str">
        <f>VLOOKUP(A94,MERCADO!A:B,2,0)</f>
        <v>Industria</v>
      </c>
      <c r="E94" t="str">
        <f>_xlfn.XLOOKUP(A94, ORIGEM!A:A, ORIGEM!B:B)</f>
        <v>Prospecção Ativa</v>
      </c>
      <c r="F94">
        <f>_xlfn.XLOOKUP(A94, ORIGEM!A:A, ORIGEM!C:C)</f>
        <v>0</v>
      </c>
      <c r="G94" t="str">
        <f>_xlfn.XLOOKUP(A94, LOCAL!A:A, LOCAL!B:B)</f>
        <v>-</v>
      </c>
      <c r="H94">
        <f>_xlfn.XLOOKUP(A94, PORTE!A:A, PORTE!B:B)</f>
        <v>0</v>
      </c>
      <c r="I94">
        <f>_xlfn.XLOOKUP(A94, OBJETIVO!A:A, OBJETIVO!B:B)</f>
        <v>0</v>
      </c>
      <c r="J94">
        <f t="shared" si="1"/>
        <v>0</v>
      </c>
    </row>
    <row r="95" spans="1:10" x14ac:dyDescent="0.25">
      <c r="A95">
        <v>11069471</v>
      </c>
      <c r="B95" s="1">
        <v>45678.521550925929</v>
      </c>
      <c r="C95" t="s">
        <v>0</v>
      </c>
      <c r="D95" t="str">
        <f>VLOOKUP(A95,MERCADO!A:B,2,0)</f>
        <v>Industria</v>
      </c>
      <c r="E95" t="str">
        <f>_xlfn.XLOOKUP(A95, ORIGEM!A:A, ORIGEM!B:B)</f>
        <v>Prospecção Ativa</v>
      </c>
      <c r="F95">
        <f>_xlfn.XLOOKUP(A95, ORIGEM!A:A, ORIGEM!C:C)</f>
        <v>0</v>
      </c>
      <c r="G95" t="str">
        <f>_xlfn.XLOOKUP(A95, LOCAL!A:A, LOCAL!B:B)</f>
        <v>-</v>
      </c>
      <c r="H95">
        <f>_xlfn.XLOOKUP(A95, PORTE!A:A, PORTE!B:B)</f>
        <v>0</v>
      </c>
      <c r="I95">
        <f>_xlfn.XLOOKUP(A95, OBJETIVO!A:A, OBJETIVO!B:B)</f>
        <v>0</v>
      </c>
      <c r="J95">
        <f t="shared" si="1"/>
        <v>0</v>
      </c>
    </row>
    <row r="96" spans="1:10" x14ac:dyDescent="0.25">
      <c r="A96">
        <v>11069911</v>
      </c>
      <c r="B96" s="1">
        <v>45678.556840277779</v>
      </c>
      <c r="C96" t="s">
        <v>0</v>
      </c>
      <c r="D96" t="str">
        <f>VLOOKUP(A96,MERCADO!A:B,2,0)</f>
        <v>Industria</v>
      </c>
      <c r="E96" t="str">
        <f>_xlfn.XLOOKUP(A96, ORIGEM!A:A, ORIGEM!B:B)</f>
        <v>Prospecção Ativa</v>
      </c>
      <c r="F96">
        <f>_xlfn.XLOOKUP(A96, ORIGEM!A:A, ORIGEM!C:C)</f>
        <v>0</v>
      </c>
      <c r="G96" t="str">
        <f>_xlfn.XLOOKUP(A96, LOCAL!A:A, LOCAL!B:B)</f>
        <v>-</v>
      </c>
      <c r="H96">
        <f>_xlfn.XLOOKUP(A96, PORTE!A:A, PORTE!B:B)</f>
        <v>0</v>
      </c>
      <c r="I96">
        <f>_xlfn.XLOOKUP(A96, OBJETIVO!A:A, OBJETIVO!B:B)</f>
        <v>0</v>
      </c>
      <c r="J96">
        <f t="shared" si="1"/>
        <v>0</v>
      </c>
    </row>
    <row r="97" spans="1:10" x14ac:dyDescent="0.25">
      <c r="A97">
        <v>11068167</v>
      </c>
      <c r="B97" s="1">
        <v>45678.455034722225</v>
      </c>
      <c r="C97" t="s">
        <v>0</v>
      </c>
      <c r="D97" t="str">
        <f>VLOOKUP(A97,MERCADO!A:B,2,0)</f>
        <v>Industria</v>
      </c>
      <c r="E97" t="str">
        <f>_xlfn.XLOOKUP(A97, ORIGEM!A:A, ORIGEM!B:B)</f>
        <v>Prospecção Ativa</v>
      </c>
      <c r="F97" t="str">
        <f>_xlfn.XLOOKUP(A97, ORIGEM!A:A, ORIGEM!C:C)</f>
        <v>Sales Navigator</v>
      </c>
      <c r="G97" t="str">
        <f>_xlfn.XLOOKUP(A97, LOCAL!A:A, LOCAL!B:B)</f>
        <v>-</v>
      </c>
      <c r="H97">
        <f>_xlfn.XLOOKUP(A97, PORTE!A:A, PORTE!B:B)</f>
        <v>0</v>
      </c>
      <c r="I97">
        <f>_xlfn.XLOOKUP(A97, OBJETIVO!A:A, OBJETIVO!B:B)</f>
        <v>0</v>
      </c>
      <c r="J97">
        <f t="shared" si="1"/>
        <v>0</v>
      </c>
    </row>
    <row r="98" spans="1:10" x14ac:dyDescent="0.25">
      <c r="A98">
        <v>11149370</v>
      </c>
      <c r="B98" s="1">
        <v>45685.536932870367</v>
      </c>
      <c r="C98" t="s">
        <v>0</v>
      </c>
      <c r="D98" t="str">
        <f>VLOOKUP(A98,MERCADO!A:B,2,0)</f>
        <v>Industria</v>
      </c>
      <c r="E98" t="str">
        <f>_xlfn.XLOOKUP(A98, ORIGEM!A:A, ORIGEM!B:B)</f>
        <v>Linkedin</v>
      </c>
      <c r="F98" t="str">
        <f>_xlfn.XLOOKUP(A98, ORIGEM!A:A, ORIGEM!C:C)</f>
        <v>linkedin - social</v>
      </c>
      <c r="G98" t="str">
        <f>_xlfn.XLOOKUP(A98, LOCAL!A:A, LOCAL!B:B)</f>
        <v>-</v>
      </c>
      <c r="H98">
        <f>_xlfn.XLOOKUP(A98, PORTE!A:A, PORTE!B:B)</f>
        <v>0</v>
      </c>
      <c r="I98">
        <f>_xlfn.XLOOKUP(A98, OBJETIVO!A:A, OBJETIVO!B:B)</f>
        <v>0</v>
      </c>
      <c r="J98">
        <f t="shared" si="1"/>
        <v>0</v>
      </c>
    </row>
    <row r="99" spans="1:10" x14ac:dyDescent="0.25">
      <c r="A99">
        <v>11322951</v>
      </c>
      <c r="B99" s="1">
        <v>45699.478275462963</v>
      </c>
      <c r="C99" t="s">
        <v>0</v>
      </c>
      <c r="D99" t="str">
        <f>VLOOKUP(A99,MERCADO!A:B,2,0)</f>
        <v>Empreendedor</v>
      </c>
      <c r="E99" t="str">
        <f>_xlfn.XLOOKUP(A99, ORIGEM!A:A, ORIGEM!B:B)</f>
        <v>Google</v>
      </c>
      <c r="F99" t="str">
        <f>_xlfn.XLOOKUP(A99, ORIGEM!A:A, ORIGEM!C:C)</f>
        <v>google - cpc</v>
      </c>
      <c r="G99" t="str">
        <f>_xlfn.XLOOKUP(A99, LOCAL!A:A, LOCAL!B:B)</f>
        <v>Piedade - SP</v>
      </c>
      <c r="H99" t="str">
        <f>_xlfn.XLOOKUP(A99, PORTE!A:A, PORTE!B:B)</f>
        <v>1-10</v>
      </c>
      <c r="I99" t="str">
        <f>_xlfn.XLOOKUP(A99, OBJETIVO!A:A, OBJETIVO!B:B)</f>
        <v>Ações de marketing/vendas</v>
      </c>
      <c r="J99">
        <f t="shared" si="1"/>
        <v>0</v>
      </c>
    </row>
    <row r="100" spans="1:10" x14ac:dyDescent="0.25">
      <c r="A100">
        <v>10781227</v>
      </c>
      <c r="B100" s="1">
        <v>45646.126574074071</v>
      </c>
      <c r="C100" t="s">
        <v>0</v>
      </c>
      <c r="D100" t="str">
        <f>VLOOKUP(A100,MERCADO!A:B,2,0)</f>
        <v>Empreendedor</v>
      </c>
      <c r="E100" t="str">
        <f>_xlfn.XLOOKUP(A100, ORIGEM!A:A, ORIGEM!B:B)</f>
        <v>Google</v>
      </c>
      <c r="F100" t="str">
        <f>_xlfn.XLOOKUP(A100, ORIGEM!A:A, ORIGEM!C:C)</f>
        <v>google - cpc</v>
      </c>
      <c r="G100" t="str">
        <f>_xlfn.XLOOKUP(A100, LOCAL!A:A, LOCAL!B:B)</f>
        <v>Porto Alegre - RS</v>
      </c>
      <c r="H100" t="str">
        <f>_xlfn.XLOOKUP(A100, PORTE!A:A, PORTE!B:B)</f>
        <v>1-10</v>
      </c>
      <c r="I100" t="str">
        <f>_xlfn.XLOOKUP(A100, OBJETIVO!A:A, OBJETIVO!B:B)</f>
        <v>Abertura/Expansão</v>
      </c>
      <c r="J100">
        <f t="shared" si="1"/>
        <v>0</v>
      </c>
    </row>
    <row r="101" spans="1:10" x14ac:dyDescent="0.25">
      <c r="A101">
        <v>11348488</v>
      </c>
      <c r="B101" s="1">
        <v>45703.104201388887</v>
      </c>
      <c r="C101" t="s">
        <v>0</v>
      </c>
      <c r="D101" t="str">
        <f>VLOOKUP(A101,MERCADO!A:B,2,0)</f>
        <v>Empreendedor</v>
      </c>
      <c r="E101" t="str">
        <f>_xlfn.XLOOKUP(A101, ORIGEM!A:A, ORIGEM!B:B)</f>
        <v>Facebook</v>
      </c>
      <c r="F101" t="str">
        <f>_xlfn.XLOOKUP(A101, ORIGEM!A:A, ORIGEM!C:C)</f>
        <v>facebook - cpc</v>
      </c>
      <c r="G101" t="str">
        <f>_xlfn.XLOOKUP(A101, LOCAL!A:A, LOCAL!B:B)</f>
        <v>Maceió - AL</v>
      </c>
      <c r="H101" t="str">
        <f>_xlfn.XLOOKUP(A101, PORTE!A:A, PORTE!B:B)</f>
        <v>+ 1000</v>
      </c>
      <c r="I101" t="str">
        <f>_xlfn.XLOOKUP(A101, OBJETIVO!A:A, OBJETIVO!B:B)</f>
        <v>Geração de leads b2b</v>
      </c>
      <c r="J101">
        <f t="shared" si="1"/>
        <v>0</v>
      </c>
    </row>
    <row r="102" spans="1:10" x14ac:dyDescent="0.25">
      <c r="A102">
        <v>11067294</v>
      </c>
      <c r="B102" s="1">
        <v>45678.416770833333</v>
      </c>
      <c r="C102" t="s">
        <v>0</v>
      </c>
      <c r="D102" t="str">
        <f>VLOOKUP(A102,MERCADO!A:B,2,0)</f>
        <v>Empreendedor</v>
      </c>
      <c r="E102" t="str">
        <f>_xlfn.XLOOKUP(A102, ORIGEM!A:A, ORIGEM!B:B)</f>
        <v>Orgânico</v>
      </c>
      <c r="F102">
        <f>_xlfn.XLOOKUP(A102, ORIGEM!A:A, ORIGEM!C:C)</f>
        <v>0</v>
      </c>
      <c r="G102" t="str">
        <f>_xlfn.XLOOKUP(A102, LOCAL!A:A, LOCAL!B:B)</f>
        <v>Campinas - SP</v>
      </c>
      <c r="H102" t="str">
        <f>_xlfn.XLOOKUP(A102, PORTE!A:A, PORTE!B:B)</f>
        <v>0</v>
      </c>
      <c r="I102" t="str">
        <f>_xlfn.XLOOKUP(A102, OBJETIVO!A:A, OBJETIVO!B:B)</f>
        <v>Abertura/Expansão</v>
      </c>
      <c r="J102">
        <f t="shared" si="1"/>
        <v>0</v>
      </c>
    </row>
    <row r="103" spans="1:10" x14ac:dyDescent="0.25">
      <c r="A103">
        <v>10817381</v>
      </c>
      <c r="B103" s="1">
        <v>45652.570231481484</v>
      </c>
      <c r="C103" t="s">
        <v>0</v>
      </c>
      <c r="D103" t="str">
        <f>VLOOKUP(A103,MERCADO!A:B,2,0)</f>
        <v>Empreendedor</v>
      </c>
      <c r="E103" t="str">
        <f>_xlfn.XLOOKUP(A103, ORIGEM!A:A, ORIGEM!B:B)</f>
        <v>Orgânico</v>
      </c>
      <c r="F103">
        <f>_xlfn.XLOOKUP(A103, ORIGEM!A:A, ORIGEM!C:C)</f>
        <v>0</v>
      </c>
      <c r="G103" t="str">
        <f>_xlfn.XLOOKUP(A103, LOCAL!A:A, LOCAL!B:B)</f>
        <v>Salvador - BA</v>
      </c>
      <c r="H103" t="str">
        <f>_xlfn.XLOOKUP(A103, PORTE!A:A, PORTE!B:B)</f>
        <v>1-10</v>
      </c>
      <c r="I103" t="str">
        <f>_xlfn.XLOOKUP(A103, OBJETIVO!A:A, OBJETIVO!B:B)</f>
        <v>Planejamento estratégico</v>
      </c>
      <c r="J103">
        <f t="shared" si="1"/>
        <v>0</v>
      </c>
    </row>
    <row r="104" spans="1:10" x14ac:dyDescent="0.25">
      <c r="A104">
        <v>10718989</v>
      </c>
      <c r="B104" s="1">
        <v>45640.628842592596</v>
      </c>
      <c r="C104" t="s">
        <v>0</v>
      </c>
      <c r="D104" t="str">
        <f>VLOOKUP(A104,MERCADO!A:B,2,0)</f>
        <v>Empreendedor</v>
      </c>
      <c r="E104" t="str">
        <f>_xlfn.XLOOKUP(A104, ORIGEM!A:A, ORIGEM!B:B)</f>
        <v>Orgânico</v>
      </c>
      <c r="F104">
        <f>_xlfn.XLOOKUP(A104, ORIGEM!A:A, ORIGEM!C:C)</f>
        <v>0</v>
      </c>
      <c r="G104" t="str">
        <f>_xlfn.XLOOKUP(A104, LOCAL!A:A, LOCAL!B:B)</f>
        <v>Primavera do Leste - MT</v>
      </c>
      <c r="H104" t="str">
        <f>_xlfn.XLOOKUP(A104, PORTE!A:A, PORTE!B:B)</f>
        <v>11-50</v>
      </c>
      <c r="I104" t="str">
        <f>_xlfn.XLOOKUP(A104, OBJETIVO!A:A, OBJETIVO!B:B)</f>
        <v>Planejamento estratégico</v>
      </c>
      <c r="J104">
        <f t="shared" si="1"/>
        <v>0</v>
      </c>
    </row>
    <row r="105" spans="1:10" x14ac:dyDescent="0.25">
      <c r="A105">
        <v>10930967</v>
      </c>
      <c r="B105" s="1">
        <v>45668.490185185183</v>
      </c>
      <c r="C105" t="s">
        <v>0</v>
      </c>
      <c r="D105" t="str">
        <f>VLOOKUP(A105,MERCADO!A:B,2,0)</f>
        <v>Servicos</v>
      </c>
      <c r="E105" t="str">
        <f>_xlfn.XLOOKUP(A105, ORIGEM!A:A, ORIGEM!B:B)</f>
        <v>Orgânico</v>
      </c>
      <c r="F105">
        <f>_xlfn.XLOOKUP(A105, ORIGEM!A:A, ORIGEM!C:C)</f>
        <v>0</v>
      </c>
      <c r="G105" t="str">
        <f>_xlfn.XLOOKUP(A105, LOCAL!A:A, LOCAL!B:B)</f>
        <v>Salvador - BA</v>
      </c>
      <c r="H105" t="str">
        <f>_xlfn.XLOOKUP(A105, PORTE!A:A, PORTE!B:B)</f>
        <v>1-10</v>
      </c>
      <c r="I105" t="str">
        <f>_xlfn.XLOOKUP(A105, OBJETIVO!A:A, OBJETIVO!B:B)</f>
        <v>Planejamento estratégico</v>
      </c>
      <c r="J105">
        <f t="shared" si="1"/>
        <v>0</v>
      </c>
    </row>
    <row r="106" spans="1:10" x14ac:dyDescent="0.25">
      <c r="A106">
        <v>11548332</v>
      </c>
      <c r="B106" s="1">
        <v>45721.425046296295</v>
      </c>
      <c r="C106" t="s">
        <v>0</v>
      </c>
      <c r="D106" t="str">
        <f>VLOOKUP(A106,MERCADO!A:B,2,0)</f>
        <v>Servicos</v>
      </c>
      <c r="E106" t="str">
        <f>_xlfn.XLOOKUP(A106, ORIGEM!A:A, ORIGEM!B:B)</f>
        <v>Facebook</v>
      </c>
      <c r="F106" t="str">
        <f>_xlfn.XLOOKUP(A106, ORIGEM!A:A, ORIGEM!C:C)</f>
        <v>facebook - cpc</v>
      </c>
      <c r="G106" t="str">
        <f>_xlfn.XLOOKUP(A106, LOCAL!A:A, LOCAL!B:B)</f>
        <v>Maringá - PR</v>
      </c>
      <c r="H106" t="str">
        <f>_xlfn.XLOOKUP(A106, PORTE!A:A, PORTE!B:B)</f>
        <v>1-10</v>
      </c>
      <c r="I106" t="str">
        <f>_xlfn.XLOOKUP(A106, OBJETIVO!A:A, OBJETIVO!B:B)</f>
        <v>Ações de marketing/vendas</v>
      </c>
      <c r="J106">
        <f t="shared" si="1"/>
        <v>0</v>
      </c>
    </row>
    <row r="107" spans="1:10" x14ac:dyDescent="0.25">
      <c r="A107">
        <v>11997721</v>
      </c>
      <c r="B107" s="1">
        <v>45762.457256944443</v>
      </c>
      <c r="C107" t="s">
        <v>0</v>
      </c>
      <c r="D107" t="str">
        <f>VLOOKUP(A107,MERCADO!A:B,2,0)</f>
        <v>Servicos</v>
      </c>
      <c r="E107" t="str">
        <f>_xlfn.XLOOKUP(A107, ORIGEM!A:A, ORIGEM!B:B)</f>
        <v>Prospecção Ativa</v>
      </c>
      <c r="F107" t="str">
        <f>_xlfn.XLOOKUP(A107, ORIGEM!A:A, ORIGEM!C:C)</f>
        <v>Sales Navigator</v>
      </c>
      <c r="G107" t="str">
        <f>_xlfn.XLOOKUP(A107, LOCAL!A:A, LOCAL!B:B)</f>
        <v>-</v>
      </c>
      <c r="H107">
        <f>_xlfn.XLOOKUP(A107, PORTE!A:A, PORTE!B:B)</f>
        <v>0</v>
      </c>
      <c r="I107">
        <f>_xlfn.XLOOKUP(A107, OBJETIVO!A:A, OBJETIVO!B:B)</f>
        <v>0</v>
      </c>
      <c r="J107">
        <f t="shared" si="1"/>
        <v>0</v>
      </c>
    </row>
    <row r="108" spans="1:10" x14ac:dyDescent="0.25">
      <c r="A108">
        <v>11899953</v>
      </c>
      <c r="B108" s="1">
        <v>45754.575555555559</v>
      </c>
      <c r="C108" t="s">
        <v>0</v>
      </c>
      <c r="D108" t="str">
        <f>VLOOKUP(A108,MERCADO!A:B,2,0)</f>
        <v>Servicos</v>
      </c>
      <c r="E108" t="str">
        <f>_xlfn.XLOOKUP(A108, ORIGEM!A:A, ORIGEM!B:B)</f>
        <v>Prospecção Ativa</v>
      </c>
      <c r="F108" t="str">
        <f>_xlfn.XLOOKUP(A108, ORIGEM!A:A, ORIGEM!C:C)</f>
        <v>Sales Navigator</v>
      </c>
      <c r="G108" t="str">
        <f>_xlfn.XLOOKUP(A108, LOCAL!A:A, LOCAL!B:B)</f>
        <v>-</v>
      </c>
      <c r="H108">
        <f>_xlfn.XLOOKUP(A108, PORTE!A:A, PORTE!B:B)</f>
        <v>0</v>
      </c>
      <c r="I108">
        <f>_xlfn.XLOOKUP(A108, OBJETIVO!A:A, OBJETIVO!B:B)</f>
        <v>0</v>
      </c>
      <c r="J108">
        <f t="shared" si="1"/>
        <v>0</v>
      </c>
    </row>
    <row r="109" spans="1:10" x14ac:dyDescent="0.25">
      <c r="A109">
        <v>11888689</v>
      </c>
      <c r="B109" s="1">
        <v>45753.685127314813</v>
      </c>
      <c r="C109" t="s">
        <v>0</v>
      </c>
      <c r="D109" t="str">
        <f>VLOOKUP(A109,MERCADO!A:B,2,0)</f>
        <v>Servicos</v>
      </c>
      <c r="E109" t="str">
        <f>_xlfn.XLOOKUP(A109, ORIGEM!A:A, ORIGEM!B:B)</f>
        <v>Prospecção Ativa</v>
      </c>
      <c r="F109" t="str">
        <f>_xlfn.XLOOKUP(A109, ORIGEM!A:A, ORIGEM!C:C)</f>
        <v>Sales Navigator</v>
      </c>
      <c r="G109" t="str">
        <f>_xlfn.XLOOKUP(A109, LOCAL!A:A, LOCAL!B:B)</f>
        <v>-</v>
      </c>
      <c r="H109">
        <f>_xlfn.XLOOKUP(A109, PORTE!A:A, PORTE!B:B)</f>
        <v>0</v>
      </c>
      <c r="I109">
        <f>_xlfn.XLOOKUP(A109, OBJETIVO!A:A, OBJETIVO!B:B)</f>
        <v>0</v>
      </c>
      <c r="J109">
        <f t="shared" si="1"/>
        <v>0</v>
      </c>
    </row>
    <row r="110" spans="1:10" x14ac:dyDescent="0.25">
      <c r="A110">
        <v>11890450</v>
      </c>
      <c r="B110" s="1">
        <v>45753.713796296295</v>
      </c>
      <c r="C110" t="s">
        <v>0</v>
      </c>
      <c r="D110" t="str">
        <f>VLOOKUP(A110,MERCADO!A:B,2,0)</f>
        <v>Servicos</v>
      </c>
      <c r="E110" t="str">
        <f>_xlfn.XLOOKUP(A110, ORIGEM!A:A, ORIGEM!B:B)</f>
        <v>Prospecção Ativa</v>
      </c>
      <c r="F110" t="str">
        <f>_xlfn.XLOOKUP(A110, ORIGEM!A:A, ORIGEM!C:C)</f>
        <v>Sales Navigator</v>
      </c>
      <c r="G110" t="str">
        <f>_xlfn.XLOOKUP(A110, LOCAL!A:A, LOCAL!B:B)</f>
        <v>-</v>
      </c>
      <c r="H110">
        <f>_xlfn.XLOOKUP(A110, PORTE!A:A, PORTE!B:B)</f>
        <v>0</v>
      </c>
      <c r="I110">
        <f>_xlfn.XLOOKUP(A110, OBJETIVO!A:A, OBJETIVO!B:B)</f>
        <v>0</v>
      </c>
      <c r="J110">
        <f t="shared" si="1"/>
        <v>0</v>
      </c>
    </row>
    <row r="111" spans="1:10" x14ac:dyDescent="0.25">
      <c r="A111">
        <v>11863838</v>
      </c>
      <c r="B111" s="1">
        <v>45752.416412037041</v>
      </c>
      <c r="C111" t="s">
        <v>0</v>
      </c>
      <c r="D111" t="str">
        <f>VLOOKUP(A111,MERCADO!A:B,2,0)</f>
        <v>Servicos</v>
      </c>
      <c r="E111" t="str">
        <f>_xlfn.XLOOKUP(A111, ORIGEM!A:A, ORIGEM!B:B)</f>
        <v>Prospecção Ativa</v>
      </c>
      <c r="F111" t="str">
        <f>_xlfn.XLOOKUP(A111, ORIGEM!A:A, ORIGEM!C:C)</f>
        <v>Sales Navigator</v>
      </c>
      <c r="G111" t="str">
        <f>_xlfn.XLOOKUP(A111, LOCAL!A:A, LOCAL!B:B)</f>
        <v>-</v>
      </c>
      <c r="H111">
        <f>_xlfn.XLOOKUP(A111, PORTE!A:A, PORTE!B:B)</f>
        <v>0</v>
      </c>
      <c r="I111">
        <f>_xlfn.XLOOKUP(A111, OBJETIVO!A:A, OBJETIVO!B:B)</f>
        <v>0</v>
      </c>
      <c r="J111">
        <f t="shared" si="1"/>
        <v>0</v>
      </c>
    </row>
    <row r="112" spans="1:10" x14ac:dyDescent="0.25">
      <c r="A112">
        <v>11468363</v>
      </c>
      <c r="B112" s="1">
        <v>45714.308229166665</v>
      </c>
      <c r="C112" t="s">
        <v>0</v>
      </c>
      <c r="D112" t="str">
        <f>VLOOKUP(A112,MERCADO!A:B,2,0)</f>
        <v>Servicos</v>
      </c>
      <c r="E112" t="str">
        <f>_xlfn.XLOOKUP(A112, ORIGEM!A:A, ORIGEM!B:B)</f>
        <v>Google</v>
      </c>
      <c r="F112" t="str">
        <f>_xlfn.XLOOKUP(A112, ORIGEM!A:A, ORIGEM!C:C)</f>
        <v>google - cpc</v>
      </c>
      <c r="G112" t="str">
        <f>_xlfn.XLOOKUP(A112, LOCAL!A:A, LOCAL!B:B)</f>
        <v>Belém - PA</v>
      </c>
      <c r="H112" t="str">
        <f>_xlfn.XLOOKUP(A112, PORTE!A:A, PORTE!B:B)</f>
        <v>1-10</v>
      </c>
      <c r="I112" t="str">
        <f>_xlfn.XLOOKUP(A112, OBJETIVO!A:A, OBJETIVO!B:B)</f>
        <v>Abertura/Expansão</v>
      </c>
      <c r="J112">
        <f t="shared" si="1"/>
        <v>0</v>
      </c>
    </row>
    <row r="113" spans="1:10" x14ac:dyDescent="0.25">
      <c r="A113">
        <v>11684394</v>
      </c>
      <c r="B113" s="1">
        <v>45734.416504629633</v>
      </c>
      <c r="C113" t="s">
        <v>0</v>
      </c>
      <c r="D113" t="str">
        <f>VLOOKUP(A113,MERCADO!A:B,2,0)</f>
        <v>Servicos</v>
      </c>
      <c r="E113" t="str">
        <f>_xlfn.XLOOKUP(A113, ORIGEM!A:A, ORIGEM!B:B)</f>
        <v>Prospecção Ativa</v>
      </c>
      <c r="F113" t="str">
        <f>_xlfn.XLOOKUP(A113, ORIGEM!A:A, ORIGEM!C:C)</f>
        <v>Sales Navigator</v>
      </c>
      <c r="G113" t="str">
        <f>_xlfn.XLOOKUP(A113, LOCAL!A:A, LOCAL!B:B)</f>
        <v>-</v>
      </c>
      <c r="H113">
        <f>_xlfn.XLOOKUP(A113, PORTE!A:A, PORTE!B:B)</f>
        <v>0</v>
      </c>
      <c r="I113">
        <f>_xlfn.XLOOKUP(A113, OBJETIVO!A:A, OBJETIVO!B:B)</f>
        <v>0</v>
      </c>
      <c r="J113">
        <f t="shared" si="1"/>
        <v>0</v>
      </c>
    </row>
    <row r="114" spans="1:10" x14ac:dyDescent="0.25">
      <c r="A114">
        <v>11684463</v>
      </c>
      <c r="B114" s="1">
        <v>45734.419976851852</v>
      </c>
      <c r="C114" t="s">
        <v>0</v>
      </c>
      <c r="D114" t="str">
        <f>VLOOKUP(A114,MERCADO!A:B,2,0)</f>
        <v>Servicos</v>
      </c>
      <c r="E114" t="str">
        <f>_xlfn.XLOOKUP(A114, ORIGEM!A:A, ORIGEM!B:B)</f>
        <v>Prospecção Ativa</v>
      </c>
      <c r="F114" t="str">
        <f>_xlfn.XLOOKUP(A114, ORIGEM!A:A, ORIGEM!C:C)</f>
        <v>Sales Navigator</v>
      </c>
      <c r="G114" t="str">
        <f>_xlfn.XLOOKUP(A114, LOCAL!A:A, LOCAL!B:B)</f>
        <v>-</v>
      </c>
      <c r="H114">
        <f>_xlfn.XLOOKUP(A114, PORTE!A:A, PORTE!B:B)</f>
        <v>0</v>
      </c>
      <c r="I114">
        <f>_xlfn.XLOOKUP(A114, OBJETIVO!A:A, OBJETIVO!B:B)</f>
        <v>0</v>
      </c>
      <c r="J114">
        <f t="shared" si="1"/>
        <v>0</v>
      </c>
    </row>
    <row r="115" spans="1:10" x14ac:dyDescent="0.25">
      <c r="A115">
        <v>11699049</v>
      </c>
      <c r="B115" s="1">
        <v>45735.530914351853</v>
      </c>
      <c r="C115" t="s">
        <v>0</v>
      </c>
      <c r="D115" t="str">
        <f>VLOOKUP(A115,MERCADO!A:B,2,0)</f>
        <v>Servicos</v>
      </c>
      <c r="E115" t="str">
        <f>_xlfn.XLOOKUP(A115, ORIGEM!A:A, ORIGEM!B:B)</f>
        <v>Prospecção Ativa</v>
      </c>
      <c r="F115" t="str">
        <f>_xlfn.XLOOKUP(A115, ORIGEM!A:A, ORIGEM!C:C)</f>
        <v>Sales Navigator</v>
      </c>
      <c r="G115" t="str">
        <f>_xlfn.XLOOKUP(A115, LOCAL!A:A, LOCAL!B:B)</f>
        <v>-</v>
      </c>
      <c r="H115">
        <f>_xlfn.XLOOKUP(A115, PORTE!A:A, PORTE!B:B)</f>
        <v>0</v>
      </c>
      <c r="I115">
        <f>_xlfn.XLOOKUP(A115, OBJETIVO!A:A, OBJETIVO!B:B)</f>
        <v>0</v>
      </c>
      <c r="J115">
        <f t="shared" si="1"/>
        <v>0</v>
      </c>
    </row>
    <row r="116" spans="1:10" x14ac:dyDescent="0.25">
      <c r="A116">
        <v>11698491</v>
      </c>
      <c r="B116" s="1">
        <v>45735.52065972222</v>
      </c>
      <c r="C116" t="s">
        <v>0</v>
      </c>
      <c r="D116" t="str">
        <f>VLOOKUP(A116,MERCADO!A:B,2,0)</f>
        <v>Imobiliaria/Incorporadora/Construtora</v>
      </c>
      <c r="E116" t="str">
        <f>_xlfn.XLOOKUP(A116, ORIGEM!A:A, ORIGEM!B:B)</f>
        <v>Prospecção Ativa</v>
      </c>
      <c r="F116" t="str">
        <f>_xlfn.XLOOKUP(A116, ORIGEM!A:A, ORIGEM!C:C)</f>
        <v>Sales Navigator</v>
      </c>
      <c r="G116" t="str">
        <f>_xlfn.XLOOKUP(A116, LOCAL!A:A, LOCAL!B:B)</f>
        <v>-</v>
      </c>
      <c r="H116">
        <f>_xlfn.XLOOKUP(A116, PORTE!A:A, PORTE!B:B)</f>
        <v>0</v>
      </c>
      <c r="I116">
        <f>_xlfn.XLOOKUP(A116, OBJETIVO!A:A, OBJETIVO!B:B)</f>
        <v>0</v>
      </c>
      <c r="J116">
        <f t="shared" si="1"/>
        <v>0</v>
      </c>
    </row>
    <row r="117" spans="1:10" x14ac:dyDescent="0.25">
      <c r="A117">
        <v>11351151</v>
      </c>
      <c r="B117" s="1">
        <v>45703.447418981479</v>
      </c>
      <c r="C117" t="s">
        <v>0</v>
      </c>
      <c r="D117" t="str">
        <f>VLOOKUP(A117,MERCADO!A:B,2,0)</f>
        <v>Imobiliaria/Incorporadora/Construtora</v>
      </c>
      <c r="E117" t="str">
        <f>_xlfn.XLOOKUP(A117, ORIGEM!A:A, ORIGEM!B:B)</f>
        <v>Google</v>
      </c>
      <c r="F117" t="str">
        <f>_xlfn.XLOOKUP(A117, ORIGEM!A:A, ORIGEM!C:C)</f>
        <v>google - cpc</v>
      </c>
      <c r="G117" t="str">
        <f>_xlfn.XLOOKUP(A117, LOCAL!A:A, LOCAL!B:B)</f>
        <v>Maringá - PR</v>
      </c>
      <c r="H117" t="str">
        <f>_xlfn.XLOOKUP(A117, PORTE!A:A, PORTE!B:B)</f>
        <v>1-10</v>
      </c>
      <c r="I117" t="str">
        <f>_xlfn.XLOOKUP(A117, OBJETIVO!A:A, OBJETIVO!B:B)</f>
        <v>Geração de leads b2b</v>
      </c>
      <c r="J117">
        <f t="shared" si="1"/>
        <v>0</v>
      </c>
    </row>
    <row r="118" spans="1:10" x14ac:dyDescent="0.25">
      <c r="A118">
        <v>11889547</v>
      </c>
      <c r="B118" s="1">
        <v>45753.696921296294</v>
      </c>
      <c r="C118" t="s">
        <v>0</v>
      </c>
      <c r="D118" t="str">
        <f>VLOOKUP(A118,MERCADO!A:B,2,0)</f>
        <v>Imobiliaria/Incorporadora/Construtora</v>
      </c>
      <c r="E118" t="str">
        <f>_xlfn.XLOOKUP(A118, ORIGEM!A:A, ORIGEM!B:B)</f>
        <v>Prospecção Ativa</v>
      </c>
      <c r="F118" t="str">
        <f>_xlfn.XLOOKUP(A118, ORIGEM!A:A, ORIGEM!C:C)</f>
        <v>Sales Navigator</v>
      </c>
      <c r="G118" t="str">
        <f>_xlfn.XLOOKUP(A118, LOCAL!A:A, LOCAL!B:B)</f>
        <v>-</v>
      </c>
      <c r="H118">
        <f>_xlfn.XLOOKUP(A118, PORTE!A:A, PORTE!B:B)</f>
        <v>0</v>
      </c>
      <c r="I118">
        <f>_xlfn.XLOOKUP(A118, OBJETIVO!A:A, OBJETIVO!B:B)</f>
        <v>0</v>
      </c>
      <c r="J118">
        <f t="shared" si="1"/>
        <v>0</v>
      </c>
    </row>
    <row r="119" spans="1:10" x14ac:dyDescent="0.25">
      <c r="A119">
        <v>11376296</v>
      </c>
      <c r="B119" s="1">
        <v>45705.534988425927</v>
      </c>
      <c r="C119" t="s">
        <v>0</v>
      </c>
      <c r="D119" t="str">
        <f>VLOOKUP(A119,MERCADO!A:B,2,0)</f>
        <v>Imobiliaria/Incorporadora/Construtora</v>
      </c>
      <c r="E119" t="str">
        <f>_xlfn.XLOOKUP(A119, ORIGEM!A:A, ORIGEM!B:B)</f>
        <v>Facebook</v>
      </c>
      <c r="F119" t="str">
        <f>_xlfn.XLOOKUP(A119, ORIGEM!A:A, ORIGEM!C:C)</f>
        <v>facebook - cpc</v>
      </c>
      <c r="G119" t="str">
        <f>_xlfn.XLOOKUP(A119, LOCAL!A:A, LOCAL!B:B)</f>
        <v>Goiânia - GO</v>
      </c>
      <c r="H119" t="str">
        <f>_xlfn.XLOOKUP(A119, PORTE!A:A, PORTE!B:B)</f>
        <v>1-10</v>
      </c>
      <c r="I119" t="str">
        <f>_xlfn.XLOOKUP(A119, OBJETIVO!A:A, OBJETIVO!B:B)</f>
        <v>Ações de marketing/vendas</v>
      </c>
      <c r="J119">
        <f t="shared" si="1"/>
        <v>0</v>
      </c>
    </row>
    <row r="120" spans="1:10" x14ac:dyDescent="0.25">
      <c r="A120">
        <v>11405795</v>
      </c>
      <c r="B120" s="1">
        <v>45707.918391203704</v>
      </c>
      <c r="C120" t="s">
        <v>0</v>
      </c>
      <c r="D120" t="str">
        <f>VLOOKUP(A120,MERCADO!A:B,2,0)</f>
        <v>Imobiliaria/Incorporadora/Construtora</v>
      </c>
      <c r="E120" t="str">
        <f>_xlfn.XLOOKUP(A120, ORIGEM!A:A, ORIGEM!B:B)</f>
        <v>Orgânico</v>
      </c>
      <c r="F120">
        <f>_xlfn.XLOOKUP(A120, ORIGEM!A:A, ORIGEM!C:C)</f>
        <v>0</v>
      </c>
      <c r="G120" t="str">
        <f>_xlfn.XLOOKUP(A120, LOCAL!A:A, LOCAL!B:B)</f>
        <v>Manaus - AM</v>
      </c>
      <c r="H120" t="str">
        <f>_xlfn.XLOOKUP(A120, PORTE!A:A, PORTE!B:B)</f>
        <v>0</v>
      </c>
      <c r="I120" t="str">
        <f>_xlfn.XLOOKUP(A120, OBJETIVO!A:A, OBJETIVO!B:B)</f>
        <v>Abertura/Expansão</v>
      </c>
      <c r="J120">
        <f t="shared" si="1"/>
        <v>0</v>
      </c>
    </row>
    <row r="121" spans="1:10" x14ac:dyDescent="0.25">
      <c r="A121">
        <v>10729437</v>
      </c>
      <c r="B121" s="1">
        <v>45641.501192129632</v>
      </c>
      <c r="C121" t="s">
        <v>0</v>
      </c>
      <c r="D121" t="str">
        <f>VLOOKUP(A121,MERCADO!A:B,2,0)</f>
        <v>Marketing/Publicidade/Consultoria</v>
      </c>
      <c r="E121" t="str">
        <f>_xlfn.XLOOKUP(A121, ORIGEM!A:A, ORIGEM!B:B)</f>
        <v>Google</v>
      </c>
      <c r="F121" t="str">
        <f>_xlfn.XLOOKUP(A121, ORIGEM!A:A, ORIGEM!C:C)</f>
        <v>google - cpc</v>
      </c>
      <c r="G121" t="str">
        <f>_xlfn.XLOOKUP(A121, LOCAL!A:A, LOCAL!B:B)</f>
        <v>Florianópolis - SC</v>
      </c>
      <c r="H121" t="str">
        <f>_xlfn.XLOOKUP(A121, PORTE!A:A, PORTE!B:B)</f>
        <v>1-10</v>
      </c>
      <c r="I121" t="str">
        <f>_xlfn.XLOOKUP(A121, OBJETIVO!A:A, OBJETIVO!B:B)</f>
        <v>Geração de leads b2b</v>
      </c>
      <c r="J121">
        <f t="shared" si="1"/>
        <v>0</v>
      </c>
    </row>
    <row r="122" spans="1:10" x14ac:dyDescent="0.25">
      <c r="A122">
        <v>11890569</v>
      </c>
      <c r="B122" s="1">
        <v>45753.71875</v>
      </c>
      <c r="C122" t="s">
        <v>0</v>
      </c>
      <c r="D122" t="str">
        <f>VLOOKUP(A122,MERCADO!A:B,2,0)</f>
        <v>Marketing/Publicidade/Consultoria</v>
      </c>
      <c r="E122" t="str">
        <f>_xlfn.XLOOKUP(A122, ORIGEM!A:A, ORIGEM!B:B)</f>
        <v>Prospecção Ativa</v>
      </c>
      <c r="F122" t="str">
        <f>_xlfn.XLOOKUP(A122, ORIGEM!A:A, ORIGEM!C:C)</f>
        <v>Sales Navigator</v>
      </c>
      <c r="G122" t="str">
        <f>_xlfn.XLOOKUP(A122, LOCAL!A:A, LOCAL!B:B)</f>
        <v>-</v>
      </c>
      <c r="H122">
        <f>_xlfn.XLOOKUP(A122, PORTE!A:A, PORTE!B:B)</f>
        <v>0</v>
      </c>
      <c r="I122">
        <f>_xlfn.XLOOKUP(A122, OBJETIVO!A:A, OBJETIVO!B:B)</f>
        <v>0</v>
      </c>
      <c r="J122">
        <f t="shared" si="1"/>
        <v>0</v>
      </c>
    </row>
    <row r="123" spans="1:10" x14ac:dyDescent="0.25">
      <c r="A123">
        <v>11930626</v>
      </c>
      <c r="B123" s="1">
        <v>45756.556967592594</v>
      </c>
      <c r="C123" t="s">
        <v>0</v>
      </c>
      <c r="D123" t="str">
        <f>VLOOKUP(A123,MERCADO!A:B,2,0)</f>
        <v>Marketing/Publicidade/Consultoria</v>
      </c>
      <c r="E123" t="str">
        <f>_xlfn.XLOOKUP(A123, ORIGEM!A:A, ORIGEM!B:B)</f>
        <v>Prospecção Ativa</v>
      </c>
      <c r="F123" t="str">
        <f>_xlfn.XLOOKUP(A123, ORIGEM!A:A, ORIGEM!C:C)</f>
        <v>Sales Navigator</v>
      </c>
      <c r="G123" t="str">
        <f>_xlfn.XLOOKUP(A123, LOCAL!A:A, LOCAL!B:B)</f>
        <v>-</v>
      </c>
      <c r="H123">
        <f>_xlfn.XLOOKUP(A123, PORTE!A:A, PORTE!B:B)</f>
        <v>0</v>
      </c>
      <c r="I123">
        <f>_xlfn.XLOOKUP(A123, OBJETIVO!A:A, OBJETIVO!B:B)</f>
        <v>0</v>
      </c>
      <c r="J123">
        <f t="shared" si="1"/>
        <v>0</v>
      </c>
    </row>
    <row r="124" spans="1:10" x14ac:dyDescent="0.25">
      <c r="A124">
        <v>11803035</v>
      </c>
      <c r="B124" s="1">
        <v>45745.478726851848</v>
      </c>
      <c r="C124" t="s">
        <v>0</v>
      </c>
      <c r="D124" t="str">
        <f>VLOOKUP(A124,MERCADO!A:B,2,0)</f>
        <v>Marketing/Publicidade/Consultoria</v>
      </c>
      <c r="E124" t="str">
        <f>_xlfn.XLOOKUP(A124, ORIGEM!A:A, ORIGEM!B:B)</f>
        <v>Prospecção Ativa</v>
      </c>
      <c r="F124" t="str">
        <f>_xlfn.XLOOKUP(A124, ORIGEM!A:A, ORIGEM!C:C)</f>
        <v>Sales Navigator</v>
      </c>
      <c r="G124" t="str">
        <f>_xlfn.XLOOKUP(A124, LOCAL!A:A, LOCAL!B:B)</f>
        <v>-</v>
      </c>
      <c r="H124">
        <f>_xlfn.XLOOKUP(A124, PORTE!A:A, PORTE!B:B)</f>
        <v>0</v>
      </c>
      <c r="I124">
        <f>_xlfn.XLOOKUP(A124, OBJETIVO!A:A, OBJETIVO!B:B)</f>
        <v>0</v>
      </c>
      <c r="J124">
        <f t="shared" si="1"/>
        <v>0</v>
      </c>
    </row>
    <row r="125" spans="1:10" x14ac:dyDescent="0.25">
      <c r="A125">
        <v>11773470</v>
      </c>
      <c r="B125" s="1">
        <v>45742.443252314813</v>
      </c>
      <c r="C125" t="s">
        <v>0</v>
      </c>
      <c r="D125" t="str">
        <f>VLOOKUP(A125,MERCADO!A:B,2,0)</f>
        <v>Industria</v>
      </c>
      <c r="E125" t="str">
        <f>_xlfn.XLOOKUP(A125, ORIGEM!A:A, ORIGEM!B:B)</f>
        <v>Prospecção Ativa</v>
      </c>
      <c r="F125" t="str">
        <f>_xlfn.XLOOKUP(A125, ORIGEM!A:A, ORIGEM!C:C)</f>
        <v>Sales Navigator</v>
      </c>
      <c r="G125" t="str">
        <f>_xlfn.XLOOKUP(A125, LOCAL!A:A, LOCAL!B:B)</f>
        <v>-</v>
      </c>
      <c r="H125">
        <f>_xlfn.XLOOKUP(A125, PORTE!A:A, PORTE!B:B)</f>
        <v>0</v>
      </c>
      <c r="I125">
        <f>_xlfn.XLOOKUP(A125, OBJETIVO!A:A, OBJETIVO!B:B)</f>
        <v>0</v>
      </c>
      <c r="J125">
        <f t="shared" si="1"/>
        <v>0</v>
      </c>
    </row>
    <row r="126" spans="1:10" x14ac:dyDescent="0.25">
      <c r="A126">
        <v>11611673</v>
      </c>
      <c r="B126" s="1">
        <v>45727.496053240742</v>
      </c>
      <c r="C126" t="s">
        <v>0</v>
      </c>
      <c r="D126" t="str">
        <f>VLOOKUP(A126,MERCADO!A:B,2,0)</f>
        <v>Industria</v>
      </c>
      <c r="E126" t="str">
        <f>_xlfn.XLOOKUP(A126, ORIGEM!A:A, ORIGEM!B:B)</f>
        <v>Prospecção Ativa</v>
      </c>
      <c r="F126" t="str">
        <f>_xlfn.XLOOKUP(A126, ORIGEM!A:A, ORIGEM!C:C)</f>
        <v>Sales Navigator</v>
      </c>
      <c r="G126" t="str">
        <f>_xlfn.XLOOKUP(A126, LOCAL!A:A, LOCAL!B:B)</f>
        <v>-</v>
      </c>
      <c r="H126">
        <f>_xlfn.XLOOKUP(A126, PORTE!A:A, PORTE!B:B)</f>
        <v>0</v>
      </c>
      <c r="I126">
        <f>_xlfn.XLOOKUP(A126, OBJETIVO!A:A, OBJETIVO!B:B)</f>
        <v>0</v>
      </c>
      <c r="J126">
        <f t="shared" si="1"/>
        <v>0</v>
      </c>
    </row>
    <row r="127" spans="1:10" x14ac:dyDescent="0.25">
      <c r="A127">
        <v>11997468</v>
      </c>
      <c r="B127" s="1">
        <v>45762.443206018521</v>
      </c>
      <c r="C127" t="s">
        <v>0</v>
      </c>
      <c r="D127" t="str">
        <f>VLOOKUP(A127,MERCADO!A:B,2,0)</f>
        <v>Industria</v>
      </c>
      <c r="E127" t="str">
        <f>_xlfn.XLOOKUP(A127, ORIGEM!A:A, ORIGEM!B:B)</f>
        <v>Prospecção Ativa</v>
      </c>
      <c r="F127" t="str">
        <f>_xlfn.XLOOKUP(A127, ORIGEM!A:A, ORIGEM!C:C)</f>
        <v>Sales Navigator</v>
      </c>
      <c r="G127" t="str">
        <f>_xlfn.XLOOKUP(A127, LOCAL!A:A, LOCAL!B:B)</f>
        <v>-</v>
      </c>
      <c r="H127">
        <f>_xlfn.XLOOKUP(A127, PORTE!A:A, PORTE!B:B)</f>
        <v>0</v>
      </c>
      <c r="I127">
        <f>_xlfn.XLOOKUP(A127, OBJETIVO!A:A, OBJETIVO!B:B)</f>
        <v>0</v>
      </c>
      <c r="J127">
        <f t="shared" si="1"/>
        <v>0</v>
      </c>
    </row>
    <row r="128" spans="1:10" x14ac:dyDescent="0.25">
      <c r="A128">
        <v>11997542</v>
      </c>
      <c r="B128" s="1">
        <v>45762.447916666664</v>
      </c>
      <c r="C128" t="s">
        <v>0</v>
      </c>
      <c r="D128" t="str">
        <f>VLOOKUP(A128,MERCADO!A:B,2,0)</f>
        <v>Industria</v>
      </c>
      <c r="E128" t="str">
        <f>_xlfn.XLOOKUP(A128, ORIGEM!A:A, ORIGEM!B:B)</f>
        <v>Prospecção Ativa</v>
      </c>
      <c r="F128" t="str">
        <f>_xlfn.XLOOKUP(A128, ORIGEM!A:A, ORIGEM!C:C)</f>
        <v>Sales Navigator</v>
      </c>
      <c r="G128" t="str">
        <f>_xlfn.XLOOKUP(A128, LOCAL!A:A, LOCAL!B:B)</f>
        <v>-</v>
      </c>
      <c r="H128">
        <f>_xlfn.XLOOKUP(A128, PORTE!A:A, PORTE!B:B)</f>
        <v>0</v>
      </c>
      <c r="I128">
        <f>_xlfn.XLOOKUP(A128, OBJETIVO!A:A, OBJETIVO!B:B)</f>
        <v>0</v>
      </c>
      <c r="J128">
        <f t="shared" si="1"/>
        <v>0</v>
      </c>
    </row>
    <row r="129" spans="1:10" x14ac:dyDescent="0.25">
      <c r="A129">
        <v>11899917</v>
      </c>
      <c r="B129" s="1">
        <v>45754.573182870372</v>
      </c>
      <c r="C129" t="s">
        <v>0</v>
      </c>
      <c r="D129" t="str">
        <f>VLOOKUP(A129,MERCADO!A:B,2,0)</f>
        <v>Industria</v>
      </c>
      <c r="E129" t="str">
        <f>_xlfn.XLOOKUP(A129, ORIGEM!A:A, ORIGEM!B:B)</f>
        <v>Prospecção Ativa</v>
      </c>
      <c r="F129" t="str">
        <f>_xlfn.XLOOKUP(A129, ORIGEM!A:A, ORIGEM!C:C)</f>
        <v>Sales Navigator</v>
      </c>
      <c r="G129" t="str">
        <f>_xlfn.XLOOKUP(A129, LOCAL!A:A, LOCAL!B:B)</f>
        <v>-</v>
      </c>
      <c r="H129">
        <f>_xlfn.XLOOKUP(A129, PORTE!A:A, PORTE!B:B)</f>
        <v>0</v>
      </c>
      <c r="I129">
        <f>_xlfn.XLOOKUP(A129, OBJETIVO!A:A, OBJETIVO!B:B)</f>
        <v>0</v>
      </c>
      <c r="J129">
        <f t="shared" si="1"/>
        <v>0</v>
      </c>
    </row>
    <row r="130" spans="1:10" x14ac:dyDescent="0.25">
      <c r="A130">
        <v>12011164</v>
      </c>
      <c r="B130" s="1">
        <v>45763.449305555558</v>
      </c>
      <c r="C130" t="s">
        <v>0</v>
      </c>
      <c r="D130" t="str">
        <f>VLOOKUP(A130,MERCADO!A:B,2,0)</f>
        <v>Industria</v>
      </c>
      <c r="E130" t="str">
        <f>_xlfn.XLOOKUP(A130, ORIGEM!A:A, ORIGEM!B:B)</f>
        <v>Prospecção Ativa</v>
      </c>
      <c r="F130" t="str">
        <f>_xlfn.XLOOKUP(A130, ORIGEM!A:A, ORIGEM!C:C)</f>
        <v>Sales Navigator</v>
      </c>
      <c r="G130" t="str">
        <f>_xlfn.XLOOKUP(A130, LOCAL!A:A, LOCAL!B:B)</f>
        <v>-</v>
      </c>
      <c r="H130">
        <f>_xlfn.XLOOKUP(A130, PORTE!A:A, PORTE!B:B)</f>
        <v>0</v>
      </c>
      <c r="I130">
        <f>_xlfn.XLOOKUP(A130, OBJETIVO!A:A, OBJETIVO!B:B)</f>
        <v>0</v>
      </c>
      <c r="J130">
        <f t="shared" si="1"/>
        <v>0</v>
      </c>
    </row>
    <row r="131" spans="1:10" x14ac:dyDescent="0.25">
      <c r="A131">
        <v>12011236</v>
      </c>
      <c r="B131" s="1">
        <v>45763.451782407406</v>
      </c>
      <c r="C131" t="s">
        <v>0</v>
      </c>
      <c r="D131" t="str">
        <f>VLOOKUP(A131,MERCADO!A:B,2,0)</f>
        <v>Industria</v>
      </c>
      <c r="E131" t="str">
        <f>_xlfn.XLOOKUP(A131, ORIGEM!A:A, ORIGEM!B:B)</f>
        <v>Prospecção Ativa</v>
      </c>
      <c r="F131" t="str">
        <f>_xlfn.XLOOKUP(A131, ORIGEM!A:A, ORIGEM!C:C)</f>
        <v>Sales Navigator</v>
      </c>
      <c r="G131" t="str">
        <f>_xlfn.XLOOKUP(A131, LOCAL!A:A, LOCAL!B:B)</f>
        <v>-</v>
      </c>
      <c r="H131">
        <f>_xlfn.XLOOKUP(A131, PORTE!A:A, PORTE!B:B)</f>
        <v>0</v>
      </c>
      <c r="I131">
        <f>_xlfn.XLOOKUP(A131, OBJETIVO!A:A, OBJETIVO!B:B)</f>
        <v>0</v>
      </c>
      <c r="J131">
        <f t="shared" ref="J131:J194" si="2">IF(C131="SIM",1,0)</f>
        <v>0</v>
      </c>
    </row>
    <row r="132" spans="1:10" x14ac:dyDescent="0.25">
      <c r="A132">
        <v>11890484</v>
      </c>
      <c r="B132" s="1">
        <v>45753.715578703705</v>
      </c>
      <c r="C132" t="s">
        <v>0</v>
      </c>
      <c r="D132" t="str">
        <f>VLOOKUP(A132,MERCADO!A:B,2,0)</f>
        <v>Industria</v>
      </c>
      <c r="E132" t="str">
        <f>_xlfn.XLOOKUP(A132, ORIGEM!A:A, ORIGEM!B:B)</f>
        <v>Prospecção Ativa</v>
      </c>
      <c r="F132" t="str">
        <f>_xlfn.XLOOKUP(A132, ORIGEM!A:A, ORIGEM!C:C)</f>
        <v>Sales Navigator</v>
      </c>
      <c r="G132" t="str">
        <f>_xlfn.XLOOKUP(A132, LOCAL!A:A, LOCAL!B:B)</f>
        <v>-</v>
      </c>
      <c r="H132">
        <f>_xlfn.XLOOKUP(A132, PORTE!A:A, PORTE!B:B)</f>
        <v>0</v>
      </c>
      <c r="I132">
        <f>_xlfn.XLOOKUP(A132, OBJETIVO!A:A, OBJETIVO!B:B)</f>
        <v>0</v>
      </c>
      <c r="J132">
        <f t="shared" si="2"/>
        <v>0</v>
      </c>
    </row>
    <row r="133" spans="1:10" x14ac:dyDescent="0.25">
      <c r="A133">
        <v>10715251</v>
      </c>
      <c r="B133" s="1">
        <v>45640.56758101852</v>
      </c>
      <c r="C133" t="s">
        <v>0</v>
      </c>
      <c r="D133" t="str">
        <f>VLOOKUP(A133,MERCADO!A:B,2,0)</f>
        <v>Industria</v>
      </c>
      <c r="E133" t="str">
        <f>_xlfn.XLOOKUP(A133, ORIGEM!A:A, ORIGEM!B:B)</f>
        <v>Google</v>
      </c>
      <c r="F133" t="str">
        <f>_xlfn.XLOOKUP(A133, ORIGEM!A:A, ORIGEM!C:C)</f>
        <v>google - cpc</v>
      </c>
      <c r="G133" t="str">
        <f>_xlfn.XLOOKUP(A133, LOCAL!A:A, LOCAL!B:B)</f>
        <v>Bento Gonçalves - RS</v>
      </c>
      <c r="H133" t="str">
        <f>_xlfn.XLOOKUP(A133, PORTE!A:A, PORTE!B:B)</f>
        <v>11-50</v>
      </c>
      <c r="I133" t="str">
        <f>_xlfn.XLOOKUP(A133, OBJETIVO!A:A, OBJETIVO!B:B)</f>
        <v>Abertura/Expansão</v>
      </c>
      <c r="J133">
        <f t="shared" si="2"/>
        <v>0</v>
      </c>
    </row>
    <row r="134" spans="1:10" x14ac:dyDescent="0.25">
      <c r="A134">
        <v>11588046</v>
      </c>
      <c r="B134" s="1">
        <v>45725.637094907404</v>
      </c>
      <c r="C134" t="s">
        <v>0</v>
      </c>
      <c r="D134" t="str">
        <f>VLOOKUP(A134,MERCADO!A:B,2,0)</f>
        <v>Industria</v>
      </c>
      <c r="E134" t="str">
        <f>_xlfn.XLOOKUP(A134, ORIGEM!A:A, ORIGEM!B:B)</f>
        <v>Prospecção Ativa</v>
      </c>
      <c r="F134">
        <f>_xlfn.XLOOKUP(A134, ORIGEM!A:A, ORIGEM!C:C)</f>
        <v>0</v>
      </c>
      <c r="G134" t="str">
        <f>_xlfn.XLOOKUP(A134, LOCAL!A:A, LOCAL!B:B)</f>
        <v>-</v>
      </c>
      <c r="H134">
        <f>_xlfn.XLOOKUP(A134, PORTE!A:A, PORTE!B:B)</f>
        <v>0</v>
      </c>
      <c r="I134">
        <f>_xlfn.XLOOKUP(A134, OBJETIVO!A:A, OBJETIVO!B:B)</f>
        <v>0</v>
      </c>
      <c r="J134">
        <f t="shared" si="2"/>
        <v>0</v>
      </c>
    </row>
    <row r="135" spans="1:10" x14ac:dyDescent="0.25">
      <c r="A135">
        <v>11587818</v>
      </c>
      <c r="B135" s="1">
        <v>45725.631863425922</v>
      </c>
      <c r="C135" t="s">
        <v>0</v>
      </c>
      <c r="D135" t="str">
        <f>VLOOKUP(A135,MERCADO!A:B,2,0)</f>
        <v>Industria</v>
      </c>
      <c r="E135" t="str">
        <f>_xlfn.XLOOKUP(A135, ORIGEM!A:A, ORIGEM!B:B)</f>
        <v>Prospecção Ativa</v>
      </c>
      <c r="F135">
        <f>_xlfn.XLOOKUP(A135, ORIGEM!A:A, ORIGEM!C:C)</f>
        <v>0</v>
      </c>
      <c r="G135" t="str">
        <f>_xlfn.XLOOKUP(A135, LOCAL!A:A, LOCAL!B:B)</f>
        <v>-</v>
      </c>
      <c r="H135">
        <f>_xlfn.XLOOKUP(A135, PORTE!A:A, PORTE!B:B)</f>
        <v>0</v>
      </c>
      <c r="I135">
        <f>_xlfn.XLOOKUP(A135, OBJETIVO!A:A, OBJETIVO!B:B)</f>
        <v>0</v>
      </c>
      <c r="J135">
        <f t="shared" si="2"/>
        <v>0</v>
      </c>
    </row>
    <row r="136" spans="1:10" x14ac:dyDescent="0.25">
      <c r="A136">
        <v>11587864</v>
      </c>
      <c r="B136" s="1">
        <v>45725.632696759261</v>
      </c>
      <c r="C136" t="s">
        <v>0</v>
      </c>
      <c r="D136" t="str">
        <f>VLOOKUP(A136,MERCADO!A:B,2,0)</f>
        <v>Industria</v>
      </c>
      <c r="E136" t="str">
        <f>_xlfn.XLOOKUP(A136, ORIGEM!A:A, ORIGEM!B:B)</f>
        <v>Prospecção Ativa</v>
      </c>
      <c r="F136">
        <f>_xlfn.XLOOKUP(A136, ORIGEM!A:A, ORIGEM!C:C)</f>
        <v>0</v>
      </c>
      <c r="G136" t="str">
        <f>_xlfn.XLOOKUP(A136, LOCAL!A:A, LOCAL!B:B)</f>
        <v>-</v>
      </c>
      <c r="H136">
        <f>_xlfn.XLOOKUP(A136, PORTE!A:A, PORTE!B:B)</f>
        <v>0</v>
      </c>
      <c r="I136">
        <f>_xlfn.XLOOKUP(A136, OBJETIVO!A:A, OBJETIVO!B:B)</f>
        <v>0</v>
      </c>
      <c r="J136">
        <f t="shared" si="2"/>
        <v>0</v>
      </c>
    </row>
    <row r="137" spans="1:10" x14ac:dyDescent="0.25">
      <c r="A137">
        <v>11587883</v>
      </c>
      <c r="B137" s="1">
        <v>45725.633692129632</v>
      </c>
      <c r="C137" t="s">
        <v>0</v>
      </c>
      <c r="D137" t="str">
        <f>VLOOKUP(A137,MERCADO!A:B,2,0)</f>
        <v>Industria</v>
      </c>
      <c r="E137" t="str">
        <f>_xlfn.XLOOKUP(A137, ORIGEM!A:A, ORIGEM!B:B)</f>
        <v>Prospecção Ativa</v>
      </c>
      <c r="F137">
        <f>_xlfn.XLOOKUP(A137, ORIGEM!A:A, ORIGEM!C:C)</f>
        <v>0</v>
      </c>
      <c r="G137" t="str">
        <f>_xlfn.XLOOKUP(A137, LOCAL!A:A, LOCAL!B:B)</f>
        <v>-</v>
      </c>
      <c r="H137">
        <f>_xlfn.XLOOKUP(A137, PORTE!A:A, PORTE!B:B)</f>
        <v>0</v>
      </c>
      <c r="I137">
        <f>_xlfn.XLOOKUP(A137, OBJETIVO!A:A, OBJETIVO!B:B)</f>
        <v>0</v>
      </c>
      <c r="J137">
        <f t="shared" si="2"/>
        <v>0</v>
      </c>
    </row>
    <row r="138" spans="1:10" x14ac:dyDescent="0.25">
      <c r="A138">
        <v>11588003</v>
      </c>
      <c r="B138" s="1">
        <v>45725.635428240741</v>
      </c>
      <c r="C138" t="s">
        <v>0</v>
      </c>
      <c r="D138" t="str">
        <f>VLOOKUP(A138,MERCADO!A:B,2,0)</f>
        <v>Industria</v>
      </c>
      <c r="E138" t="str">
        <f>_xlfn.XLOOKUP(A138, ORIGEM!A:A, ORIGEM!B:B)</f>
        <v>Prospecção Ativa</v>
      </c>
      <c r="F138">
        <f>_xlfn.XLOOKUP(A138, ORIGEM!A:A, ORIGEM!C:C)</f>
        <v>0</v>
      </c>
      <c r="G138" t="str">
        <f>_xlfn.XLOOKUP(A138, LOCAL!A:A, LOCAL!B:B)</f>
        <v>-</v>
      </c>
      <c r="H138">
        <f>_xlfn.XLOOKUP(A138, PORTE!A:A, PORTE!B:B)</f>
        <v>0</v>
      </c>
      <c r="I138">
        <f>_xlfn.XLOOKUP(A138, OBJETIVO!A:A, OBJETIVO!B:B)</f>
        <v>0</v>
      </c>
      <c r="J138">
        <f t="shared" si="2"/>
        <v>0</v>
      </c>
    </row>
    <row r="139" spans="1:10" x14ac:dyDescent="0.25">
      <c r="A139">
        <v>11588013</v>
      </c>
      <c r="B139" s="1">
        <v>45725.635983796295</v>
      </c>
      <c r="C139" t="s">
        <v>0</v>
      </c>
      <c r="D139" t="str">
        <f>VLOOKUP(A139,MERCADO!A:B,2,0)</f>
        <v>Industria</v>
      </c>
      <c r="E139" t="str">
        <f>_xlfn.XLOOKUP(A139, ORIGEM!A:A, ORIGEM!B:B)</f>
        <v>Prospecção Ativa</v>
      </c>
      <c r="F139">
        <f>_xlfn.XLOOKUP(A139, ORIGEM!A:A, ORIGEM!C:C)</f>
        <v>0</v>
      </c>
      <c r="G139" t="str">
        <f>_xlfn.XLOOKUP(A139, LOCAL!A:A, LOCAL!B:B)</f>
        <v>-</v>
      </c>
      <c r="H139">
        <f>_xlfn.XLOOKUP(A139, PORTE!A:A, PORTE!B:B)</f>
        <v>0</v>
      </c>
      <c r="I139">
        <f>_xlfn.XLOOKUP(A139, OBJETIVO!A:A, OBJETIVO!B:B)</f>
        <v>0</v>
      </c>
      <c r="J139">
        <f t="shared" si="2"/>
        <v>0</v>
      </c>
    </row>
    <row r="140" spans="1:10" x14ac:dyDescent="0.25">
      <c r="A140">
        <v>11364047</v>
      </c>
      <c r="B140" s="1">
        <v>45704.583877314813</v>
      </c>
      <c r="C140" t="s">
        <v>0</v>
      </c>
      <c r="D140" t="str">
        <f>VLOOKUP(A140,MERCADO!A:B,2,0)</f>
        <v>Varejo</v>
      </c>
      <c r="E140" t="str">
        <f>_xlfn.XLOOKUP(A140, ORIGEM!A:A, ORIGEM!B:B)</f>
        <v>Facebook</v>
      </c>
      <c r="F140" t="str">
        <f>_xlfn.XLOOKUP(A140, ORIGEM!A:A, ORIGEM!C:C)</f>
        <v>facebook - cpc</v>
      </c>
      <c r="G140" t="str">
        <f>_xlfn.XLOOKUP(A140, LOCAL!A:A, LOCAL!B:B)</f>
        <v>Recife - PE</v>
      </c>
      <c r="H140" t="str">
        <f>_xlfn.XLOOKUP(A140, PORTE!A:A, PORTE!B:B)</f>
        <v>1-10</v>
      </c>
      <c r="I140" t="str">
        <f>_xlfn.XLOOKUP(A140, OBJETIVO!A:A, OBJETIVO!B:B)</f>
        <v>Ações de marketing/vendas</v>
      </c>
      <c r="J140">
        <f t="shared" si="2"/>
        <v>0</v>
      </c>
    </row>
    <row r="141" spans="1:10" x14ac:dyDescent="0.25">
      <c r="A141">
        <v>11611596</v>
      </c>
      <c r="B141" s="1">
        <v>45727.491875</v>
      </c>
      <c r="C141" t="s">
        <v>0</v>
      </c>
      <c r="D141" t="str">
        <f>VLOOKUP(A141,MERCADO!A:B,2,0)</f>
        <v>Industria</v>
      </c>
      <c r="E141" t="str">
        <f>_xlfn.XLOOKUP(A141, ORIGEM!A:A, ORIGEM!B:B)</f>
        <v>Prospecção Ativa</v>
      </c>
      <c r="F141">
        <f>_xlfn.XLOOKUP(A141, ORIGEM!A:A, ORIGEM!C:C)</f>
        <v>0</v>
      </c>
      <c r="G141" t="str">
        <f>_xlfn.XLOOKUP(A141, LOCAL!A:A, LOCAL!B:B)</f>
        <v>-</v>
      </c>
      <c r="H141">
        <f>_xlfn.XLOOKUP(A141, PORTE!A:A, PORTE!B:B)</f>
        <v>0</v>
      </c>
      <c r="I141">
        <f>_xlfn.XLOOKUP(A141, OBJETIVO!A:A, OBJETIVO!B:B)</f>
        <v>0</v>
      </c>
      <c r="J141">
        <f t="shared" si="2"/>
        <v>0</v>
      </c>
    </row>
    <row r="142" spans="1:10" x14ac:dyDescent="0.25">
      <c r="A142">
        <v>11311587</v>
      </c>
      <c r="B142" s="1">
        <v>45698.554027777776</v>
      </c>
      <c r="C142" t="s">
        <v>0</v>
      </c>
      <c r="D142" t="str">
        <f>VLOOKUP(A142,MERCADO!A:B,2,0)</f>
        <v>Servicos</v>
      </c>
      <c r="E142" t="str">
        <f>_xlfn.XLOOKUP(A142, ORIGEM!A:A, ORIGEM!B:B)</f>
        <v>Google</v>
      </c>
      <c r="F142" t="str">
        <f>_xlfn.XLOOKUP(A142, ORIGEM!A:A, ORIGEM!C:C)</f>
        <v>google - cpc</v>
      </c>
      <c r="G142" t="str">
        <f>_xlfn.XLOOKUP(A142, LOCAL!A:A, LOCAL!B:B)</f>
        <v>Arapiraca - AL</v>
      </c>
      <c r="H142" t="str">
        <f>_xlfn.XLOOKUP(A142, PORTE!A:A, PORTE!B:B)</f>
        <v>1-10</v>
      </c>
      <c r="I142" t="str">
        <f>_xlfn.XLOOKUP(A142, OBJETIVO!A:A, OBJETIVO!B:B)</f>
        <v>Ações de marketing/vendas</v>
      </c>
      <c r="J142">
        <f t="shared" si="2"/>
        <v>0</v>
      </c>
    </row>
    <row r="143" spans="1:10" x14ac:dyDescent="0.25">
      <c r="A143">
        <v>11359265</v>
      </c>
      <c r="B143" s="1">
        <v>45704.310150462959</v>
      </c>
      <c r="C143" t="s">
        <v>0</v>
      </c>
      <c r="D143" t="str">
        <f>VLOOKUP(A143,MERCADO!A:B,2,0)</f>
        <v>Servicos</v>
      </c>
      <c r="E143" t="str">
        <f>_xlfn.XLOOKUP(A143, ORIGEM!A:A, ORIGEM!B:B)</f>
        <v>Facebook</v>
      </c>
      <c r="F143" t="str">
        <f>_xlfn.XLOOKUP(A143, ORIGEM!A:A, ORIGEM!C:C)</f>
        <v>facebook - cpc</v>
      </c>
      <c r="G143" t="str">
        <f>_xlfn.XLOOKUP(A143, LOCAL!A:A, LOCAL!B:B)</f>
        <v>Salvador - BA</v>
      </c>
      <c r="H143" t="str">
        <f>_xlfn.XLOOKUP(A143, PORTE!A:A, PORTE!B:B)</f>
        <v>1-10</v>
      </c>
      <c r="I143" t="str">
        <f>_xlfn.XLOOKUP(A143, OBJETIVO!A:A, OBJETIVO!B:B)</f>
        <v>Geração de leads b2b</v>
      </c>
      <c r="J143">
        <f t="shared" si="2"/>
        <v>0</v>
      </c>
    </row>
    <row r="144" spans="1:10" x14ac:dyDescent="0.25">
      <c r="A144">
        <v>11269104</v>
      </c>
      <c r="B144" s="1">
        <v>45694.524652777778</v>
      </c>
      <c r="C144" t="s">
        <v>0</v>
      </c>
      <c r="D144" t="str">
        <f>VLOOKUP(A144,MERCADO!A:B,2,0)</f>
        <v>Tecnologia</v>
      </c>
      <c r="E144" t="str">
        <f>_xlfn.XLOOKUP(A144, ORIGEM!A:A, ORIGEM!B:B)</f>
        <v>Google</v>
      </c>
      <c r="F144" t="str">
        <f>_xlfn.XLOOKUP(A144, ORIGEM!A:A, ORIGEM!C:C)</f>
        <v>google - cpc</v>
      </c>
      <c r="G144" t="str">
        <f>_xlfn.XLOOKUP(A144, LOCAL!A:A, LOCAL!B:B)</f>
        <v>Fortaleza - CE</v>
      </c>
      <c r="H144" t="str">
        <f>_xlfn.XLOOKUP(A144, PORTE!A:A, PORTE!B:B)</f>
        <v>11-50</v>
      </c>
      <c r="I144" t="str">
        <f>_xlfn.XLOOKUP(A144, OBJETIVO!A:A, OBJETIVO!B:B)</f>
        <v>Ações de marketing/vendas</v>
      </c>
      <c r="J144">
        <f t="shared" si="2"/>
        <v>0</v>
      </c>
    </row>
    <row r="145" spans="1:10" x14ac:dyDescent="0.25">
      <c r="A145">
        <v>11343103</v>
      </c>
      <c r="B145" s="1">
        <v>45700.856736111113</v>
      </c>
      <c r="C145" t="s">
        <v>0</v>
      </c>
      <c r="D145" t="str">
        <f>VLOOKUP(A145,MERCADO!A:B,2,0)</f>
        <v>Servicos</v>
      </c>
      <c r="E145" t="str">
        <f>_xlfn.XLOOKUP(A145, ORIGEM!A:A, ORIGEM!B:B)</f>
        <v>Facebook</v>
      </c>
      <c r="F145" t="str">
        <f>_xlfn.XLOOKUP(A145, ORIGEM!A:A, ORIGEM!C:C)</f>
        <v>facebook - cpc</v>
      </c>
      <c r="G145" t="str">
        <f>_xlfn.XLOOKUP(A145, LOCAL!A:A, LOCAL!B:B)</f>
        <v>Brasília - DF</v>
      </c>
      <c r="H145" t="str">
        <f>_xlfn.XLOOKUP(A145, PORTE!A:A, PORTE!B:B)</f>
        <v>0</v>
      </c>
      <c r="I145" t="str">
        <f>_xlfn.XLOOKUP(A145, OBJETIVO!A:A, OBJETIVO!B:B)</f>
        <v>Geração de leads b2b</v>
      </c>
      <c r="J145">
        <f t="shared" si="2"/>
        <v>0</v>
      </c>
    </row>
    <row r="146" spans="1:10" x14ac:dyDescent="0.25">
      <c r="A146">
        <v>11212833</v>
      </c>
      <c r="B146" s="1">
        <v>45689.727210648147</v>
      </c>
      <c r="C146" t="s">
        <v>0</v>
      </c>
      <c r="D146" t="str">
        <f>VLOOKUP(A146,MERCADO!A:B,2,0)</f>
        <v>Imobiliaria/Incorporadora/Construtora</v>
      </c>
      <c r="E146" t="str">
        <f>_xlfn.XLOOKUP(A146, ORIGEM!A:A, ORIGEM!B:B)</f>
        <v>Orgânico</v>
      </c>
      <c r="F146">
        <f>_xlfn.XLOOKUP(A146, ORIGEM!A:A, ORIGEM!C:C)</f>
        <v>0</v>
      </c>
      <c r="G146" t="str">
        <f>_xlfn.XLOOKUP(A146, LOCAL!A:A, LOCAL!B:B)</f>
        <v>Brasília - DF</v>
      </c>
      <c r="H146" t="str">
        <f>_xlfn.XLOOKUP(A146, PORTE!A:A, PORTE!B:B)</f>
        <v>11-50</v>
      </c>
      <c r="I146" t="str">
        <f>_xlfn.XLOOKUP(A146, OBJETIVO!A:A, OBJETIVO!B:B)</f>
        <v>Planejamento estratégico</v>
      </c>
      <c r="J146">
        <f t="shared" si="2"/>
        <v>0</v>
      </c>
    </row>
    <row r="147" spans="1:10" x14ac:dyDescent="0.25">
      <c r="A147">
        <v>11259578</v>
      </c>
      <c r="B147" s="1">
        <v>45693.50439814815</v>
      </c>
      <c r="C147" t="s">
        <v>0</v>
      </c>
      <c r="D147" t="str">
        <f>VLOOKUP(A147,MERCADO!A:B,2,0)</f>
        <v>Servicos</v>
      </c>
      <c r="E147" t="str">
        <f>_xlfn.XLOOKUP(A147, ORIGEM!A:A, ORIGEM!B:B)</f>
        <v>Google</v>
      </c>
      <c r="F147" t="str">
        <f>_xlfn.XLOOKUP(A147, ORIGEM!A:A, ORIGEM!C:C)</f>
        <v>google - cpc</v>
      </c>
      <c r="G147" t="str">
        <f>_xlfn.XLOOKUP(A147, LOCAL!A:A, LOCAL!B:B)</f>
        <v>Colatina - ES</v>
      </c>
      <c r="H147" t="str">
        <f>_xlfn.XLOOKUP(A147, PORTE!A:A, PORTE!B:B)</f>
        <v>51-300</v>
      </c>
      <c r="I147" t="str">
        <f>_xlfn.XLOOKUP(A147, OBJETIVO!A:A, OBJETIVO!B:B)</f>
        <v>Ações de marketing/vendas</v>
      </c>
      <c r="J147">
        <f t="shared" si="2"/>
        <v>0</v>
      </c>
    </row>
    <row r="148" spans="1:10" x14ac:dyDescent="0.25">
      <c r="A148">
        <v>11329820</v>
      </c>
      <c r="B148" s="1">
        <v>45699.712268518517</v>
      </c>
      <c r="C148" t="s">
        <v>0</v>
      </c>
      <c r="D148" t="str">
        <f>VLOOKUP(A148,MERCADO!A:B,2,0)</f>
        <v>Servicos</v>
      </c>
      <c r="E148" t="str">
        <f>_xlfn.XLOOKUP(A148, ORIGEM!A:A, ORIGEM!B:B)</f>
        <v>Orgânico</v>
      </c>
      <c r="F148">
        <f>_xlfn.XLOOKUP(A148, ORIGEM!A:A, ORIGEM!C:C)</f>
        <v>0</v>
      </c>
      <c r="G148" t="str">
        <f>_xlfn.XLOOKUP(A148, LOCAL!A:A, LOCAL!B:B)</f>
        <v>Vitória - ES</v>
      </c>
      <c r="H148" t="str">
        <f>_xlfn.XLOOKUP(A148, PORTE!A:A, PORTE!B:B)</f>
        <v>11-50</v>
      </c>
      <c r="I148" t="str">
        <f>_xlfn.XLOOKUP(A148, OBJETIVO!A:A, OBJETIVO!B:B)</f>
        <v>Abertura/Expansão</v>
      </c>
      <c r="J148">
        <f t="shared" si="2"/>
        <v>0</v>
      </c>
    </row>
    <row r="149" spans="1:10" x14ac:dyDescent="0.25">
      <c r="A149">
        <v>11405869</v>
      </c>
      <c r="B149" s="1">
        <v>45707.94636574074</v>
      </c>
      <c r="C149" t="s">
        <v>0</v>
      </c>
      <c r="D149" t="str">
        <f>VLOOKUP(A149,MERCADO!A:B,2,0)</f>
        <v>Servicos</v>
      </c>
      <c r="E149" t="str">
        <f>_xlfn.XLOOKUP(A149, ORIGEM!A:A, ORIGEM!B:B)</f>
        <v>Facebook</v>
      </c>
      <c r="F149" t="str">
        <f>_xlfn.XLOOKUP(A149, ORIGEM!A:A, ORIGEM!C:C)</f>
        <v>facebook - cpc</v>
      </c>
      <c r="G149" t="str">
        <f>_xlfn.XLOOKUP(A149, LOCAL!A:A, LOCAL!B:B)</f>
        <v>Ribeirão das Neves - MG</v>
      </c>
      <c r="H149" t="str">
        <f>_xlfn.XLOOKUP(A149, PORTE!A:A, PORTE!B:B)</f>
        <v>0</v>
      </c>
      <c r="I149" t="str">
        <f>_xlfn.XLOOKUP(A149, OBJETIVO!A:A, OBJETIVO!B:B)</f>
        <v>Ações de marketing/vendas</v>
      </c>
      <c r="J149">
        <f t="shared" si="2"/>
        <v>0</v>
      </c>
    </row>
    <row r="150" spans="1:10" x14ac:dyDescent="0.25">
      <c r="A150">
        <v>10691773</v>
      </c>
      <c r="B150" s="1">
        <v>45637.128136574072</v>
      </c>
      <c r="C150" t="s">
        <v>0</v>
      </c>
      <c r="D150" t="str">
        <f>VLOOKUP(A150,MERCADO!A:B,2,0)</f>
        <v>Varejo</v>
      </c>
      <c r="E150" t="str">
        <f>_xlfn.XLOOKUP(A150, ORIGEM!A:A, ORIGEM!B:B)</f>
        <v>Google</v>
      </c>
      <c r="F150" t="str">
        <f>_xlfn.XLOOKUP(A150, ORIGEM!A:A, ORIGEM!C:C)</f>
        <v>google - cpc</v>
      </c>
      <c r="G150" t="str">
        <f>_xlfn.XLOOKUP(A150, LOCAL!A:A, LOCAL!B:B)</f>
        <v>Belo Horizonte - MG</v>
      </c>
      <c r="H150" t="str">
        <f>_xlfn.XLOOKUP(A150, PORTE!A:A, PORTE!B:B)</f>
        <v>11-50</v>
      </c>
      <c r="I150" t="str">
        <f>_xlfn.XLOOKUP(A150, OBJETIVO!A:A, OBJETIVO!B:B)</f>
        <v>Planejamento estratégico</v>
      </c>
      <c r="J150">
        <f t="shared" si="2"/>
        <v>0</v>
      </c>
    </row>
    <row r="151" spans="1:10" x14ac:dyDescent="0.25">
      <c r="A151">
        <v>11405760</v>
      </c>
      <c r="B151" s="1">
        <v>45707.903043981481</v>
      </c>
      <c r="C151" t="s">
        <v>0</v>
      </c>
      <c r="D151" t="str">
        <f>VLOOKUP(A151,MERCADO!A:B,2,0)</f>
        <v>Imobiliaria/Incorporadora/Construtora</v>
      </c>
      <c r="E151" t="str">
        <f>_xlfn.XLOOKUP(A151, ORIGEM!A:A, ORIGEM!B:B)</f>
        <v>Youtube</v>
      </c>
      <c r="F151" t="str">
        <f>_xlfn.XLOOKUP(A151, ORIGEM!A:A, ORIGEM!C:C)</f>
        <v>youtube - cpc</v>
      </c>
      <c r="G151" t="str">
        <f>_xlfn.XLOOKUP(A151, LOCAL!A:A, LOCAL!B:B)</f>
        <v>Montes Claros - MG</v>
      </c>
      <c r="H151" t="str">
        <f>_xlfn.XLOOKUP(A151, PORTE!A:A, PORTE!B:B)</f>
        <v>1-10</v>
      </c>
      <c r="I151" t="str">
        <f>_xlfn.XLOOKUP(A151, OBJETIVO!A:A, OBJETIVO!B:B)</f>
        <v>Ações de marketing/vendas</v>
      </c>
      <c r="J151">
        <f t="shared" si="2"/>
        <v>0</v>
      </c>
    </row>
    <row r="152" spans="1:10" x14ac:dyDescent="0.25">
      <c r="A152">
        <v>11348251</v>
      </c>
      <c r="B152" s="1">
        <v>45702.964525462965</v>
      </c>
      <c r="C152" t="s">
        <v>0</v>
      </c>
      <c r="D152" t="str">
        <f>VLOOKUP(A152,MERCADO!A:B,2,0)</f>
        <v>Varejo</v>
      </c>
      <c r="E152" t="str">
        <f>_xlfn.XLOOKUP(A152, ORIGEM!A:A, ORIGEM!B:B)</f>
        <v>Orgânico</v>
      </c>
      <c r="F152">
        <f>_xlfn.XLOOKUP(A152, ORIGEM!A:A, ORIGEM!C:C)</f>
        <v>0</v>
      </c>
      <c r="G152" t="str">
        <f>_xlfn.XLOOKUP(A152, LOCAL!A:A, LOCAL!B:B)</f>
        <v>São Luís - MA</v>
      </c>
      <c r="H152" t="str">
        <f>_xlfn.XLOOKUP(A152, PORTE!A:A, PORTE!B:B)</f>
        <v>1-10</v>
      </c>
      <c r="I152" t="str">
        <f>_xlfn.XLOOKUP(A152, OBJETIVO!A:A, OBJETIVO!B:B)</f>
        <v>Ações de marketing/vendas</v>
      </c>
      <c r="J152">
        <f t="shared" si="2"/>
        <v>0</v>
      </c>
    </row>
    <row r="153" spans="1:10" x14ac:dyDescent="0.25">
      <c r="A153">
        <v>11371519</v>
      </c>
      <c r="B153" s="1">
        <v>45705.296030092592</v>
      </c>
      <c r="C153" t="s">
        <v>0</v>
      </c>
      <c r="D153" t="str">
        <f>VLOOKUP(A153,MERCADO!A:B,2,0)</f>
        <v>Varejo</v>
      </c>
      <c r="E153" t="str">
        <f>_xlfn.XLOOKUP(A153, ORIGEM!A:A, ORIGEM!B:B)</f>
        <v>Facebook</v>
      </c>
      <c r="F153" t="str">
        <f>_xlfn.XLOOKUP(A153, ORIGEM!A:A, ORIGEM!C:C)</f>
        <v>facebook - cpc</v>
      </c>
      <c r="G153" t="str">
        <f>_xlfn.XLOOKUP(A153, LOCAL!A:A, LOCAL!B:B)</f>
        <v>Poços de Caldas - MG</v>
      </c>
      <c r="H153" t="str">
        <f>_xlfn.XLOOKUP(A153, PORTE!A:A, PORTE!B:B)</f>
        <v>1-10</v>
      </c>
      <c r="I153" t="str">
        <f>_xlfn.XLOOKUP(A153, OBJETIVO!A:A, OBJETIVO!B:B)</f>
        <v>Ações de marketing/vendas</v>
      </c>
      <c r="J153">
        <f t="shared" si="2"/>
        <v>0</v>
      </c>
    </row>
    <row r="154" spans="1:10" x14ac:dyDescent="0.25">
      <c r="A154">
        <v>11311851</v>
      </c>
      <c r="B154" s="1">
        <v>45698.568796296298</v>
      </c>
      <c r="C154" t="s">
        <v>0</v>
      </c>
      <c r="D154" t="str">
        <f>VLOOKUP(A154,MERCADO!A:B,2,0)</f>
        <v>Tecnologia</v>
      </c>
      <c r="E154" t="str">
        <f>_xlfn.XLOOKUP(A154, ORIGEM!A:A, ORIGEM!B:B)</f>
        <v>Bing</v>
      </c>
      <c r="F154" t="str">
        <f>_xlfn.XLOOKUP(A154, ORIGEM!A:A, ORIGEM!C:C)</f>
        <v>bing - cpc</v>
      </c>
      <c r="G154" t="str">
        <f>_xlfn.XLOOKUP(A154, LOCAL!A:A, LOCAL!B:B)</f>
        <v>Ipatinga - MG</v>
      </c>
      <c r="H154" t="str">
        <f>_xlfn.XLOOKUP(A154, PORTE!A:A, PORTE!B:B)</f>
        <v>11-50</v>
      </c>
      <c r="I154" t="str">
        <f>_xlfn.XLOOKUP(A154, OBJETIVO!A:A, OBJETIVO!B:B)</f>
        <v>Planejamento estratégico</v>
      </c>
      <c r="J154">
        <f t="shared" si="2"/>
        <v>0</v>
      </c>
    </row>
    <row r="155" spans="1:10" x14ac:dyDescent="0.25">
      <c r="A155">
        <v>11346192</v>
      </c>
      <c r="B155" s="1">
        <v>45702.021597222221</v>
      </c>
      <c r="C155" t="s">
        <v>0</v>
      </c>
      <c r="D155" t="str">
        <f>VLOOKUP(A155,MERCADO!A:B,2,0)</f>
        <v>Servicos</v>
      </c>
      <c r="E155" t="str">
        <f>_xlfn.XLOOKUP(A155, ORIGEM!A:A, ORIGEM!B:B)</f>
        <v>Facebook</v>
      </c>
      <c r="F155" t="str">
        <f>_xlfn.XLOOKUP(A155, ORIGEM!A:A, ORIGEM!C:C)</f>
        <v>facebook - cpc</v>
      </c>
      <c r="G155" t="str">
        <f>_xlfn.XLOOKUP(A155, LOCAL!A:A, LOCAL!B:B)</f>
        <v>Belém - PA</v>
      </c>
      <c r="H155" t="str">
        <f>_xlfn.XLOOKUP(A155, PORTE!A:A, PORTE!B:B)</f>
        <v>1-10</v>
      </c>
      <c r="I155" t="str">
        <f>_xlfn.XLOOKUP(A155, OBJETIVO!A:A, OBJETIVO!B:B)</f>
        <v>Geração de leads b2b</v>
      </c>
      <c r="J155">
        <f t="shared" si="2"/>
        <v>0</v>
      </c>
    </row>
    <row r="156" spans="1:10" x14ac:dyDescent="0.25">
      <c r="A156">
        <v>11368730</v>
      </c>
      <c r="B156" s="1">
        <v>45704.678877314815</v>
      </c>
      <c r="C156" t="s">
        <v>0</v>
      </c>
      <c r="D156" t="str">
        <f>VLOOKUP(A156,MERCADO!A:B,2,0)</f>
        <v>Varejo</v>
      </c>
      <c r="E156" t="str">
        <f>_xlfn.XLOOKUP(A156, ORIGEM!A:A, ORIGEM!B:B)</f>
        <v>Instagram</v>
      </c>
      <c r="F156" t="str">
        <f>_xlfn.XLOOKUP(A156, ORIGEM!A:A, ORIGEM!C:C)</f>
        <v>instagram - social</v>
      </c>
      <c r="G156" t="str">
        <f>_xlfn.XLOOKUP(A156, LOCAL!A:A, LOCAL!B:B)</f>
        <v>Teresina - PI</v>
      </c>
      <c r="H156" t="str">
        <f>_xlfn.XLOOKUP(A156, PORTE!A:A, PORTE!B:B)</f>
        <v>1-10</v>
      </c>
      <c r="I156" t="str">
        <f>_xlfn.XLOOKUP(A156, OBJETIVO!A:A, OBJETIVO!B:B)</f>
        <v>Consultoria</v>
      </c>
      <c r="J156">
        <f t="shared" si="2"/>
        <v>0</v>
      </c>
    </row>
    <row r="157" spans="1:10" x14ac:dyDescent="0.25">
      <c r="A157">
        <v>10782702</v>
      </c>
      <c r="B157" s="1">
        <v>45646.978807870371</v>
      </c>
      <c r="C157" t="s">
        <v>0</v>
      </c>
      <c r="D157" t="str">
        <f>VLOOKUP(A157,MERCADO!A:B,2,0)</f>
        <v>Empreendedor</v>
      </c>
      <c r="E157" t="str">
        <f>_xlfn.XLOOKUP(A157, ORIGEM!A:A, ORIGEM!B:B)</f>
        <v>Google</v>
      </c>
      <c r="F157" t="str">
        <f>_xlfn.XLOOKUP(A157, ORIGEM!A:A, ORIGEM!C:C)</f>
        <v>google - cpc</v>
      </c>
      <c r="G157" t="str">
        <f>_xlfn.XLOOKUP(A157, LOCAL!A:A, LOCAL!B:B)</f>
        <v>Goioere - PR</v>
      </c>
      <c r="H157" t="str">
        <f>_xlfn.XLOOKUP(A157, PORTE!A:A, PORTE!B:B)</f>
        <v>0</v>
      </c>
      <c r="I157" t="str">
        <f>_xlfn.XLOOKUP(A157, OBJETIVO!A:A, OBJETIVO!B:B)</f>
        <v>Abertura/Expansão</v>
      </c>
      <c r="J157">
        <f t="shared" si="2"/>
        <v>0</v>
      </c>
    </row>
    <row r="158" spans="1:10" x14ac:dyDescent="0.25">
      <c r="A158">
        <v>11394466</v>
      </c>
      <c r="B158" s="1">
        <v>45706.761388888888</v>
      </c>
      <c r="C158" t="s">
        <v>0</v>
      </c>
      <c r="D158" t="str">
        <f>VLOOKUP(A158,MERCADO!A:B,2,0)</f>
        <v>Empreendedor</v>
      </c>
      <c r="E158" t="str">
        <f>_xlfn.XLOOKUP(A158, ORIGEM!A:A, ORIGEM!B:B)</f>
        <v>Google</v>
      </c>
      <c r="F158" t="str">
        <f>_xlfn.XLOOKUP(A158, ORIGEM!A:A, ORIGEM!C:C)</f>
        <v>google - cpc</v>
      </c>
      <c r="G158" t="str">
        <f>_xlfn.XLOOKUP(A158, LOCAL!A:A, LOCAL!B:B)</f>
        <v>Curitiba - PR</v>
      </c>
      <c r="H158" t="str">
        <f>_xlfn.XLOOKUP(A158, PORTE!A:A, PORTE!B:B)</f>
        <v>0</v>
      </c>
      <c r="I158" t="str">
        <f>_xlfn.XLOOKUP(A158, OBJETIVO!A:A, OBJETIVO!B:B)</f>
        <v>Abertura/Expansão</v>
      </c>
      <c r="J158">
        <f t="shared" si="2"/>
        <v>0</v>
      </c>
    </row>
    <row r="159" spans="1:10" x14ac:dyDescent="0.25">
      <c r="A159">
        <v>11400710</v>
      </c>
      <c r="B159" s="1">
        <v>45707.534675925926</v>
      </c>
      <c r="C159" t="s">
        <v>0</v>
      </c>
      <c r="D159" t="str">
        <f>VLOOKUP(A159,MERCADO!A:B,2,0)</f>
        <v>Servicos</v>
      </c>
      <c r="E159" t="str">
        <f>_xlfn.XLOOKUP(A159, ORIGEM!A:A, ORIGEM!B:B)</f>
        <v>Facebook</v>
      </c>
      <c r="F159" t="str">
        <f>_xlfn.XLOOKUP(A159, ORIGEM!A:A, ORIGEM!C:C)</f>
        <v>facebook - cpc</v>
      </c>
      <c r="G159" t="str">
        <f>_xlfn.XLOOKUP(A159, LOCAL!A:A, LOCAL!B:B)</f>
        <v>Rio de Janeiro - RJ</v>
      </c>
      <c r="H159" t="str">
        <f>_xlfn.XLOOKUP(A159, PORTE!A:A, PORTE!B:B)</f>
        <v>1-10</v>
      </c>
      <c r="I159" t="str">
        <f>_xlfn.XLOOKUP(A159, OBJETIVO!A:A, OBJETIVO!B:B)</f>
        <v>Geração de leads b2b</v>
      </c>
      <c r="J159">
        <f t="shared" si="2"/>
        <v>0</v>
      </c>
    </row>
    <row r="160" spans="1:10" x14ac:dyDescent="0.25">
      <c r="A160">
        <v>11104749</v>
      </c>
      <c r="B160" s="1">
        <v>45682.505289351851</v>
      </c>
      <c r="C160" t="s">
        <v>0</v>
      </c>
      <c r="D160" t="str">
        <f>VLOOKUP(A160,MERCADO!A:B,2,0)</f>
        <v>Industria</v>
      </c>
      <c r="E160" t="str">
        <f>_xlfn.XLOOKUP(A160, ORIGEM!A:A, ORIGEM!B:B)</f>
        <v>Orgânico</v>
      </c>
      <c r="F160">
        <f>_xlfn.XLOOKUP(A160, ORIGEM!A:A, ORIGEM!C:C)</f>
        <v>0</v>
      </c>
      <c r="G160" t="str">
        <f>_xlfn.XLOOKUP(A160, LOCAL!A:A, LOCAL!B:B)</f>
        <v>Rio de Janeiro, RJ</v>
      </c>
      <c r="H160" t="str">
        <f>_xlfn.XLOOKUP(A160, PORTE!A:A, PORTE!B:B)</f>
        <v>11-50</v>
      </c>
      <c r="I160" t="str">
        <f>_xlfn.XLOOKUP(A160, OBJETIVO!A:A, OBJETIVO!B:B)</f>
        <v>Abertura/Expansão</v>
      </c>
      <c r="J160">
        <f t="shared" si="2"/>
        <v>0</v>
      </c>
    </row>
    <row r="161" spans="1:10" x14ac:dyDescent="0.25">
      <c r="A161">
        <v>11356166</v>
      </c>
      <c r="B161" s="1">
        <v>45703.672094907408</v>
      </c>
      <c r="C161" t="s">
        <v>0</v>
      </c>
      <c r="D161" t="str">
        <f>VLOOKUP(A161,MERCADO!A:B,2,0)</f>
        <v>Empreendedor</v>
      </c>
      <c r="E161" t="str">
        <f>_xlfn.XLOOKUP(A161, ORIGEM!A:A, ORIGEM!B:B)</f>
        <v>Instagram</v>
      </c>
      <c r="F161" t="str">
        <f>_xlfn.XLOOKUP(A161, ORIGEM!A:A, ORIGEM!C:C)</f>
        <v>instagram - social</v>
      </c>
      <c r="G161" t="str">
        <f>_xlfn.XLOOKUP(A161, LOCAL!A:A, LOCAL!B:B)</f>
        <v>Porto Alegre - RS</v>
      </c>
      <c r="H161" t="str">
        <f>_xlfn.XLOOKUP(A161, PORTE!A:A, PORTE!B:B)</f>
        <v>1-10</v>
      </c>
      <c r="I161" t="str">
        <f>_xlfn.XLOOKUP(A161, OBJETIVO!A:A, OBJETIVO!B:B)</f>
        <v>Abertura/Expansão</v>
      </c>
      <c r="J161">
        <f t="shared" si="2"/>
        <v>0</v>
      </c>
    </row>
    <row r="162" spans="1:10" x14ac:dyDescent="0.25">
      <c r="A162">
        <v>11374891</v>
      </c>
      <c r="B162" s="1">
        <v>45705.460451388892</v>
      </c>
      <c r="C162" t="s">
        <v>0</v>
      </c>
      <c r="D162" t="str">
        <f>VLOOKUP(A162,MERCADO!A:B,2,0)</f>
        <v>Marketing/Publicidade/Consultoria</v>
      </c>
      <c r="E162" t="str">
        <f>_xlfn.XLOOKUP(A162, ORIGEM!A:A, ORIGEM!B:B)</f>
        <v>Orgânico</v>
      </c>
      <c r="F162">
        <f>_xlfn.XLOOKUP(A162, ORIGEM!A:A, ORIGEM!C:C)</f>
        <v>0</v>
      </c>
      <c r="G162" t="str">
        <f>_xlfn.XLOOKUP(A162, LOCAL!A:A, LOCAL!B:B)</f>
        <v>Porto Alegre - RS</v>
      </c>
      <c r="H162" t="str">
        <f>_xlfn.XLOOKUP(A162, PORTE!A:A, PORTE!B:B)</f>
        <v>1-10</v>
      </c>
      <c r="I162" t="str">
        <f>_xlfn.XLOOKUP(A162, OBJETIVO!A:A, OBJETIVO!B:B)</f>
        <v>Abertura/Expansão</v>
      </c>
      <c r="J162">
        <f t="shared" si="2"/>
        <v>0</v>
      </c>
    </row>
    <row r="163" spans="1:10" x14ac:dyDescent="0.25">
      <c r="A163">
        <v>11328772</v>
      </c>
      <c r="B163" s="1">
        <v>45699.671377314815</v>
      </c>
      <c r="C163" t="s">
        <v>0</v>
      </c>
      <c r="D163" t="str">
        <f>VLOOKUP(A163,MERCADO!A:B,2,0)</f>
        <v>Industria</v>
      </c>
      <c r="E163" t="str">
        <f>_xlfn.XLOOKUP(A163, ORIGEM!A:A, ORIGEM!B:B)</f>
        <v>Orgânico</v>
      </c>
      <c r="F163">
        <f>_xlfn.XLOOKUP(A163, ORIGEM!A:A, ORIGEM!C:C)</f>
        <v>0</v>
      </c>
      <c r="G163" t="str">
        <f>_xlfn.XLOOKUP(A163, LOCAL!A:A, LOCAL!B:B)</f>
        <v>Atalanta - SC</v>
      </c>
      <c r="H163" t="str">
        <f>_xlfn.XLOOKUP(A163, PORTE!A:A, PORTE!B:B)</f>
        <v>11-50</v>
      </c>
      <c r="I163" t="str">
        <f>_xlfn.XLOOKUP(A163, OBJETIVO!A:A, OBJETIVO!B:B)</f>
        <v>Abertura/Expansão</v>
      </c>
      <c r="J163">
        <f t="shared" si="2"/>
        <v>0</v>
      </c>
    </row>
    <row r="164" spans="1:10" x14ac:dyDescent="0.25">
      <c r="A164">
        <v>11305170</v>
      </c>
      <c r="B164" s="1">
        <v>45697.930590277778</v>
      </c>
      <c r="C164" t="s">
        <v>0</v>
      </c>
      <c r="D164" t="str">
        <f>VLOOKUP(A164,MERCADO!A:B,2,0)</f>
        <v>Empreendedor</v>
      </c>
      <c r="E164" t="str">
        <f>_xlfn.XLOOKUP(A164, ORIGEM!A:A, ORIGEM!B:B)</f>
        <v>Google</v>
      </c>
      <c r="F164" t="str">
        <f>_xlfn.XLOOKUP(A164, ORIGEM!A:A, ORIGEM!C:C)</f>
        <v>google - cpc</v>
      </c>
      <c r="G164" t="str">
        <f>_xlfn.XLOOKUP(A164, LOCAL!A:A, LOCAL!B:B)</f>
        <v>Joinville - SC</v>
      </c>
      <c r="H164" t="str">
        <f>_xlfn.XLOOKUP(A164, PORTE!A:A, PORTE!B:B)</f>
        <v>0</v>
      </c>
      <c r="I164" t="str">
        <f>_xlfn.XLOOKUP(A164, OBJETIVO!A:A, OBJETIVO!B:B)</f>
        <v>Planejamento estratégico</v>
      </c>
      <c r="J164">
        <f t="shared" si="2"/>
        <v>0</v>
      </c>
    </row>
    <row r="165" spans="1:10" x14ac:dyDescent="0.25">
      <c r="A165">
        <v>11220990</v>
      </c>
      <c r="B165" s="1">
        <v>45690.492650462962</v>
      </c>
      <c r="C165" t="s">
        <v>0</v>
      </c>
      <c r="D165" t="str">
        <f>VLOOKUP(A165,MERCADO!A:B,2,0)</f>
        <v>Industria</v>
      </c>
      <c r="E165" t="str">
        <f>_xlfn.XLOOKUP(A165, ORIGEM!A:A, ORIGEM!B:B)</f>
        <v>Orgânico</v>
      </c>
      <c r="F165">
        <f>_xlfn.XLOOKUP(A165, ORIGEM!A:A, ORIGEM!C:C)</f>
        <v>0</v>
      </c>
      <c r="G165" t="str">
        <f>_xlfn.XLOOKUP(A165, LOCAL!A:A, LOCAL!B:B)</f>
        <v>Tijucas - SC</v>
      </c>
      <c r="H165" t="str">
        <f>_xlfn.XLOOKUP(A165, PORTE!A:A, PORTE!B:B)</f>
        <v>+ 1000</v>
      </c>
      <c r="I165" t="str">
        <f>_xlfn.XLOOKUP(A165, OBJETIVO!A:A, OBJETIVO!B:B)</f>
        <v>Abertura/Expansão</v>
      </c>
      <c r="J165">
        <f t="shared" si="2"/>
        <v>0</v>
      </c>
    </row>
    <row r="166" spans="1:10" x14ac:dyDescent="0.25">
      <c r="A166">
        <v>10586869</v>
      </c>
      <c r="B166" s="1">
        <v>45628.439467592594</v>
      </c>
      <c r="C166" t="s">
        <v>0</v>
      </c>
      <c r="D166">
        <f>VLOOKUP(A166,MERCADO!A:B,2,0)</f>
        <v>0</v>
      </c>
      <c r="E166" t="str">
        <f>_xlfn.XLOOKUP(A166, ORIGEM!A:A, ORIGEM!B:B)</f>
        <v>Bing</v>
      </c>
      <c r="F166" t="str">
        <f>_xlfn.XLOOKUP(A166, ORIGEM!A:A, ORIGEM!C:C)</f>
        <v>bing - cpc</v>
      </c>
      <c r="G166" t="str">
        <f>_xlfn.XLOOKUP(A166, LOCAL!A:A, LOCAL!B:B)</f>
        <v>Florianópolis - SC</v>
      </c>
      <c r="H166" t="str">
        <f>_xlfn.XLOOKUP(A166, PORTE!A:A, PORTE!B:B)</f>
        <v>11-50</v>
      </c>
      <c r="I166" t="str">
        <f>_xlfn.XLOOKUP(A166, OBJETIVO!A:A, OBJETIVO!B:B)</f>
        <v>Consultoria</v>
      </c>
      <c r="J166">
        <f t="shared" si="2"/>
        <v>0</v>
      </c>
    </row>
    <row r="167" spans="1:10" x14ac:dyDescent="0.25">
      <c r="A167">
        <v>11348239</v>
      </c>
      <c r="B167" s="1">
        <v>45702.959513888891</v>
      </c>
      <c r="C167" t="s">
        <v>0</v>
      </c>
      <c r="D167" t="str">
        <f>VLOOKUP(A167,MERCADO!A:B,2,0)</f>
        <v>Marketing/Publicidade/Consultoria</v>
      </c>
      <c r="E167" t="str">
        <f>_xlfn.XLOOKUP(A167, ORIGEM!A:A, ORIGEM!B:B)</f>
        <v>Facebook</v>
      </c>
      <c r="F167" t="str">
        <f>_xlfn.XLOOKUP(A167, ORIGEM!A:A, ORIGEM!C:C)</f>
        <v>facebook - cpc</v>
      </c>
      <c r="G167" t="str">
        <f>_xlfn.XLOOKUP(A167, LOCAL!A:A, LOCAL!B:B)</f>
        <v>Bauru - SP</v>
      </c>
      <c r="H167" t="str">
        <f>_xlfn.XLOOKUP(A167, PORTE!A:A, PORTE!B:B)</f>
        <v>0</v>
      </c>
      <c r="I167" t="str">
        <f>_xlfn.XLOOKUP(A167, OBJETIVO!A:A, OBJETIVO!B:B)</f>
        <v>Geração de leads b2b</v>
      </c>
      <c r="J167">
        <f t="shared" si="2"/>
        <v>0</v>
      </c>
    </row>
    <row r="168" spans="1:10" x14ac:dyDescent="0.25">
      <c r="A168">
        <v>11367824</v>
      </c>
      <c r="B168" s="1">
        <v>45704.642557870371</v>
      </c>
      <c r="C168" t="s">
        <v>0</v>
      </c>
      <c r="D168" t="str">
        <f>VLOOKUP(A168,MERCADO!A:B,2,0)</f>
        <v>Imobiliaria/Incorporadora/Construtora</v>
      </c>
      <c r="E168" t="str">
        <f>_xlfn.XLOOKUP(A168, ORIGEM!A:A, ORIGEM!B:B)</f>
        <v>Facebook</v>
      </c>
      <c r="F168" t="str">
        <f>_xlfn.XLOOKUP(A168, ORIGEM!A:A, ORIGEM!C:C)</f>
        <v>facebook - cpc</v>
      </c>
      <c r="G168" t="str">
        <f>_xlfn.XLOOKUP(A168, LOCAL!A:A, LOCAL!B:B)</f>
        <v>São Paulo - SP</v>
      </c>
      <c r="H168" t="str">
        <f>_xlfn.XLOOKUP(A168, PORTE!A:A, PORTE!B:B)</f>
        <v>1-10</v>
      </c>
      <c r="I168" t="str">
        <f>_xlfn.XLOOKUP(A168, OBJETIVO!A:A, OBJETIVO!B:B)</f>
        <v>Geração de leads b2b</v>
      </c>
      <c r="J168">
        <f t="shared" si="2"/>
        <v>0</v>
      </c>
    </row>
    <row r="169" spans="1:10" x14ac:dyDescent="0.25">
      <c r="A169">
        <v>11238880</v>
      </c>
      <c r="B169" s="1">
        <v>45691.643460648149</v>
      </c>
      <c r="C169" t="s">
        <v>0</v>
      </c>
      <c r="D169" t="str">
        <f>VLOOKUP(A169,MERCADO!A:B,2,0)</f>
        <v>Industria</v>
      </c>
      <c r="E169" t="str">
        <f>_xlfn.XLOOKUP(A169, ORIGEM!A:A, ORIGEM!B:B)</f>
        <v>Orgânico</v>
      </c>
      <c r="F169">
        <f>_xlfn.XLOOKUP(A169, ORIGEM!A:A, ORIGEM!C:C)</f>
        <v>0</v>
      </c>
      <c r="G169" t="str">
        <f>_xlfn.XLOOKUP(A169, LOCAL!A:A, LOCAL!B:B)</f>
        <v>Guarulhos - SP</v>
      </c>
      <c r="H169" t="str">
        <f>_xlfn.XLOOKUP(A169, PORTE!A:A, PORTE!B:B)</f>
        <v>11-50</v>
      </c>
      <c r="I169" t="str">
        <f>_xlfn.XLOOKUP(A169, OBJETIVO!A:A, OBJETIVO!B:B)</f>
        <v>Ações de marketing/vendas</v>
      </c>
      <c r="J169">
        <f t="shared" si="2"/>
        <v>0</v>
      </c>
    </row>
    <row r="170" spans="1:10" x14ac:dyDescent="0.25">
      <c r="A170">
        <v>11310421</v>
      </c>
      <c r="B170" s="1">
        <v>45698.477152777778</v>
      </c>
      <c r="C170" t="s">
        <v>0</v>
      </c>
      <c r="D170" t="str">
        <f>VLOOKUP(A170,MERCADO!A:B,2,0)</f>
        <v>Servicos</v>
      </c>
      <c r="E170" t="str">
        <f>_xlfn.XLOOKUP(A170, ORIGEM!A:A, ORIGEM!B:B)</f>
        <v>Google</v>
      </c>
      <c r="F170" t="str">
        <f>_xlfn.XLOOKUP(A170, ORIGEM!A:A, ORIGEM!C:C)</f>
        <v>google - cpc</v>
      </c>
      <c r="G170" t="str">
        <f>_xlfn.XLOOKUP(A170, LOCAL!A:A, LOCAL!B:B)</f>
        <v>Campinas - SP</v>
      </c>
      <c r="H170" t="str">
        <f>_xlfn.XLOOKUP(A170, PORTE!A:A, PORTE!B:B)</f>
        <v>11-50</v>
      </c>
      <c r="I170" t="str">
        <f>_xlfn.XLOOKUP(A170, OBJETIVO!A:A, OBJETIVO!B:B)</f>
        <v>Planejamento estratégico</v>
      </c>
      <c r="J170">
        <f t="shared" si="2"/>
        <v>0</v>
      </c>
    </row>
    <row r="171" spans="1:10" x14ac:dyDescent="0.25">
      <c r="A171">
        <v>11280178</v>
      </c>
      <c r="B171" s="1">
        <v>45696.514537037037</v>
      </c>
      <c r="C171" t="s">
        <v>0</v>
      </c>
      <c r="D171" t="str">
        <f>VLOOKUP(A171,MERCADO!A:B,2,0)</f>
        <v>Servicos</v>
      </c>
      <c r="E171" t="str">
        <f>_xlfn.XLOOKUP(A171, ORIGEM!A:A, ORIGEM!B:B)</f>
        <v>Google</v>
      </c>
      <c r="F171" t="str">
        <f>_xlfn.XLOOKUP(A171, ORIGEM!A:A, ORIGEM!C:C)</f>
        <v>google - cpc</v>
      </c>
      <c r="G171" t="str">
        <f>_xlfn.XLOOKUP(A171, LOCAL!A:A, LOCAL!B:B)</f>
        <v>São Paulo - SP</v>
      </c>
      <c r="H171" t="str">
        <f>_xlfn.XLOOKUP(A171, PORTE!A:A, PORTE!B:B)</f>
        <v>11-50</v>
      </c>
      <c r="I171" t="str">
        <f>_xlfn.XLOOKUP(A171, OBJETIVO!A:A, OBJETIVO!B:B)</f>
        <v>Geração de leads b2b</v>
      </c>
      <c r="J171">
        <f t="shared" si="2"/>
        <v>0</v>
      </c>
    </row>
    <row r="172" spans="1:10" x14ac:dyDescent="0.25">
      <c r="A172">
        <v>11234339</v>
      </c>
      <c r="B172" s="1">
        <v>45691.448692129627</v>
      </c>
      <c r="C172" t="s">
        <v>0</v>
      </c>
      <c r="D172" t="str">
        <f>VLOOKUP(A172,MERCADO!A:B,2,0)</f>
        <v>Tecnologia</v>
      </c>
      <c r="E172" t="str">
        <f>_xlfn.XLOOKUP(A172, ORIGEM!A:A, ORIGEM!B:B)</f>
        <v>Google</v>
      </c>
      <c r="F172" t="str">
        <f>_xlfn.XLOOKUP(A172, ORIGEM!A:A, ORIGEM!C:C)</f>
        <v>google - cpc</v>
      </c>
      <c r="G172" t="str">
        <f>_xlfn.XLOOKUP(A172, LOCAL!A:A, LOCAL!B:B)</f>
        <v>Santo André - SP</v>
      </c>
      <c r="H172" t="str">
        <f>_xlfn.XLOOKUP(A172, PORTE!A:A, PORTE!B:B)</f>
        <v>51-300</v>
      </c>
      <c r="I172" t="str">
        <f>_xlfn.XLOOKUP(A172, OBJETIVO!A:A, OBJETIVO!B:B)</f>
        <v>Geração de leads b2b</v>
      </c>
      <c r="J172">
        <f t="shared" si="2"/>
        <v>0</v>
      </c>
    </row>
    <row r="173" spans="1:10" x14ac:dyDescent="0.25">
      <c r="A173">
        <v>11370493</v>
      </c>
      <c r="B173" s="1">
        <v>45704.802245370367</v>
      </c>
      <c r="C173" t="s">
        <v>0</v>
      </c>
      <c r="D173" t="str">
        <f>VLOOKUP(A173,MERCADO!A:B,2,0)</f>
        <v>Servicos</v>
      </c>
      <c r="E173" t="str">
        <f>_xlfn.XLOOKUP(A173, ORIGEM!A:A, ORIGEM!B:B)</f>
        <v>Bing</v>
      </c>
      <c r="F173" t="str">
        <f>_xlfn.XLOOKUP(A173, ORIGEM!A:A, ORIGEM!C:C)</f>
        <v>bing - cpc</v>
      </c>
      <c r="G173" t="str">
        <f>_xlfn.XLOOKUP(A173, LOCAL!A:A, LOCAL!B:B)</f>
        <v>São Paulo - SP</v>
      </c>
      <c r="H173" t="str">
        <f>_xlfn.XLOOKUP(A173, PORTE!A:A, PORTE!B:B)</f>
        <v>1-10</v>
      </c>
      <c r="I173" t="str">
        <f>_xlfn.XLOOKUP(A173, OBJETIVO!A:A, OBJETIVO!B:B)</f>
        <v>Geração de leads b2b</v>
      </c>
      <c r="J173">
        <f t="shared" si="2"/>
        <v>0</v>
      </c>
    </row>
    <row r="174" spans="1:10" x14ac:dyDescent="0.25">
      <c r="A174">
        <v>11390437</v>
      </c>
      <c r="B174" s="1">
        <v>45706.621111111112</v>
      </c>
      <c r="C174" t="s">
        <v>0</v>
      </c>
      <c r="D174" t="str">
        <f>VLOOKUP(A174,MERCADO!A:B,2,0)</f>
        <v>Imobiliaria/Incorporadora/Construtora</v>
      </c>
      <c r="E174" t="str">
        <f>_xlfn.XLOOKUP(A174, ORIGEM!A:A, ORIGEM!B:B)</f>
        <v>Facebook</v>
      </c>
      <c r="F174" t="str">
        <f>_xlfn.XLOOKUP(A174, ORIGEM!A:A, ORIGEM!C:C)</f>
        <v>facebook - cpc</v>
      </c>
      <c r="G174" t="str">
        <f>_xlfn.XLOOKUP(A174, LOCAL!A:A, LOCAL!B:B)</f>
        <v>São Paulo - SP</v>
      </c>
      <c r="H174" t="str">
        <f>_xlfn.XLOOKUP(A174, PORTE!A:A, PORTE!B:B)</f>
        <v>0</v>
      </c>
      <c r="I174" t="str">
        <f>_xlfn.XLOOKUP(A174, OBJETIVO!A:A, OBJETIVO!B:B)</f>
        <v>Geração de leads b2b</v>
      </c>
      <c r="J174">
        <f t="shared" si="2"/>
        <v>0</v>
      </c>
    </row>
    <row r="175" spans="1:10" x14ac:dyDescent="0.25">
      <c r="A175">
        <v>11375164</v>
      </c>
      <c r="B175" s="1">
        <v>45705.476643518516</v>
      </c>
      <c r="C175" t="s">
        <v>0</v>
      </c>
      <c r="D175" t="str">
        <f>VLOOKUP(A175,MERCADO!A:B,2,0)</f>
        <v>Marketing/Publicidade/Consultoria</v>
      </c>
      <c r="E175" t="str">
        <f>_xlfn.XLOOKUP(A175, ORIGEM!A:A, ORIGEM!B:B)</f>
        <v>Google</v>
      </c>
      <c r="F175" t="str">
        <f>_xlfn.XLOOKUP(A175, ORIGEM!A:A, ORIGEM!C:C)</f>
        <v>google - cpc</v>
      </c>
      <c r="G175" t="str">
        <f>_xlfn.XLOOKUP(A175, LOCAL!A:A, LOCAL!B:B)</f>
        <v>Sorocaba - SP</v>
      </c>
      <c r="H175" t="str">
        <f>_xlfn.XLOOKUP(A175, PORTE!A:A, PORTE!B:B)</f>
        <v>51-300</v>
      </c>
      <c r="I175" t="str">
        <f>_xlfn.XLOOKUP(A175, OBJETIVO!A:A, OBJETIVO!B:B)</f>
        <v>Planejamento estratégico</v>
      </c>
      <c r="J175">
        <f t="shared" si="2"/>
        <v>0</v>
      </c>
    </row>
    <row r="176" spans="1:10" x14ac:dyDescent="0.25">
      <c r="A176">
        <v>11409688</v>
      </c>
      <c r="B176" s="1">
        <v>45709.698958333334</v>
      </c>
      <c r="C176" t="s">
        <v>0</v>
      </c>
      <c r="D176" t="str">
        <f>VLOOKUP(A176,MERCADO!A:B,2,0)</f>
        <v>Empreendedor</v>
      </c>
      <c r="E176" t="str">
        <f>_xlfn.XLOOKUP(A176, ORIGEM!A:A, ORIGEM!B:B)</f>
        <v>Orgânico</v>
      </c>
      <c r="F176">
        <f>_xlfn.XLOOKUP(A176, ORIGEM!A:A, ORIGEM!C:C)</f>
        <v>0</v>
      </c>
      <c r="G176" t="str">
        <f>_xlfn.XLOOKUP(A176, LOCAL!A:A, LOCAL!B:B)</f>
        <v>Sao Bento do Sapucai - SP</v>
      </c>
      <c r="H176" t="str">
        <f>_xlfn.XLOOKUP(A176, PORTE!A:A, PORTE!B:B)</f>
        <v>0</v>
      </c>
      <c r="I176" t="str">
        <f>_xlfn.XLOOKUP(A176, OBJETIVO!A:A, OBJETIVO!B:B)</f>
        <v>Planejamento estratégico</v>
      </c>
      <c r="J176">
        <f t="shared" si="2"/>
        <v>0</v>
      </c>
    </row>
    <row r="177" spans="1:10" x14ac:dyDescent="0.25">
      <c r="A177">
        <v>10857822</v>
      </c>
      <c r="B177" s="1">
        <v>45661.447465277779</v>
      </c>
      <c r="C177" t="s">
        <v>0</v>
      </c>
      <c r="D177" t="str">
        <f>VLOOKUP(A177,MERCADO!A:B,2,0)</f>
        <v>Servicos</v>
      </c>
      <c r="E177" t="str">
        <f>_xlfn.XLOOKUP(A177, ORIGEM!A:A, ORIGEM!B:B)</f>
        <v>Orgânico</v>
      </c>
      <c r="F177">
        <f>_xlfn.XLOOKUP(A177, ORIGEM!A:A, ORIGEM!C:C)</f>
        <v>0</v>
      </c>
      <c r="G177" t="str">
        <f>_xlfn.XLOOKUP(A177, LOCAL!A:A, LOCAL!B:B)</f>
        <v>Sorocaba - SP</v>
      </c>
      <c r="H177" t="str">
        <f>_xlfn.XLOOKUP(A177, PORTE!A:A, PORTE!B:B)</f>
        <v>1-10</v>
      </c>
      <c r="I177">
        <f>_xlfn.XLOOKUP(A177, OBJETIVO!A:A, OBJETIVO!B:B)</f>
        <v>0</v>
      </c>
      <c r="J177">
        <f t="shared" si="2"/>
        <v>0</v>
      </c>
    </row>
    <row r="178" spans="1:10" x14ac:dyDescent="0.25">
      <c r="A178">
        <v>11835112</v>
      </c>
      <c r="B178" s="1">
        <v>45747.651724537034</v>
      </c>
      <c r="C178" t="s">
        <v>0</v>
      </c>
      <c r="D178" t="str">
        <f>VLOOKUP(A178,MERCADO!A:B,2,0)</f>
        <v>Empreendedor</v>
      </c>
      <c r="E178" t="str">
        <f>_xlfn.XLOOKUP(A178, ORIGEM!A:A, ORIGEM!B:B)</f>
        <v>Google</v>
      </c>
      <c r="F178" t="str">
        <f>_xlfn.XLOOKUP(A178, ORIGEM!A:A, ORIGEM!C:C)</f>
        <v>google - cpc</v>
      </c>
      <c r="G178" t="str">
        <f>_xlfn.XLOOKUP(A178, LOCAL!A:A, LOCAL!B:B)</f>
        <v>São Paulo - SP</v>
      </c>
      <c r="H178" t="str">
        <f>_xlfn.XLOOKUP(A178, PORTE!A:A, PORTE!B:B)</f>
        <v>0</v>
      </c>
      <c r="I178" t="str">
        <f>_xlfn.XLOOKUP(A178, OBJETIVO!A:A, OBJETIVO!B:B)</f>
        <v>Ações de marketing/vendas</v>
      </c>
      <c r="J178">
        <f t="shared" si="2"/>
        <v>0</v>
      </c>
    </row>
    <row r="179" spans="1:10" x14ac:dyDescent="0.25">
      <c r="A179">
        <v>10803683</v>
      </c>
      <c r="B179" s="1">
        <v>45648.758171296293</v>
      </c>
      <c r="C179" t="s">
        <v>0</v>
      </c>
      <c r="D179" t="str">
        <f>VLOOKUP(A179,MERCADO!A:B,2,0)</f>
        <v>Empreendedor</v>
      </c>
      <c r="E179" t="str">
        <f>_xlfn.XLOOKUP(A179, ORIGEM!A:A, ORIGEM!B:B)</f>
        <v>Google</v>
      </c>
      <c r="F179" t="str">
        <f>_xlfn.XLOOKUP(A179, ORIGEM!A:A, ORIGEM!C:C)</f>
        <v>google - cpc</v>
      </c>
      <c r="G179" t="str">
        <f>_xlfn.XLOOKUP(A179, LOCAL!A:A, LOCAL!B:B)</f>
        <v>São Paulo - SP</v>
      </c>
      <c r="H179" t="str">
        <f>_xlfn.XLOOKUP(A179, PORTE!A:A, PORTE!B:B)</f>
        <v>0</v>
      </c>
      <c r="I179" t="str">
        <f>_xlfn.XLOOKUP(A179, OBJETIVO!A:A, OBJETIVO!B:B)</f>
        <v>Abertura/Expansão</v>
      </c>
      <c r="J179">
        <f t="shared" si="2"/>
        <v>0</v>
      </c>
    </row>
    <row r="180" spans="1:10" x14ac:dyDescent="0.25">
      <c r="A180">
        <v>11886254</v>
      </c>
      <c r="B180" s="1">
        <v>45753.643587962964</v>
      </c>
      <c r="C180" t="s">
        <v>0</v>
      </c>
      <c r="D180" t="str">
        <f>VLOOKUP(A180,MERCADO!A:B,2,0)</f>
        <v>Servicos</v>
      </c>
      <c r="E180" t="str">
        <f>_xlfn.XLOOKUP(A180, ORIGEM!A:A, ORIGEM!B:B)</f>
        <v>Google</v>
      </c>
      <c r="F180" t="str">
        <f>_xlfn.XLOOKUP(A180, ORIGEM!A:A, ORIGEM!C:C)</f>
        <v>google - cpc</v>
      </c>
      <c r="G180" t="str">
        <f>_xlfn.XLOOKUP(A180, LOCAL!A:A, LOCAL!B:B)</f>
        <v>Caragua - SP</v>
      </c>
      <c r="H180" t="str">
        <f>_xlfn.XLOOKUP(A180, PORTE!A:A, PORTE!B:B)</f>
        <v>1-10</v>
      </c>
      <c r="I180" t="str">
        <f>_xlfn.XLOOKUP(A180, OBJETIVO!A:A, OBJETIVO!B:B)</f>
        <v>Planejamento estratégico</v>
      </c>
      <c r="J180">
        <f t="shared" si="2"/>
        <v>0</v>
      </c>
    </row>
    <row r="181" spans="1:10" x14ac:dyDescent="0.25">
      <c r="A181">
        <v>10746597</v>
      </c>
      <c r="B181" s="1">
        <v>45642.615370370368</v>
      </c>
      <c r="C181" t="s">
        <v>0</v>
      </c>
      <c r="D181" t="str">
        <f>VLOOKUP(A181,MERCADO!A:B,2,0)</f>
        <v>Empreendedor</v>
      </c>
      <c r="E181" t="str">
        <f>_xlfn.XLOOKUP(A181, ORIGEM!A:A, ORIGEM!B:B)</f>
        <v>rep</v>
      </c>
      <c r="F181" t="str">
        <f>_xlfn.XLOOKUP(A181, ORIGEM!A:A, ORIGEM!C:C)</f>
        <v>rep - ximena-cubillos</v>
      </c>
      <c r="G181" t="str">
        <f>_xlfn.XLOOKUP(A181, LOCAL!A:A, LOCAL!B:B)</f>
        <v>Taubate - SP</v>
      </c>
      <c r="H181" t="str">
        <f>_xlfn.XLOOKUP(A181, PORTE!A:A, PORTE!B:B)</f>
        <v>0</v>
      </c>
      <c r="I181" t="str">
        <f>_xlfn.XLOOKUP(A181, OBJETIVO!A:A, OBJETIVO!B:B)</f>
        <v>Geração de leads b2b</v>
      </c>
      <c r="J181">
        <f t="shared" si="2"/>
        <v>0</v>
      </c>
    </row>
    <row r="182" spans="1:10" x14ac:dyDescent="0.25">
      <c r="A182">
        <v>11003387</v>
      </c>
      <c r="B182" s="1">
        <v>45672.681319444448</v>
      </c>
      <c r="C182" t="s">
        <v>0</v>
      </c>
      <c r="D182" t="str">
        <f>VLOOKUP(A182,MERCADO!A:B,2,0)</f>
        <v>Servicos</v>
      </c>
      <c r="E182" t="str">
        <f>_xlfn.XLOOKUP(A182, ORIGEM!A:A, ORIGEM!B:B)</f>
        <v>Orgânico</v>
      </c>
      <c r="F182">
        <f>_xlfn.XLOOKUP(A182, ORIGEM!A:A, ORIGEM!C:C)</f>
        <v>0</v>
      </c>
      <c r="G182" t="str">
        <f>_xlfn.XLOOKUP(A182, LOCAL!A:A, LOCAL!B:B)</f>
        <v>Porto Nacional - TO</v>
      </c>
      <c r="H182" t="str">
        <f>_xlfn.XLOOKUP(A182, PORTE!A:A, PORTE!B:B)</f>
        <v>1-10</v>
      </c>
      <c r="I182" t="str">
        <f>_xlfn.XLOOKUP(A182, OBJETIVO!A:A, OBJETIVO!B:B)</f>
        <v>Geração de leads b2b</v>
      </c>
      <c r="J182">
        <f t="shared" si="2"/>
        <v>0</v>
      </c>
    </row>
    <row r="183" spans="1:10" x14ac:dyDescent="0.25">
      <c r="A183">
        <v>12021752</v>
      </c>
      <c r="B183" s="1">
        <v>45764.518750000003</v>
      </c>
      <c r="C183" t="s">
        <v>0</v>
      </c>
      <c r="D183" t="str">
        <f>VLOOKUP(A183,MERCADO!A:B,2,0)</f>
        <v>Varejo</v>
      </c>
      <c r="E183" t="str">
        <f>_xlfn.XLOOKUP(A183, ORIGEM!A:A, ORIGEM!B:B)</f>
        <v>Google</v>
      </c>
      <c r="F183" t="str">
        <f>_xlfn.XLOOKUP(A183, ORIGEM!A:A, ORIGEM!C:C)</f>
        <v>google - cpc</v>
      </c>
      <c r="G183" t="str">
        <f>_xlfn.XLOOKUP(A183, LOCAL!A:A, LOCAL!B:B)</f>
        <v>Marília - SP</v>
      </c>
      <c r="H183" t="str">
        <f>_xlfn.XLOOKUP(A183, PORTE!A:A, PORTE!B:B)</f>
        <v>1-10</v>
      </c>
      <c r="I183" t="str">
        <f>_xlfn.XLOOKUP(A183, OBJETIVO!A:A, OBJETIVO!B:B)</f>
        <v>Abertura/Expansão</v>
      </c>
      <c r="J183">
        <f t="shared" si="2"/>
        <v>0</v>
      </c>
    </row>
    <row r="184" spans="1:10" x14ac:dyDescent="0.25">
      <c r="A184">
        <v>11014776</v>
      </c>
      <c r="B184" s="1">
        <v>45675.38045138889</v>
      </c>
      <c r="C184" t="s">
        <v>0</v>
      </c>
      <c r="D184" t="str">
        <f>VLOOKUP(A184,MERCADO!A:B,2,0)</f>
        <v>Servicos</v>
      </c>
      <c r="E184" t="str">
        <f>_xlfn.XLOOKUP(A184, ORIGEM!A:A, ORIGEM!B:B)</f>
        <v>Orgânico</v>
      </c>
      <c r="F184">
        <f>_xlfn.XLOOKUP(A184, ORIGEM!A:A, ORIGEM!C:C)</f>
        <v>0</v>
      </c>
      <c r="G184" t="str">
        <f>_xlfn.XLOOKUP(A184, LOCAL!A:A, LOCAL!B:B)</f>
        <v>Aracaju - SE</v>
      </c>
      <c r="H184" t="str">
        <f>_xlfn.XLOOKUP(A184, PORTE!A:A, PORTE!B:B)</f>
        <v>0</v>
      </c>
      <c r="I184" t="str">
        <f>_xlfn.XLOOKUP(A184, OBJETIVO!A:A, OBJETIVO!B:B)</f>
        <v>Outro</v>
      </c>
      <c r="J184">
        <f t="shared" si="2"/>
        <v>0</v>
      </c>
    </row>
    <row r="185" spans="1:10" x14ac:dyDescent="0.25">
      <c r="A185">
        <v>10825345</v>
      </c>
      <c r="B185" s="1">
        <v>45654.696875000001</v>
      </c>
      <c r="C185" t="s">
        <v>0</v>
      </c>
      <c r="D185" t="str">
        <f>VLOOKUP(A185,MERCADO!A:B,2,0)</f>
        <v>Tecnologia</v>
      </c>
      <c r="E185" t="str">
        <f>_xlfn.XLOOKUP(A185, ORIGEM!A:A, ORIGEM!B:B)</f>
        <v>Orgânico</v>
      </c>
      <c r="F185">
        <f>_xlfn.XLOOKUP(A185, ORIGEM!A:A, ORIGEM!C:C)</f>
        <v>0</v>
      </c>
      <c r="G185" t="str">
        <f>_xlfn.XLOOKUP(A185, LOCAL!A:A, LOCAL!B:B)</f>
        <v>-</v>
      </c>
      <c r="H185" t="str">
        <f>_xlfn.XLOOKUP(A185, PORTE!A:A, PORTE!B:B)</f>
        <v>11-50</v>
      </c>
      <c r="I185">
        <f>_xlfn.XLOOKUP(A185, OBJETIVO!A:A, OBJETIVO!B:B)</f>
        <v>0</v>
      </c>
      <c r="J185">
        <f t="shared" si="2"/>
        <v>0</v>
      </c>
    </row>
    <row r="186" spans="1:10" x14ac:dyDescent="0.25">
      <c r="A186">
        <v>11512393</v>
      </c>
      <c r="B186" s="1">
        <v>45718.943923611114</v>
      </c>
      <c r="C186" t="s">
        <v>0</v>
      </c>
      <c r="D186" t="str">
        <f>VLOOKUP(A186,MERCADO!A:B,2,0)</f>
        <v>Servicos</v>
      </c>
      <c r="E186" t="str">
        <f>_xlfn.XLOOKUP(A186, ORIGEM!A:A, ORIGEM!B:B)</f>
        <v>Orgânico</v>
      </c>
      <c r="F186">
        <f>_xlfn.XLOOKUP(A186, ORIGEM!A:A, ORIGEM!C:C)</f>
        <v>0</v>
      </c>
      <c r="G186" t="str">
        <f>_xlfn.XLOOKUP(A186, LOCAL!A:A, LOCAL!B:B)</f>
        <v>Porto Alegre - RS</v>
      </c>
      <c r="H186" t="str">
        <f>_xlfn.XLOOKUP(A186, PORTE!A:A, PORTE!B:B)</f>
        <v>1-10</v>
      </c>
      <c r="I186" t="str">
        <f>_xlfn.XLOOKUP(A186, OBJETIVO!A:A, OBJETIVO!B:B)</f>
        <v>Geração de leads b2b</v>
      </c>
      <c r="J186">
        <f t="shared" si="2"/>
        <v>0</v>
      </c>
    </row>
    <row r="187" spans="1:10" x14ac:dyDescent="0.25">
      <c r="A187">
        <v>11322644</v>
      </c>
      <c r="B187" s="1">
        <v>45699.462685185186</v>
      </c>
      <c r="C187" t="s">
        <v>0</v>
      </c>
      <c r="D187" t="str">
        <f>VLOOKUP(A187,MERCADO!A:B,2,0)</f>
        <v>Franqueadora</v>
      </c>
      <c r="E187" t="str">
        <f>_xlfn.XLOOKUP(A187, ORIGEM!A:A, ORIGEM!B:B)</f>
        <v>Orgânico</v>
      </c>
      <c r="F187">
        <f>_xlfn.XLOOKUP(A187, ORIGEM!A:A, ORIGEM!C:C)</f>
        <v>0</v>
      </c>
      <c r="G187" t="str">
        <f>_xlfn.XLOOKUP(A187, LOCAL!A:A, LOCAL!B:B)</f>
        <v>Parobe - RS</v>
      </c>
      <c r="H187" t="str">
        <f>_xlfn.XLOOKUP(A187, PORTE!A:A, PORTE!B:B)</f>
        <v>1-10</v>
      </c>
      <c r="I187" t="str">
        <f>_xlfn.XLOOKUP(A187, OBJETIVO!A:A, OBJETIVO!B:B)</f>
        <v>Abertura/Expansão</v>
      </c>
      <c r="J187">
        <f t="shared" si="2"/>
        <v>0</v>
      </c>
    </row>
    <row r="188" spans="1:10" x14ac:dyDescent="0.25">
      <c r="A188">
        <v>11490805</v>
      </c>
      <c r="B188" s="1">
        <v>45717.498194444444</v>
      </c>
      <c r="C188" t="s">
        <v>0</v>
      </c>
      <c r="D188" t="str">
        <f>VLOOKUP(A188,MERCADO!A:B,2,0)</f>
        <v>Tecnologia</v>
      </c>
      <c r="E188" t="str">
        <f>_xlfn.XLOOKUP(A188, ORIGEM!A:A, ORIGEM!B:B)</f>
        <v>Orgânico</v>
      </c>
      <c r="F188">
        <f>_xlfn.XLOOKUP(A188, ORIGEM!A:A, ORIGEM!C:C)</f>
        <v>0</v>
      </c>
      <c r="G188" t="str">
        <f>_xlfn.XLOOKUP(A188, LOCAL!A:A, LOCAL!B:B)</f>
        <v>Rio de Janeiro - RJ</v>
      </c>
      <c r="H188" t="str">
        <f>_xlfn.XLOOKUP(A188, PORTE!A:A, PORTE!B:B)</f>
        <v>51-300</v>
      </c>
      <c r="I188" t="str">
        <f>_xlfn.XLOOKUP(A188, OBJETIVO!A:A, OBJETIVO!B:B)</f>
        <v>Geração de leads b2b</v>
      </c>
      <c r="J188">
        <f t="shared" si="2"/>
        <v>0</v>
      </c>
    </row>
    <row r="189" spans="1:10" x14ac:dyDescent="0.25">
      <c r="A189">
        <v>11557554</v>
      </c>
      <c r="B189" s="1">
        <v>45721.89271990741</v>
      </c>
      <c r="C189" t="s">
        <v>0</v>
      </c>
      <c r="D189" t="str">
        <f>VLOOKUP(A189,MERCADO!A:B,2,0)</f>
        <v>Marketing/Publicidade/Consultoria</v>
      </c>
      <c r="E189" t="str">
        <f>_xlfn.XLOOKUP(A189, ORIGEM!A:A, ORIGEM!B:B)</f>
        <v>Facebook</v>
      </c>
      <c r="F189" t="str">
        <f>_xlfn.XLOOKUP(A189, ORIGEM!A:A, ORIGEM!C:C)</f>
        <v>facebook - cpc</v>
      </c>
      <c r="G189" t="str">
        <f>_xlfn.XLOOKUP(A189, LOCAL!A:A, LOCAL!B:B)</f>
        <v>Mage - RJ</v>
      </c>
      <c r="H189" t="str">
        <f>_xlfn.XLOOKUP(A189, PORTE!A:A, PORTE!B:B)</f>
        <v>1-10</v>
      </c>
      <c r="I189" t="str">
        <f>_xlfn.XLOOKUP(A189, OBJETIVO!A:A, OBJETIVO!B:B)</f>
        <v>Geração de leads b2b</v>
      </c>
      <c r="J189">
        <f t="shared" si="2"/>
        <v>0</v>
      </c>
    </row>
    <row r="190" spans="1:10" x14ac:dyDescent="0.25">
      <c r="A190">
        <v>10691175</v>
      </c>
      <c r="B190" s="1">
        <v>45636.877326388887</v>
      </c>
      <c r="C190" t="s">
        <v>0</v>
      </c>
      <c r="D190" t="str">
        <f>VLOOKUP(A190,MERCADO!A:B,2,0)</f>
        <v>Varejo</v>
      </c>
      <c r="E190" t="str">
        <f>_xlfn.XLOOKUP(A190, ORIGEM!A:A, ORIGEM!B:B)</f>
        <v>Google</v>
      </c>
      <c r="F190" t="str">
        <f>_xlfn.XLOOKUP(A190, ORIGEM!A:A, ORIGEM!C:C)</f>
        <v>google - cpc</v>
      </c>
      <c r="G190" t="str">
        <f>_xlfn.XLOOKUP(A190, LOCAL!A:A, LOCAL!B:B)</f>
        <v>Curitiba - PR</v>
      </c>
      <c r="H190" t="str">
        <f>_xlfn.XLOOKUP(A190, PORTE!A:A, PORTE!B:B)</f>
        <v>51-300</v>
      </c>
      <c r="I190" t="str">
        <f>_xlfn.XLOOKUP(A190, OBJETIVO!A:A, OBJETIVO!B:B)</f>
        <v>Outro</v>
      </c>
      <c r="J190">
        <f t="shared" si="2"/>
        <v>0</v>
      </c>
    </row>
    <row r="191" spans="1:10" x14ac:dyDescent="0.25">
      <c r="A191">
        <v>11486805</v>
      </c>
      <c r="B191" s="1">
        <v>45717.378136574072</v>
      </c>
      <c r="C191" t="s">
        <v>0</v>
      </c>
      <c r="D191" t="str">
        <f>VLOOKUP(A191,MERCADO!A:B,2,0)</f>
        <v>Empreendedor</v>
      </c>
      <c r="E191" t="str">
        <f>_xlfn.XLOOKUP(A191, ORIGEM!A:A, ORIGEM!B:B)</f>
        <v>Orgânico</v>
      </c>
      <c r="F191">
        <f>_xlfn.XLOOKUP(A191, ORIGEM!A:A, ORIGEM!C:C)</f>
        <v>0</v>
      </c>
      <c r="G191" t="str">
        <f>_xlfn.XLOOKUP(A191, LOCAL!A:A, LOCAL!B:B)</f>
        <v>São Paulo - SP</v>
      </c>
      <c r="H191" t="str">
        <f>_xlfn.XLOOKUP(A191, PORTE!A:A, PORTE!B:B)</f>
        <v>0</v>
      </c>
      <c r="I191" t="str">
        <f>_xlfn.XLOOKUP(A191, OBJETIVO!A:A, OBJETIVO!B:B)</f>
        <v>Abertura/Expansão</v>
      </c>
      <c r="J191">
        <f t="shared" si="2"/>
        <v>0</v>
      </c>
    </row>
    <row r="192" spans="1:10" x14ac:dyDescent="0.25">
      <c r="A192">
        <v>11939640</v>
      </c>
      <c r="B192" s="1">
        <v>45757.794965277775</v>
      </c>
      <c r="C192" t="s">
        <v>0</v>
      </c>
      <c r="D192" t="str">
        <f>VLOOKUP(A192,MERCADO!A:B,2,0)</f>
        <v>Servicos</v>
      </c>
      <c r="E192" t="str">
        <f>_xlfn.XLOOKUP(A192, ORIGEM!A:A, ORIGEM!B:B)</f>
        <v>Google</v>
      </c>
      <c r="F192" t="str">
        <f>_xlfn.XLOOKUP(A192, ORIGEM!A:A, ORIGEM!C:C)</f>
        <v>google - cpc</v>
      </c>
      <c r="G192" t="str">
        <f>_xlfn.XLOOKUP(A192, LOCAL!A:A, LOCAL!B:B)</f>
        <v>Alhandra - PB</v>
      </c>
      <c r="H192" t="str">
        <f>_xlfn.XLOOKUP(A192, PORTE!A:A, PORTE!B:B)</f>
        <v>1-10</v>
      </c>
      <c r="I192" t="str">
        <f>_xlfn.XLOOKUP(A192, OBJETIVO!A:A, OBJETIVO!B:B)</f>
        <v>Planejamento estratégico</v>
      </c>
      <c r="J192">
        <f t="shared" si="2"/>
        <v>0</v>
      </c>
    </row>
    <row r="193" spans="1:10" x14ac:dyDescent="0.25">
      <c r="A193">
        <v>11538815</v>
      </c>
      <c r="B193" s="1">
        <v>45720.654131944444</v>
      </c>
      <c r="C193" t="s">
        <v>0</v>
      </c>
      <c r="D193" t="str">
        <f>VLOOKUP(A193,MERCADO!A:B,2,0)</f>
        <v>Servicos</v>
      </c>
      <c r="E193" t="str">
        <f>_xlfn.XLOOKUP(A193, ORIGEM!A:A, ORIGEM!B:B)</f>
        <v>Orgânico</v>
      </c>
      <c r="F193">
        <f>_xlfn.XLOOKUP(A193, ORIGEM!A:A, ORIGEM!C:C)</f>
        <v>0</v>
      </c>
      <c r="G193" t="str">
        <f>_xlfn.XLOOKUP(A193, LOCAL!A:A, LOCAL!B:B)</f>
        <v>Campo Grande - MS</v>
      </c>
      <c r="H193" t="str">
        <f>_xlfn.XLOOKUP(A193, PORTE!A:A, PORTE!B:B)</f>
        <v>11-50</v>
      </c>
      <c r="I193" t="str">
        <f>_xlfn.XLOOKUP(A193, OBJETIVO!A:A, OBJETIVO!B:B)</f>
        <v>Abertura/Expansão</v>
      </c>
      <c r="J193">
        <f t="shared" si="2"/>
        <v>0</v>
      </c>
    </row>
    <row r="194" spans="1:10" x14ac:dyDescent="0.25">
      <c r="A194">
        <v>10813486</v>
      </c>
      <c r="B194" s="1">
        <v>45650.528344907405</v>
      </c>
      <c r="C194" t="s">
        <v>0</v>
      </c>
      <c r="D194" t="str">
        <f>VLOOKUP(A194,MERCADO!A:B,2,0)</f>
        <v>Varejo</v>
      </c>
      <c r="E194" t="str">
        <f>_xlfn.XLOOKUP(A194, ORIGEM!A:A, ORIGEM!B:B)</f>
        <v>Google</v>
      </c>
      <c r="F194" t="str">
        <f>_xlfn.XLOOKUP(A194, ORIGEM!A:A, ORIGEM!C:C)</f>
        <v>google - cpc</v>
      </c>
      <c r="G194" t="str">
        <f>_xlfn.XLOOKUP(A194, LOCAL!A:A, LOCAL!B:B)</f>
        <v>São Lourenço - MG</v>
      </c>
      <c r="H194" t="str">
        <f>_xlfn.XLOOKUP(A194, PORTE!A:A, PORTE!B:B)</f>
        <v>1-10</v>
      </c>
      <c r="I194" t="str">
        <f>_xlfn.XLOOKUP(A194, OBJETIVO!A:A, OBJETIVO!B:B)</f>
        <v>Ações de marketing/vendas</v>
      </c>
      <c r="J194">
        <f t="shared" si="2"/>
        <v>0</v>
      </c>
    </row>
    <row r="195" spans="1:10" x14ac:dyDescent="0.25">
      <c r="A195">
        <v>11381487</v>
      </c>
      <c r="B195" s="1">
        <v>45705.762395833335</v>
      </c>
      <c r="C195" t="s">
        <v>0</v>
      </c>
      <c r="D195" t="str">
        <f>VLOOKUP(A195,MERCADO!A:B,2,0)</f>
        <v>Varejo</v>
      </c>
      <c r="E195" t="str">
        <f>_xlfn.XLOOKUP(A195, ORIGEM!A:A, ORIGEM!B:B)</f>
        <v>Orgânico</v>
      </c>
      <c r="F195">
        <f>_xlfn.XLOOKUP(A195, ORIGEM!A:A, ORIGEM!C:C)</f>
        <v>0</v>
      </c>
      <c r="G195" t="str">
        <f>_xlfn.XLOOKUP(A195, LOCAL!A:A, LOCAL!B:B)</f>
        <v>Belo Horizonte, MG</v>
      </c>
      <c r="H195" t="str">
        <f>_xlfn.XLOOKUP(A195, PORTE!A:A, PORTE!B:B)</f>
        <v>51-300</v>
      </c>
      <c r="I195" t="str">
        <f>_xlfn.XLOOKUP(A195, OBJETIVO!A:A, OBJETIVO!B:B)</f>
        <v>Planejamento estratégico</v>
      </c>
      <c r="J195">
        <f t="shared" ref="J195:J258" si="3">IF(C195="SIM",1,0)</f>
        <v>0</v>
      </c>
    </row>
    <row r="196" spans="1:10" x14ac:dyDescent="0.25">
      <c r="A196">
        <v>11561964</v>
      </c>
      <c r="B196" s="1">
        <v>45723.862268518518</v>
      </c>
      <c r="C196" t="s">
        <v>0</v>
      </c>
      <c r="D196" t="str">
        <f>VLOOKUP(A196,MERCADO!A:B,2,0)</f>
        <v>Servicos</v>
      </c>
      <c r="E196" t="str">
        <f>_xlfn.XLOOKUP(A196, ORIGEM!A:A, ORIGEM!B:B)</f>
        <v>Facebook</v>
      </c>
      <c r="F196" t="str">
        <f>_xlfn.XLOOKUP(A196, ORIGEM!A:A, ORIGEM!C:C)</f>
        <v>facebook - cpc</v>
      </c>
      <c r="G196" t="str">
        <f>_xlfn.XLOOKUP(A196, LOCAL!A:A, LOCAL!B:B)</f>
        <v>São Luís - MA</v>
      </c>
      <c r="H196" t="str">
        <f>_xlfn.XLOOKUP(A196, PORTE!A:A, PORTE!B:B)</f>
        <v>1-10</v>
      </c>
      <c r="I196" t="str">
        <f>_xlfn.XLOOKUP(A196, OBJETIVO!A:A, OBJETIVO!B:B)</f>
        <v>Geração de leads b2b</v>
      </c>
      <c r="J196">
        <f t="shared" si="3"/>
        <v>0</v>
      </c>
    </row>
    <row r="197" spans="1:10" x14ac:dyDescent="0.25">
      <c r="A197">
        <v>11559160</v>
      </c>
      <c r="B197" s="1">
        <v>45722.636886574073</v>
      </c>
      <c r="C197" t="s">
        <v>0</v>
      </c>
      <c r="D197" t="str">
        <f>VLOOKUP(A197,MERCADO!A:B,2,0)</f>
        <v>Servicos</v>
      </c>
      <c r="E197" t="str">
        <f>_xlfn.XLOOKUP(A197, ORIGEM!A:A, ORIGEM!B:B)</f>
        <v>Facebook</v>
      </c>
      <c r="F197" t="str">
        <f>_xlfn.XLOOKUP(A197, ORIGEM!A:A, ORIGEM!C:C)</f>
        <v>facebook - cpc</v>
      </c>
      <c r="G197" t="str">
        <f>_xlfn.XLOOKUP(A197, LOCAL!A:A, LOCAL!B:B)</f>
        <v>São Luís - MA</v>
      </c>
      <c r="H197" t="str">
        <f>_xlfn.XLOOKUP(A197, PORTE!A:A, PORTE!B:B)</f>
        <v>1-10</v>
      </c>
      <c r="I197" t="str">
        <f>_xlfn.XLOOKUP(A197, OBJETIVO!A:A, OBJETIVO!B:B)</f>
        <v>Ações de marketing/vendas</v>
      </c>
      <c r="J197">
        <f t="shared" si="3"/>
        <v>0</v>
      </c>
    </row>
    <row r="198" spans="1:10" x14ac:dyDescent="0.25">
      <c r="A198">
        <v>10710980</v>
      </c>
      <c r="B198" s="1">
        <v>45640.453460648147</v>
      </c>
      <c r="C198" t="s">
        <v>0</v>
      </c>
      <c r="D198" t="str">
        <f>VLOOKUP(A198,MERCADO!A:B,2,0)</f>
        <v>Marketing/Publicidade/Consultoria</v>
      </c>
      <c r="E198" t="str">
        <f>_xlfn.XLOOKUP(A198, ORIGEM!A:A, ORIGEM!B:B)</f>
        <v>Orgânico</v>
      </c>
      <c r="F198">
        <f>_xlfn.XLOOKUP(A198, ORIGEM!A:A, ORIGEM!C:C)</f>
        <v>0</v>
      </c>
      <c r="G198" t="str">
        <f>_xlfn.XLOOKUP(A198, LOCAL!A:A, LOCAL!B:B)</f>
        <v>Goiânia - GO</v>
      </c>
      <c r="H198" t="str">
        <f>_xlfn.XLOOKUP(A198, PORTE!A:A, PORTE!B:B)</f>
        <v>1-10</v>
      </c>
      <c r="I198" t="str">
        <f>_xlfn.XLOOKUP(A198, OBJETIVO!A:A, OBJETIVO!B:B)</f>
        <v>Consultoria</v>
      </c>
      <c r="J198">
        <f t="shared" si="3"/>
        <v>0</v>
      </c>
    </row>
    <row r="199" spans="1:10" x14ac:dyDescent="0.25">
      <c r="A199">
        <v>10721997</v>
      </c>
      <c r="B199" s="1">
        <v>45640.711354166669</v>
      </c>
      <c r="C199" t="s">
        <v>0</v>
      </c>
      <c r="D199" t="str">
        <f>VLOOKUP(A199,MERCADO!A:B,2,0)</f>
        <v>Marketing/Publicidade/Consultoria</v>
      </c>
      <c r="E199" t="str">
        <f>_xlfn.XLOOKUP(A199, ORIGEM!A:A, ORIGEM!B:B)</f>
        <v>Google</v>
      </c>
      <c r="F199" t="str">
        <f>_xlfn.XLOOKUP(A199, ORIGEM!A:A, ORIGEM!C:C)</f>
        <v>google - cpc</v>
      </c>
      <c r="G199" t="str">
        <f>_xlfn.XLOOKUP(A199, LOCAL!A:A, LOCAL!B:B)</f>
        <v>Uberlândia - MG</v>
      </c>
      <c r="H199" t="str">
        <f>_xlfn.XLOOKUP(A199, PORTE!A:A, PORTE!B:B)</f>
        <v>1-10</v>
      </c>
      <c r="I199" t="str">
        <f>_xlfn.XLOOKUP(A199, OBJETIVO!A:A, OBJETIVO!B:B)</f>
        <v>Geração de leads b2b</v>
      </c>
      <c r="J199">
        <f t="shared" si="3"/>
        <v>0</v>
      </c>
    </row>
    <row r="200" spans="1:10" x14ac:dyDescent="0.25">
      <c r="A200">
        <v>10678108</v>
      </c>
      <c r="B200" s="1">
        <v>45636.362256944441</v>
      </c>
      <c r="C200" t="s">
        <v>0</v>
      </c>
      <c r="D200" t="str">
        <f>VLOOKUP(A200,MERCADO!A:B,2,0)</f>
        <v>Empreendedor</v>
      </c>
      <c r="E200" t="str">
        <f>_xlfn.XLOOKUP(A200, ORIGEM!A:A, ORIGEM!B:B)</f>
        <v>Google</v>
      </c>
      <c r="F200" t="str">
        <f>_xlfn.XLOOKUP(A200, ORIGEM!A:A, ORIGEM!C:C)</f>
        <v>google - cpc</v>
      </c>
      <c r="G200" t="str">
        <f>_xlfn.XLOOKUP(A200, LOCAL!A:A, LOCAL!B:B)</f>
        <v>Brasília - DF</v>
      </c>
      <c r="H200" t="str">
        <f>_xlfn.XLOOKUP(A200, PORTE!A:A, PORTE!B:B)</f>
        <v>1-10</v>
      </c>
      <c r="I200" t="str">
        <f>_xlfn.XLOOKUP(A200, OBJETIVO!A:A, OBJETIVO!B:B)</f>
        <v>Planejamento estratégico</v>
      </c>
      <c r="J200">
        <f t="shared" si="3"/>
        <v>0</v>
      </c>
    </row>
    <row r="201" spans="1:10" x14ac:dyDescent="0.25">
      <c r="A201">
        <v>11761727</v>
      </c>
      <c r="B201" s="1">
        <v>45741.662569444445</v>
      </c>
      <c r="C201" t="s">
        <v>0</v>
      </c>
      <c r="D201" t="str">
        <f>VLOOKUP(A201,MERCADO!A:B,2,0)</f>
        <v>Servicos</v>
      </c>
      <c r="E201" t="str">
        <f>_xlfn.XLOOKUP(A201, ORIGEM!A:A, ORIGEM!B:B)</f>
        <v>Bing</v>
      </c>
      <c r="F201" t="str">
        <f>_xlfn.XLOOKUP(A201, ORIGEM!A:A, ORIGEM!C:C)</f>
        <v>bing - cpc</v>
      </c>
      <c r="G201" t="str">
        <f>_xlfn.XLOOKUP(A201, LOCAL!A:A, LOCAL!B:B)</f>
        <v>Maceió - AL</v>
      </c>
      <c r="H201" t="str">
        <f>_xlfn.XLOOKUP(A201, PORTE!A:A, PORTE!B:B)</f>
        <v>11-50</v>
      </c>
      <c r="I201" t="str">
        <f>_xlfn.XLOOKUP(A201, OBJETIVO!A:A, OBJETIVO!B:B)</f>
        <v>Abertura/Expansão</v>
      </c>
      <c r="J201">
        <f t="shared" si="3"/>
        <v>0</v>
      </c>
    </row>
    <row r="202" spans="1:10" x14ac:dyDescent="0.25">
      <c r="A202">
        <v>10970965</v>
      </c>
      <c r="B202" s="1">
        <v>45670.87060185185</v>
      </c>
      <c r="C202" t="s">
        <v>0</v>
      </c>
      <c r="D202" t="str">
        <f>VLOOKUP(A202,MERCADO!A:B,2,0)</f>
        <v>Tecnologia</v>
      </c>
      <c r="E202" t="str">
        <f>_xlfn.XLOOKUP(A202, ORIGEM!A:A, ORIGEM!B:B)</f>
        <v>Google</v>
      </c>
      <c r="F202" t="str">
        <f>_xlfn.XLOOKUP(A202, ORIGEM!A:A, ORIGEM!C:C)</f>
        <v>google - cpc</v>
      </c>
      <c r="G202" t="str">
        <f>_xlfn.XLOOKUP(A202, LOCAL!A:A, LOCAL!B:B)</f>
        <v>Feira de Santana - BA</v>
      </c>
      <c r="H202" t="str">
        <f>_xlfn.XLOOKUP(A202, PORTE!A:A, PORTE!B:B)</f>
        <v>51-300</v>
      </c>
      <c r="I202" t="str">
        <f>_xlfn.XLOOKUP(A202, OBJETIVO!A:A, OBJETIVO!B:B)</f>
        <v>Geração de leads b2b</v>
      </c>
      <c r="J202">
        <f t="shared" si="3"/>
        <v>0</v>
      </c>
    </row>
    <row r="203" spans="1:10" x14ac:dyDescent="0.25">
      <c r="A203">
        <v>10991466</v>
      </c>
      <c r="B203" s="1">
        <v>45671.774259259262</v>
      </c>
      <c r="C203" t="s">
        <v>0</v>
      </c>
      <c r="D203" t="str">
        <f>VLOOKUP(A203,MERCADO!A:B,2,0)</f>
        <v>Imobiliaria/Incorporadora/Construtora</v>
      </c>
      <c r="E203" t="str">
        <f>_xlfn.XLOOKUP(A203, ORIGEM!A:A, ORIGEM!B:B)</f>
        <v>Google</v>
      </c>
      <c r="F203" t="str">
        <f>_xlfn.XLOOKUP(A203, ORIGEM!A:A, ORIGEM!C:C)</f>
        <v>google - cpc</v>
      </c>
      <c r="G203" t="str">
        <f>_xlfn.XLOOKUP(A203, LOCAL!A:A, LOCAL!B:B)</f>
        <v>Belo Horizonte - MG</v>
      </c>
      <c r="H203" t="str">
        <f>_xlfn.XLOOKUP(A203, PORTE!A:A, PORTE!B:B)</f>
        <v>0</v>
      </c>
      <c r="I203" t="str">
        <f>_xlfn.XLOOKUP(A203, OBJETIVO!A:A, OBJETIVO!B:B)</f>
        <v>Planejamento estratégico</v>
      </c>
      <c r="J203">
        <f t="shared" si="3"/>
        <v>0</v>
      </c>
    </row>
    <row r="204" spans="1:10" x14ac:dyDescent="0.25">
      <c r="A204">
        <v>10791168</v>
      </c>
      <c r="B204" s="1">
        <v>45647.661296296297</v>
      </c>
      <c r="C204" t="s">
        <v>0</v>
      </c>
      <c r="D204" t="str">
        <f>VLOOKUP(A204,MERCADO!A:B,2,0)</f>
        <v>Marketing/Publicidade/Consultoria</v>
      </c>
      <c r="E204" t="str">
        <f>_xlfn.XLOOKUP(A204, ORIGEM!A:A, ORIGEM!B:B)</f>
        <v>Orgânico</v>
      </c>
      <c r="F204">
        <f>_xlfn.XLOOKUP(A204, ORIGEM!A:A, ORIGEM!C:C)</f>
        <v>0</v>
      </c>
      <c r="G204" t="str">
        <f>_xlfn.XLOOKUP(A204, LOCAL!A:A, LOCAL!B:B)</f>
        <v>Curitiba - PR</v>
      </c>
      <c r="H204" t="str">
        <f>_xlfn.XLOOKUP(A204, PORTE!A:A, PORTE!B:B)</f>
        <v>0</v>
      </c>
      <c r="I204" t="str">
        <f>_xlfn.XLOOKUP(A204, OBJETIVO!A:A, OBJETIVO!B:B)</f>
        <v>Consultoria</v>
      </c>
      <c r="J204">
        <f t="shared" si="3"/>
        <v>0</v>
      </c>
    </row>
    <row r="205" spans="1:10" x14ac:dyDescent="0.25">
      <c r="A205">
        <v>11900959</v>
      </c>
      <c r="B205" s="1">
        <v>45754.610439814816</v>
      </c>
      <c r="C205" t="s">
        <v>0</v>
      </c>
      <c r="D205" t="str">
        <f>VLOOKUP(A205,MERCADO!A:B,2,0)</f>
        <v>Servicos</v>
      </c>
      <c r="E205" t="str">
        <f>_xlfn.XLOOKUP(A205, ORIGEM!A:A, ORIGEM!B:B)</f>
        <v>Google</v>
      </c>
      <c r="F205" t="str">
        <f>_xlfn.XLOOKUP(A205, ORIGEM!A:A, ORIGEM!C:C)</f>
        <v>google - cpc</v>
      </c>
      <c r="G205" t="str">
        <f>_xlfn.XLOOKUP(A205, LOCAL!A:A, LOCAL!B:B)</f>
        <v>São José dos Campos - SP</v>
      </c>
      <c r="H205" t="str">
        <f>_xlfn.XLOOKUP(A205, PORTE!A:A, PORTE!B:B)</f>
        <v>+ 1000</v>
      </c>
      <c r="I205" t="str">
        <f>_xlfn.XLOOKUP(A205, OBJETIVO!A:A, OBJETIVO!B:B)</f>
        <v>Outro</v>
      </c>
      <c r="J205">
        <f t="shared" si="3"/>
        <v>0</v>
      </c>
    </row>
    <row r="206" spans="1:10" x14ac:dyDescent="0.25">
      <c r="A206">
        <v>10811525</v>
      </c>
      <c r="B206" s="1">
        <v>45649.739791666667</v>
      </c>
      <c r="C206" t="s">
        <v>0</v>
      </c>
      <c r="D206" t="str">
        <f>VLOOKUP(A206,MERCADO!A:B,2,0)</f>
        <v>Empreendedor</v>
      </c>
      <c r="E206" t="str">
        <f>_xlfn.XLOOKUP(A206, ORIGEM!A:A, ORIGEM!B:B)</f>
        <v>Orgânico</v>
      </c>
      <c r="F206">
        <f>_xlfn.XLOOKUP(A206, ORIGEM!A:A, ORIGEM!C:C)</f>
        <v>0</v>
      </c>
      <c r="G206" t="str">
        <f>_xlfn.XLOOKUP(A206, LOCAL!A:A, LOCAL!B:B)</f>
        <v>Niterói - RJ</v>
      </c>
      <c r="H206" t="str">
        <f>_xlfn.XLOOKUP(A206, PORTE!A:A, PORTE!B:B)</f>
        <v>0</v>
      </c>
      <c r="I206" t="str">
        <f>_xlfn.XLOOKUP(A206, OBJETIVO!A:A, OBJETIVO!B:B)</f>
        <v>Consultoria</v>
      </c>
      <c r="J206">
        <f t="shared" si="3"/>
        <v>0</v>
      </c>
    </row>
    <row r="207" spans="1:10" x14ac:dyDescent="0.25">
      <c r="A207">
        <v>10750040</v>
      </c>
      <c r="B207" s="1">
        <v>45642.810613425929</v>
      </c>
      <c r="C207" t="s">
        <v>0</v>
      </c>
      <c r="D207" t="str">
        <f>VLOOKUP(A207,MERCADO!A:B,2,0)</f>
        <v>Empreendedor</v>
      </c>
      <c r="E207" t="str">
        <f>_xlfn.XLOOKUP(A207, ORIGEM!A:A, ORIGEM!B:B)</f>
        <v>Orgânico</v>
      </c>
      <c r="F207">
        <f>_xlfn.XLOOKUP(A207, ORIGEM!A:A, ORIGEM!C:C)</f>
        <v>0</v>
      </c>
      <c r="G207" t="str">
        <f>_xlfn.XLOOKUP(A207, LOCAL!A:A, LOCAL!B:B)</f>
        <v>São Paulo - SP</v>
      </c>
      <c r="H207" t="str">
        <f>_xlfn.XLOOKUP(A207, PORTE!A:A, PORTE!B:B)</f>
        <v>1-10</v>
      </c>
      <c r="I207" t="str">
        <f>_xlfn.XLOOKUP(A207, OBJETIVO!A:A, OBJETIVO!B:B)</f>
        <v>Geração de leads b2b</v>
      </c>
      <c r="J207">
        <f t="shared" si="3"/>
        <v>0</v>
      </c>
    </row>
    <row r="208" spans="1:10" x14ac:dyDescent="0.25">
      <c r="A208">
        <v>11735716</v>
      </c>
      <c r="B208" s="1">
        <v>45739.700671296298</v>
      </c>
      <c r="C208" t="s">
        <v>0</v>
      </c>
      <c r="D208" t="str">
        <f>VLOOKUP(A208,MERCADO!A:B,2,0)</f>
        <v>Empreendedor</v>
      </c>
      <c r="E208" t="str">
        <f>_xlfn.XLOOKUP(A208, ORIGEM!A:A, ORIGEM!B:B)</f>
        <v>Orgânico</v>
      </c>
      <c r="F208">
        <f>_xlfn.XLOOKUP(A208, ORIGEM!A:A, ORIGEM!C:C)</f>
        <v>0</v>
      </c>
      <c r="G208" t="str">
        <f>_xlfn.XLOOKUP(A208, LOCAL!A:A, LOCAL!B:B)</f>
        <v>Belém - PA</v>
      </c>
      <c r="H208" t="str">
        <f>_xlfn.XLOOKUP(A208, PORTE!A:A, PORTE!B:B)</f>
        <v>0</v>
      </c>
      <c r="I208" t="str">
        <f>_xlfn.XLOOKUP(A208, OBJETIVO!A:A, OBJETIVO!B:B)</f>
        <v>Planejamento estratégico</v>
      </c>
      <c r="J208">
        <f t="shared" si="3"/>
        <v>0</v>
      </c>
    </row>
    <row r="209" spans="1:10" x14ac:dyDescent="0.25">
      <c r="A209">
        <v>11906760</v>
      </c>
      <c r="B209" s="1">
        <v>45754.88658564815</v>
      </c>
      <c r="C209" t="s">
        <v>0</v>
      </c>
      <c r="D209" t="str">
        <f>VLOOKUP(A209,MERCADO!A:B,2,0)</f>
        <v>Empreendedor</v>
      </c>
      <c r="E209" t="str">
        <f>_xlfn.XLOOKUP(A209, ORIGEM!A:A, ORIGEM!B:B)</f>
        <v>Google</v>
      </c>
      <c r="F209" t="str">
        <f>_xlfn.XLOOKUP(A209, ORIGEM!A:A, ORIGEM!C:C)</f>
        <v>google - cpc</v>
      </c>
      <c r="G209" t="str">
        <f>_xlfn.XLOOKUP(A209, LOCAL!A:A, LOCAL!B:B)</f>
        <v>Nipoa - SP</v>
      </c>
      <c r="H209" t="str">
        <f>_xlfn.XLOOKUP(A209, PORTE!A:A, PORTE!B:B)</f>
        <v>0</v>
      </c>
      <c r="I209" t="str">
        <f>_xlfn.XLOOKUP(A209, OBJETIVO!A:A, OBJETIVO!B:B)</f>
        <v>Abertura/Expansão</v>
      </c>
      <c r="J209">
        <f t="shared" si="3"/>
        <v>0</v>
      </c>
    </row>
    <row r="210" spans="1:10" x14ac:dyDescent="0.25">
      <c r="A210">
        <v>10817431</v>
      </c>
      <c r="B210" s="1">
        <v>45652.593298611115</v>
      </c>
      <c r="C210" t="s">
        <v>0</v>
      </c>
      <c r="D210" t="str">
        <f>VLOOKUP(A210,MERCADO!A:B,2,0)</f>
        <v>Empreendedor</v>
      </c>
      <c r="E210" t="str">
        <f>_xlfn.XLOOKUP(A210, ORIGEM!A:A, ORIGEM!B:B)</f>
        <v>Google</v>
      </c>
      <c r="F210" t="str">
        <f>_xlfn.XLOOKUP(A210, ORIGEM!A:A, ORIGEM!C:C)</f>
        <v>google - cpc</v>
      </c>
      <c r="G210" t="str">
        <f>_xlfn.XLOOKUP(A210, LOCAL!A:A, LOCAL!B:B)</f>
        <v>São Paulo - SP</v>
      </c>
      <c r="H210" t="str">
        <f>_xlfn.XLOOKUP(A210, PORTE!A:A, PORTE!B:B)</f>
        <v>1-10</v>
      </c>
      <c r="I210" t="str">
        <f>_xlfn.XLOOKUP(A210, OBJETIVO!A:A, OBJETIVO!B:B)</f>
        <v>Abertura/Expansão</v>
      </c>
      <c r="J210">
        <f t="shared" si="3"/>
        <v>0</v>
      </c>
    </row>
    <row r="211" spans="1:10" x14ac:dyDescent="0.25">
      <c r="A211">
        <v>11666943</v>
      </c>
      <c r="B211" s="1">
        <v>45733.390763888892</v>
      </c>
      <c r="C211" t="s">
        <v>0</v>
      </c>
      <c r="D211" t="str">
        <f>VLOOKUP(A211,MERCADO!A:B,2,0)</f>
        <v>Empreendedor</v>
      </c>
      <c r="E211" t="str">
        <f>_xlfn.XLOOKUP(A211, ORIGEM!A:A, ORIGEM!B:B)</f>
        <v>Leads</v>
      </c>
      <c r="F211" t="str">
        <f>_xlfn.XLOOKUP(A211, ORIGEM!A:A, ORIGEM!C:C)</f>
        <v>leads - email</v>
      </c>
      <c r="G211" t="str">
        <f>_xlfn.XLOOKUP(A211, LOCAL!A:A, LOCAL!B:B)</f>
        <v>Curitiba - PR</v>
      </c>
      <c r="H211" t="str">
        <f>_xlfn.XLOOKUP(A211, PORTE!A:A, PORTE!B:B)</f>
        <v>0</v>
      </c>
      <c r="I211" t="str">
        <f>_xlfn.XLOOKUP(A211, OBJETIVO!A:A, OBJETIVO!B:B)</f>
        <v>Planejamento estratégico</v>
      </c>
      <c r="J211">
        <f t="shared" si="3"/>
        <v>0</v>
      </c>
    </row>
    <row r="212" spans="1:10" x14ac:dyDescent="0.25">
      <c r="A212">
        <v>11718022</v>
      </c>
      <c r="B212" s="1">
        <v>45738.544965277775</v>
      </c>
      <c r="C212" t="s">
        <v>0</v>
      </c>
      <c r="D212" t="str">
        <f>VLOOKUP(A212,MERCADO!A:B,2,0)</f>
        <v>Franqueadora</v>
      </c>
      <c r="E212" t="str">
        <f>_xlfn.XLOOKUP(A212, ORIGEM!A:A, ORIGEM!B:B)</f>
        <v>Prospecção Ativa</v>
      </c>
      <c r="F212" t="str">
        <f>_xlfn.XLOOKUP(A212, ORIGEM!A:A, ORIGEM!C:C)</f>
        <v>Sales Navigator</v>
      </c>
      <c r="G212" t="str">
        <f>_xlfn.XLOOKUP(A212, LOCAL!A:A, LOCAL!B:B)</f>
        <v>-</v>
      </c>
      <c r="H212">
        <f>_xlfn.XLOOKUP(A212, PORTE!A:A, PORTE!B:B)</f>
        <v>0</v>
      </c>
      <c r="I212">
        <f>_xlfn.XLOOKUP(A212, OBJETIVO!A:A, OBJETIVO!B:B)</f>
        <v>0</v>
      </c>
      <c r="J212">
        <f t="shared" si="3"/>
        <v>0</v>
      </c>
    </row>
    <row r="213" spans="1:10" x14ac:dyDescent="0.25">
      <c r="A213">
        <v>10717713</v>
      </c>
      <c r="B213" s="1">
        <v>45640.607881944445</v>
      </c>
      <c r="C213" t="s">
        <v>0</v>
      </c>
      <c r="D213" t="str">
        <f>VLOOKUP(A213,MERCADO!A:B,2,0)</f>
        <v>Servicos</v>
      </c>
      <c r="E213" t="str">
        <f>_xlfn.XLOOKUP(A213, ORIGEM!A:A, ORIGEM!B:B)</f>
        <v>Google</v>
      </c>
      <c r="F213" t="str">
        <f>_xlfn.XLOOKUP(A213, ORIGEM!A:A, ORIGEM!C:C)</f>
        <v>google - cpc</v>
      </c>
      <c r="G213" t="str">
        <f>_xlfn.XLOOKUP(A213, LOCAL!A:A, LOCAL!B:B)</f>
        <v>João Pessoa - PB</v>
      </c>
      <c r="H213" t="str">
        <f>_xlfn.XLOOKUP(A213, PORTE!A:A, PORTE!B:B)</f>
        <v>1-10</v>
      </c>
      <c r="I213" t="str">
        <f>_xlfn.XLOOKUP(A213, OBJETIVO!A:A, OBJETIVO!B:B)</f>
        <v>Abertura/Expansão</v>
      </c>
      <c r="J213">
        <f t="shared" si="3"/>
        <v>0</v>
      </c>
    </row>
    <row r="214" spans="1:10" x14ac:dyDescent="0.25">
      <c r="A214">
        <v>10728544</v>
      </c>
      <c r="B214" s="1">
        <v>45641.476412037038</v>
      </c>
      <c r="C214" t="s">
        <v>0</v>
      </c>
      <c r="D214" t="str">
        <f>VLOOKUP(A214,MERCADO!A:B,2,0)</f>
        <v>Servicos</v>
      </c>
      <c r="E214" t="str">
        <f>_xlfn.XLOOKUP(A214, ORIGEM!A:A, ORIGEM!B:B)</f>
        <v>Google</v>
      </c>
      <c r="F214" t="str">
        <f>_xlfn.XLOOKUP(A214, ORIGEM!A:A, ORIGEM!C:C)</f>
        <v>google - cpc</v>
      </c>
      <c r="G214" t="str">
        <f>_xlfn.XLOOKUP(A214, LOCAL!A:A, LOCAL!B:B)</f>
        <v>São Paulo - SP</v>
      </c>
      <c r="H214" t="str">
        <f>_xlfn.XLOOKUP(A214, PORTE!A:A, PORTE!B:B)</f>
        <v>0</v>
      </c>
      <c r="I214" t="str">
        <f>_xlfn.XLOOKUP(A214, OBJETIVO!A:A, OBJETIVO!B:B)</f>
        <v>Planejamento estratégico</v>
      </c>
      <c r="J214">
        <f t="shared" si="3"/>
        <v>0</v>
      </c>
    </row>
    <row r="215" spans="1:10" x14ac:dyDescent="0.25">
      <c r="A215">
        <v>10749046</v>
      </c>
      <c r="B215" s="1">
        <v>45642.730034722219</v>
      </c>
      <c r="C215" t="s">
        <v>0</v>
      </c>
      <c r="D215" t="str">
        <f>VLOOKUP(A215,MERCADO!A:B,2,0)</f>
        <v>Servicos</v>
      </c>
      <c r="E215" t="str">
        <f>_xlfn.XLOOKUP(A215, ORIGEM!A:A, ORIGEM!B:B)</f>
        <v>Google</v>
      </c>
      <c r="F215" t="str">
        <f>_xlfn.XLOOKUP(A215, ORIGEM!A:A, ORIGEM!C:C)</f>
        <v>google - cpc</v>
      </c>
      <c r="G215" t="str">
        <f>_xlfn.XLOOKUP(A215, LOCAL!A:A, LOCAL!B:B)</f>
        <v>Marau - BA</v>
      </c>
      <c r="H215" t="str">
        <f>_xlfn.XLOOKUP(A215, PORTE!A:A, PORTE!B:B)</f>
        <v>11-50</v>
      </c>
      <c r="I215" t="str">
        <f>_xlfn.XLOOKUP(A215, OBJETIVO!A:A, OBJETIVO!B:B)</f>
        <v>Abertura/Expansão</v>
      </c>
      <c r="J215">
        <f t="shared" si="3"/>
        <v>0</v>
      </c>
    </row>
    <row r="216" spans="1:10" x14ac:dyDescent="0.25">
      <c r="A216">
        <v>11480163</v>
      </c>
      <c r="B216" s="1">
        <v>45715.277025462965</v>
      </c>
      <c r="C216" t="s">
        <v>0</v>
      </c>
      <c r="D216" t="str">
        <f>VLOOKUP(A216,MERCADO!A:B,2,0)</f>
        <v>Varejo</v>
      </c>
      <c r="E216" t="str">
        <f>_xlfn.XLOOKUP(A216, ORIGEM!A:A, ORIGEM!B:B)</f>
        <v>Google</v>
      </c>
      <c r="F216" t="str">
        <f>_xlfn.XLOOKUP(A216, ORIGEM!A:A, ORIGEM!C:C)</f>
        <v>google - cpc</v>
      </c>
      <c r="G216" t="str">
        <f>_xlfn.XLOOKUP(A216, LOCAL!A:A, LOCAL!B:B)</f>
        <v>Sinop - MT</v>
      </c>
      <c r="H216" t="str">
        <f>_xlfn.XLOOKUP(A216, PORTE!A:A, PORTE!B:B)</f>
        <v>1-10</v>
      </c>
      <c r="I216" t="str">
        <f>_xlfn.XLOOKUP(A216, OBJETIVO!A:A, OBJETIVO!B:B)</f>
        <v>Abertura/Expansão</v>
      </c>
      <c r="J216">
        <f t="shared" si="3"/>
        <v>0</v>
      </c>
    </row>
    <row r="217" spans="1:10" x14ac:dyDescent="0.25">
      <c r="A217">
        <v>11375179</v>
      </c>
      <c r="B217" s="1">
        <v>45705.47755787037</v>
      </c>
      <c r="C217" t="s">
        <v>0</v>
      </c>
      <c r="D217" t="str">
        <f>VLOOKUP(A217,MERCADO!A:B,2,0)</f>
        <v>Varejo</v>
      </c>
      <c r="E217" t="str">
        <f>_xlfn.XLOOKUP(A217, ORIGEM!A:A, ORIGEM!B:B)</f>
        <v>Orgânico</v>
      </c>
      <c r="F217">
        <f>_xlfn.XLOOKUP(A217, ORIGEM!A:A, ORIGEM!C:C)</f>
        <v>0</v>
      </c>
      <c r="G217" t="str">
        <f>_xlfn.XLOOKUP(A217, LOCAL!A:A, LOCAL!B:B)</f>
        <v>Campinas, SP</v>
      </c>
      <c r="H217" t="str">
        <f>_xlfn.XLOOKUP(A217, PORTE!A:A, PORTE!B:B)</f>
        <v>1-10</v>
      </c>
      <c r="I217" t="str">
        <f>_xlfn.XLOOKUP(A217, OBJETIVO!A:A, OBJETIVO!B:B)</f>
        <v>Abertura/Expansão</v>
      </c>
      <c r="J217">
        <f t="shared" si="3"/>
        <v>0</v>
      </c>
    </row>
    <row r="218" spans="1:10" x14ac:dyDescent="0.25">
      <c r="A218">
        <v>10898295</v>
      </c>
      <c r="B218" s="1">
        <v>45664.438842592594</v>
      </c>
      <c r="C218" t="s">
        <v>0</v>
      </c>
      <c r="D218" t="str">
        <f>VLOOKUP(A218,MERCADO!A:B,2,0)</f>
        <v>Varejo</v>
      </c>
      <c r="E218" t="str">
        <f>_xlfn.XLOOKUP(A218, ORIGEM!A:A, ORIGEM!B:B)</f>
        <v>Orgânico</v>
      </c>
      <c r="F218">
        <f>_xlfn.XLOOKUP(A218, ORIGEM!A:A, ORIGEM!C:C)</f>
        <v>0</v>
      </c>
      <c r="G218" t="str">
        <f>_xlfn.XLOOKUP(A218, LOCAL!A:A, LOCAL!B:B)</f>
        <v>-</v>
      </c>
      <c r="H218" t="str">
        <f>_xlfn.XLOOKUP(A218, PORTE!A:A, PORTE!B:B)</f>
        <v>1-10</v>
      </c>
      <c r="I218" t="str">
        <f>_xlfn.XLOOKUP(A218, OBJETIVO!A:A, OBJETIVO!B:B)</f>
        <v>Abertura/Expansão</v>
      </c>
      <c r="J218">
        <f t="shared" si="3"/>
        <v>0</v>
      </c>
    </row>
    <row r="219" spans="1:10" x14ac:dyDescent="0.25">
      <c r="A219">
        <v>10604691</v>
      </c>
      <c r="B219" s="1">
        <v>45629.629849537036</v>
      </c>
      <c r="C219" t="s">
        <v>0</v>
      </c>
      <c r="D219">
        <f>VLOOKUP(A219,MERCADO!A:B,2,0)</f>
        <v>0</v>
      </c>
      <c r="E219" t="str">
        <f>_xlfn.XLOOKUP(A219, ORIGEM!A:A, ORIGEM!B:B)</f>
        <v>Orgânico</v>
      </c>
      <c r="F219">
        <f>_xlfn.XLOOKUP(A219, ORIGEM!A:A, ORIGEM!C:C)</f>
        <v>0</v>
      </c>
      <c r="G219" t="str">
        <f>_xlfn.XLOOKUP(A219, LOCAL!A:A, LOCAL!B:B)</f>
        <v>Quadra - SP</v>
      </c>
      <c r="H219" t="str">
        <f>_xlfn.XLOOKUP(A219, PORTE!A:A, PORTE!B:B)</f>
        <v>11-50</v>
      </c>
      <c r="I219" t="str">
        <f>_xlfn.XLOOKUP(A219, OBJETIVO!A:A, OBJETIVO!B:B)</f>
        <v>Abertura/Expansão</v>
      </c>
      <c r="J219">
        <f t="shared" si="3"/>
        <v>0</v>
      </c>
    </row>
    <row r="220" spans="1:10" x14ac:dyDescent="0.25">
      <c r="A220">
        <v>11077871</v>
      </c>
      <c r="B220" s="1">
        <v>45678.760300925926</v>
      </c>
      <c r="C220" t="s">
        <v>0</v>
      </c>
      <c r="D220" t="str">
        <f>VLOOKUP(A220,MERCADO!A:B,2,0)</f>
        <v>Tecnologia</v>
      </c>
      <c r="E220" t="str">
        <f>_xlfn.XLOOKUP(A220, ORIGEM!A:A, ORIGEM!B:B)</f>
        <v>Orgânico</v>
      </c>
      <c r="F220">
        <f>_xlfn.XLOOKUP(A220, ORIGEM!A:A, ORIGEM!C:C)</f>
        <v>0</v>
      </c>
      <c r="G220" t="str">
        <f>_xlfn.XLOOKUP(A220, LOCAL!A:A, LOCAL!B:B)</f>
        <v>Serra - ES</v>
      </c>
      <c r="H220" t="str">
        <f>_xlfn.XLOOKUP(A220, PORTE!A:A, PORTE!B:B)</f>
        <v>1-10</v>
      </c>
      <c r="I220" t="str">
        <f>_xlfn.XLOOKUP(A220, OBJETIVO!A:A, OBJETIVO!B:B)</f>
        <v>Ações de marketing/vendas</v>
      </c>
      <c r="J220">
        <f t="shared" si="3"/>
        <v>0</v>
      </c>
    </row>
    <row r="221" spans="1:10" x14ac:dyDescent="0.25">
      <c r="A221">
        <v>11882520</v>
      </c>
      <c r="B221" s="1">
        <v>45753.572939814818</v>
      </c>
      <c r="C221" t="s">
        <v>0</v>
      </c>
      <c r="D221" t="str">
        <f>VLOOKUP(A221,MERCADO!A:B,2,0)</f>
        <v>Tecnologia</v>
      </c>
      <c r="E221" t="str">
        <f>_xlfn.XLOOKUP(A221, ORIGEM!A:A, ORIGEM!B:B)</f>
        <v>Google</v>
      </c>
      <c r="F221">
        <f>_xlfn.XLOOKUP(A221, ORIGEM!A:A, ORIGEM!C:C)</f>
        <v>0</v>
      </c>
      <c r="G221" t="str">
        <f>_xlfn.XLOOKUP(A221, LOCAL!A:A, LOCAL!B:B)</f>
        <v>Minas Gerais</v>
      </c>
      <c r="H221" t="str">
        <f>_xlfn.XLOOKUP(A221, PORTE!A:A, PORTE!B:B)</f>
        <v>11-50</v>
      </c>
      <c r="I221" t="str">
        <f>_xlfn.XLOOKUP(A221, OBJETIVO!A:A, OBJETIVO!B:B)</f>
        <v>Consultoria</v>
      </c>
      <c r="J221">
        <f t="shared" si="3"/>
        <v>0</v>
      </c>
    </row>
    <row r="222" spans="1:10" x14ac:dyDescent="0.25">
      <c r="A222">
        <v>11447298</v>
      </c>
      <c r="B222" s="1">
        <v>45712.56753472222</v>
      </c>
      <c r="C222" t="s">
        <v>0</v>
      </c>
      <c r="D222" t="str">
        <f>VLOOKUP(A222,MERCADO!A:B,2,0)</f>
        <v>Servicos</v>
      </c>
      <c r="E222" t="str">
        <f>_xlfn.XLOOKUP(A222, ORIGEM!A:A, ORIGEM!B:B)</f>
        <v>Orgânico</v>
      </c>
      <c r="F222">
        <f>_xlfn.XLOOKUP(A222, ORIGEM!A:A, ORIGEM!C:C)</f>
        <v>0</v>
      </c>
      <c r="G222" t="str">
        <f>_xlfn.XLOOKUP(A222, LOCAL!A:A, LOCAL!B:B)</f>
        <v>São Paulo - SP</v>
      </c>
      <c r="H222" t="str">
        <f>_xlfn.XLOOKUP(A222, PORTE!A:A, PORTE!B:B)</f>
        <v>11-50</v>
      </c>
      <c r="I222" t="str">
        <f>_xlfn.XLOOKUP(A222, OBJETIVO!A:A, OBJETIVO!B:B)</f>
        <v>Abertura/Expansão</v>
      </c>
      <c r="J222">
        <f t="shared" si="3"/>
        <v>0</v>
      </c>
    </row>
    <row r="223" spans="1:10" x14ac:dyDescent="0.25">
      <c r="A223">
        <v>10929491</v>
      </c>
      <c r="B223" s="1">
        <v>45668.451608796298</v>
      </c>
      <c r="C223" t="s">
        <v>0</v>
      </c>
      <c r="D223" t="str">
        <f>VLOOKUP(A223,MERCADO!A:B,2,0)</f>
        <v>Servicos</v>
      </c>
      <c r="E223" t="str">
        <f>_xlfn.XLOOKUP(A223, ORIGEM!A:A, ORIGEM!B:B)</f>
        <v>Google</v>
      </c>
      <c r="F223" t="str">
        <f>_xlfn.XLOOKUP(A223, ORIGEM!A:A, ORIGEM!C:C)</f>
        <v>google - cpc</v>
      </c>
      <c r="G223" t="str">
        <f>_xlfn.XLOOKUP(A223, LOCAL!A:A, LOCAL!B:B)</f>
        <v>Getulio Vargas - RS</v>
      </c>
      <c r="H223" t="str">
        <f>_xlfn.XLOOKUP(A223, PORTE!A:A, PORTE!B:B)</f>
        <v>1-10</v>
      </c>
      <c r="I223" t="str">
        <f>_xlfn.XLOOKUP(A223, OBJETIVO!A:A, OBJETIVO!B:B)</f>
        <v>Consultoria</v>
      </c>
      <c r="J223">
        <f t="shared" si="3"/>
        <v>0</v>
      </c>
    </row>
    <row r="224" spans="1:10" x14ac:dyDescent="0.25">
      <c r="A224">
        <v>11234085</v>
      </c>
      <c r="B224" s="1">
        <v>45691.436840277776</v>
      </c>
      <c r="C224" t="s">
        <v>0</v>
      </c>
      <c r="D224" t="str">
        <f>VLOOKUP(A224,MERCADO!A:B,2,0)</f>
        <v>Franqueadora</v>
      </c>
      <c r="E224" t="str">
        <f>_xlfn.XLOOKUP(A224, ORIGEM!A:A, ORIGEM!B:B)</f>
        <v>email</v>
      </c>
      <c r="F224">
        <f>_xlfn.XLOOKUP(A224, ORIGEM!A:A, ORIGEM!C:C)</f>
        <v>0</v>
      </c>
      <c r="G224" t="str">
        <f>_xlfn.XLOOKUP(A224, LOCAL!A:A, LOCAL!B:B)</f>
        <v>Rio de Janeiro, RJ</v>
      </c>
      <c r="H224" t="str">
        <f>_xlfn.XLOOKUP(A224, PORTE!A:A, PORTE!B:B)</f>
        <v>51-300</v>
      </c>
      <c r="I224" t="str">
        <f>_xlfn.XLOOKUP(A224, OBJETIVO!A:A, OBJETIVO!B:B)</f>
        <v>Abertura/Expansão</v>
      </c>
      <c r="J224">
        <f t="shared" si="3"/>
        <v>0</v>
      </c>
    </row>
    <row r="225" spans="1:10" x14ac:dyDescent="0.25">
      <c r="A225">
        <v>11806730</v>
      </c>
      <c r="B225" s="1">
        <v>45745.564618055556</v>
      </c>
      <c r="C225" t="s">
        <v>0</v>
      </c>
      <c r="D225" t="str">
        <f>VLOOKUP(A225,MERCADO!A:B,2,0)</f>
        <v>Franqueadora</v>
      </c>
      <c r="E225" t="str">
        <f>_xlfn.XLOOKUP(A225, ORIGEM!A:A, ORIGEM!B:B)</f>
        <v>email</v>
      </c>
      <c r="F225">
        <f>_xlfn.XLOOKUP(A225, ORIGEM!A:A, ORIGEM!C:C)</f>
        <v>0</v>
      </c>
      <c r="G225" t="str">
        <f>_xlfn.XLOOKUP(A225, LOCAL!A:A, LOCAL!B:B)</f>
        <v>-</v>
      </c>
      <c r="H225" t="str">
        <f>_xlfn.XLOOKUP(A225, PORTE!A:A, PORTE!B:B)</f>
        <v>11-50</v>
      </c>
      <c r="I225" t="str">
        <f>_xlfn.XLOOKUP(A225, OBJETIVO!A:A, OBJETIVO!B:B)</f>
        <v>Abertura/Expansão</v>
      </c>
      <c r="J225">
        <f t="shared" si="3"/>
        <v>0</v>
      </c>
    </row>
    <row r="226" spans="1:10" x14ac:dyDescent="0.25">
      <c r="A226">
        <v>11848124</v>
      </c>
      <c r="B226" s="1">
        <v>45748.679571759261</v>
      </c>
      <c r="C226" t="s">
        <v>0</v>
      </c>
      <c r="D226" t="str">
        <f>VLOOKUP(A226,MERCADO!A:B,2,0)</f>
        <v>Franqueadora</v>
      </c>
      <c r="E226" t="str">
        <f>_xlfn.XLOOKUP(A226, ORIGEM!A:A, ORIGEM!B:B)</f>
        <v>email</v>
      </c>
      <c r="F226">
        <f>_xlfn.XLOOKUP(A226, ORIGEM!A:A, ORIGEM!C:C)</f>
        <v>0</v>
      </c>
      <c r="G226" t="str">
        <f>_xlfn.XLOOKUP(A226, LOCAL!A:A, LOCAL!B:B)</f>
        <v>-</v>
      </c>
      <c r="H226" t="str">
        <f>_xlfn.XLOOKUP(A226, PORTE!A:A, PORTE!B:B)</f>
        <v>11-50</v>
      </c>
      <c r="I226" t="str">
        <f>_xlfn.XLOOKUP(A226, OBJETIVO!A:A, OBJETIVO!B:B)</f>
        <v>Consultoria</v>
      </c>
      <c r="J226">
        <f t="shared" si="3"/>
        <v>0</v>
      </c>
    </row>
    <row r="227" spans="1:10" x14ac:dyDescent="0.25">
      <c r="A227">
        <v>11935099</v>
      </c>
      <c r="B227" s="1">
        <v>45756.731863425928</v>
      </c>
      <c r="C227" t="s">
        <v>0</v>
      </c>
      <c r="D227" t="str">
        <f>VLOOKUP(A227,MERCADO!A:B,2,0)</f>
        <v>Franqueadora</v>
      </c>
      <c r="E227" t="str">
        <f>_xlfn.XLOOKUP(A227, ORIGEM!A:A, ORIGEM!B:B)</f>
        <v>email</v>
      </c>
      <c r="F227">
        <f>_xlfn.XLOOKUP(A227, ORIGEM!A:A, ORIGEM!C:C)</f>
        <v>0</v>
      </c>
      <c r="G227" t="str">
        <f>_xlfn.XLOOKUP(A227, LOCAL!A:A, LOCAL!B:B)</f>
        <v>São Paulo</v>
      </c>
      <c r="H227" t="str">
        <f>_xlfn.XLOOKUP(A227, PORTE!A:A, PORTE!B:B)</f>
        <v>1-10</v>
      </c>
      <c r="I227" t="str">
        <f>_xlfn.XLOOKUP(A227, OBJETIVO!A:A, OBJETIVO!B:B)</f>
        <v>Planejamento estratégico</v>
      </c>
      <c r="J227">
        <f t="shared" si="3"/>
        <v>0</v>
      </c>
    </row>
    <row r="228" spans="1:10" x14ac:dyDescent="0.25">
      <c r="A228">
        <v>11987935</v>
      </c>
      <c r="B228" s="1">
        <v>45761.644791666666</v>
      </c>
      <c r="C228" t="s">
        <v>0</v>
      </c>
      <c r="D228" t="str">
        <f>VLOOKUP(A228,MERCADO!A:B,2,0)</f>
        <v>Franqueadora</v>
      </c>
      <c r="E228" t="str">
        <f>_xlfn.XLOOKUP(A228, ORIGEM!A:A, ORIGEM!B:B)</f>
        <v>email</v>
      </c>
      <c r="F228">
        <f>_xlfn.XLOOKUP(A228, ORIGEM!A:A, ORIGEM!C:C)</f>
        <v>0</v>
      </c>
      <c r="G228" t="str">
        <f>_xlfn.XLOOKUP(A228, LOCAL!A:A, LOCAL!B:B)</f>
        <v>Porto alegre - RS</v>
      </c>
      <c r="H228" t="str">
        <f>_xlfn.XLOOKUP(A228, PORTE!A:A, PORTE!B:B)</f>
        <v>11-50</v>
      </c>
      <c r="I228" t="str">
        <f>_xlfn.XLOOKUP(A228, OBJETIVO!A:A, OBJETIVO!B:B)</f>
        <v>Planejamento estratégico</v>
      </c>
      <c r="J228">
        <f t="shared" si="3"/>
        <v>0</v>
      </c>
    </row>
    <row r="229" spans="1:10" x14ac:dyDescent="0.25">
      <c r="A229">
        <v>11073787</v>
      </c>
      <c r="B229" s="1">
        <v>45678.675069444442</v>
      </c>
      <c r="C229" t="s">
        <v>0</v>
      </c>
      <c r="D229" t="str">
        <f>VLOOKUP(A229,MERCADO!A:B,2,0)</f>
        <v>Franqueadora</v>
      </c>
      <c r="E229" t="str">
        <f>_xlfn.XLOOKUP(A229, ORIGEM!A:A, ORIGEM!B:B)</f>
        <v>Orgânico</v>
      </c>
      <c r="F229">
        <f>_xlfn.XLOOKUP(A229, ORIGEM!A:A, ORIGEM!C:C)</f>
        <v>0</v>
      </c>
      <c r="G229" t="str">
        <f>_xlfn.XLOOKUP(A229, LOCAL!A:A, LOCAL!B:B)</f>
        <v>Aracaju - SE</v>
      </c>
      <c r="H229" t="str">
        <f>_xlfn.XLOOKUP(A229, PORTE!A:A, PORTE!B:B)</f>
        <v>51-300</v>
      </c>
      <c r="I229" t="str">
        <f>_xlfn.XLOOKUP(A229, OBJETIVO!A:A, OBJETIVO!B:B)</f>
        <v>Geração de leads b2b</v>
      </c>
      <c r="J229">
        <f t="shared" si="3"/>
        <v>0</v>
      </c>
    </row>
    <row r="230" spans="1:10" x14ac:dyDescent="0.25">
      <c r="A230">
        <v>11283975</v>
      </c>
      <c r="B230" s="1">
        <v>45696.638506944444</v>
      </c>
      <c r="C230" t="s">
        <v>0</v>
      </c>
      <c r="D230" t="str">
        <f>VLOOKUP(A230,MERCADO!A:B,2,0)</f>
        <v>Empreendedor</v>
      </c>
      <c r="E230" t="str">
        <f>_xlfn.XLOOKUP(A230, ORIGEM!A:A, ORIGEM!B:B)</f>
        <v>Bing</v>
      </c>
      <c r="F230" t="str">
        <f>_xlfn.XLOOKUP(A230, ORIGEM!A:A, ORIGEM!C:C)</f>
        <v>bing - cpc</v>
      </c>
      <c r="G230" t="str">
        <f>_xlfn.XLOOKUP(A230, LOCAL!A:A, LOCAL!B:B)</f>
        <v>Niterói - RJ</v>
      </c>
      <c r="H230" t="str">
        <f>_xlfn.XLOOKUP(A230, PORTE!A:A, PORTE!B:B)</f>
        <v>0</v>
      </c>
      <c r="I230" t="str">
        <f>_xlfn.XLOOKUP(A230, OBJETIVO!A:A, OBJETIVO!B:B)</f>
        <v>Abertura/Expansão</v>
      </c>
      <c r="J230">
        <f t="shared" si="3"/>
        <v>0</v>
      </c>
    </row>
    <row r="231" spans="1:10" x14ac:dyDescent="0.25">
      <c r="A231">
        <v>11990546</v>
      </c>
      <c r="B231" s="1">
        <v>45761.717604166668</v>
      </c>
      <c r="C231" t="s">
        <v>0</v>
      </c>
      <c r="D231" t="str">
        <f>VLOOKUP(A231,MERCADO!A:B,2,0)</f>
        <v>Empreendedor</v>
      </c>
      <c r="E231" t="str">
        <f>_xlfn.XLOOKUP(A231, ORIGEM!A:A, ORIGEM!B:B)</f>
        <v>Google</v>
      </c>
      <c r="F231">
        <f>_xlfn.XLOOKUP(A231, ORIGEM!A:A, ORIGEM!C:C)</f>
        <v>0</v>
      </c>
      <c r="G231" t="str">
        <f>_xlfn.XLOOKUP(A231, LOCAL!A:A, LOCAL!B:B)</f>
        <v>Goiânia - GO</v>
      </c>
      <c r="H231" t="str">
        <f>_xlfn.XLOOKUP(A231, PORTE!A:A, PORTE!B:B)</f>
        <v>1-10</v>
      </c>
      <c r="I231" t="str">
        <f>_xlfn.XLOOKUP(A231, OBJETIVO!A:A, OBJETIVO!B:B)</f>
        <v>Abertura/Expansão</v>
      </c>
      <c r="J231">
        <f t="shared" si="3"/>
        <v>0</v>
      </c>
    </row>
    <row r="232" spans="1:10" x14ac:dyDescent="0.25">
      <c r="A232">
        <v>10701133</v>
      </c>
      <c r="B232" s="1">
        <v>45637.843275462961</v>
      </c>
      <c r="C232" t="s">
        <v>0</v>
      </c>
      <c r="D232" t="str">
        <f>VLOOKUP(A232,MERCADO!A:B,2,0)</f>
        <v>Industria</v>
      </c>
      <c r="E232" t="str">
        <f>_xlfn.XLOOKUP(A232, ORIGEM!A:A, ORIGEM!B:B)</f>
        <v>Google</v>
      </c>
      <c r="F232" t="str">
        <f>_xlfn.XLOOKUP(A232, ORIGEM!A:A, ORIGEM!C:C)</f>
        <v>google - cpc</v>
      </c>
      <c r="G232" t="str">
        <f>_xlfn.XLOOKUP(A232, LOCAL!A:A, LOCAL!B:B)</f>
        <v>Rio de Janeiro - RJ</v>
      </c>
      <c r="H232" t="str">
        <f>_xlfn.XLOOKUP(A232, PORTE!A:A, PORTE!B:B)</f>
        <v>51-300</v>
      </c>
      <c r="I232" t="str">
        <f>_xlfn.XLOOKUP(A232, OBJETIVO!A:A, OBJETIVO!B:B)</f>
        <v>Planejamento estratégico</v>
      </c>
      <c r="J232">
        <f t="shared" si="3"/>
        <v>0</v>
      </c>
    </row>
    <row r="233" spans="1:10" x14ac:dyDescent="0.25">
      <c r="A233">
        <v>11559670</v>
      </c>
      <c r="B233" s="1">
        <v>45722.847071759257</v>
      </c>
      <c r="C233" t="s">
        <v>0</v>
      </c>
      <c r="D233" t="str">
        <f>VLOOKUP(A233,MERCADO!A:B,2,0)</f>
        <v>Empreendedor</v>
      </c>
      <c r="E233" t="str">
        <f>_xlfn.XLOOKUP(A233, ORIGEM!A:A, ORIGEM!B:B)</f>
        <v>Facebook</v>
      </c>
      <c r="F233" t="str">
        <f>_xlfn.XLOOKUP(A233, ORIGEM!A:A, ORIGEM!C:C)</f>
        <v>facebook - cpc</v>
      </c>
      <c r="G233" t="str">
        <f>_xlfn.XLOOKUP(A233, LOCAL!A:A, LOCAL!B:B)</f>
        <v>Brasília - DF</v>
      </c>
      <c r="H233" t="str">
        <f>_xlfn.XLOOKUP(A233, PORTE!A:A, PORTE!B:B)</f>
        <v>1-10</v>
      </c>
      <c r="I233" t="str">
        <f>_xlfn.XLOOKUP(A233, OBJETIVO!A:A, OBJETIVO!B:B)</f>
        <v>Abertura/Expansão</v>
      </c>
      <c r="J233">
        <f t="shared" si="3"/>
        <v>0</v>
      </c>
    </row>
    <row r="234" spans="1:10" x14ac:dyDescent="0.25">
      <c r="A234">
        <v>11344552</v>
      </c>
      <c r="B234" s="1">
        <v>45701.515567129631</v>
      </c>
      <c r="C234" t="s">
        <v>0</v>
      </c>
      <c r="D234" t="str">
        <f>VLOOKUP(A234,MERCADO!A:B,2,0)</f>
        <v>Empreendedor</v>
      </c>
      <c r="E234" t="str">
        <f>_xlfn.XLOOKUP(A234, ORIGEM!A:A, ORIGEM!B:B)</f>
        <v>Facebook</v>
      </c>
      <c r="F234" t="str">
        <f>_xlfn.XLOOKUP(A234, ORIGEM!A:A, ORIGEM!C:C)</f>
        <v>facebook - cpc</v>
      </c>
      <c r="G234" t="str">
        <f>_xlfn.XLOOKUP(A234, LOCAL!A:A, LOCAL!B:B)</f>
        <v>Belo Horizonte - MG</v>
      </c>
      <c r="H234" t="str">
        <f>_xlfn.XLOOKUP(A234, PORTE!A:A, PORTE!B:B)</f>
        <v>0</v>
      </c>
      <c r="I234" t="str">
        <f>_xlfn.XLOOKUP(A234, OBJETIVO!A:A, OBJETIVO!B:B)</f>
        <v>Ações de marketing/vendas</v>
      </c>
      <c r="J234">
        <f t="shared" si="3"/>
        <v>0</v>
      </c>
    </row>
    <row r="235" spans="1:10" x14ac:dyDescent="0.25">
      <c r="A235">
        <v>11420587</v>
      </c>
      <c r="B235" s="1">
        <v>45710.589282407411</v>
      </c>
      <c r="C235" t="s">
        <v>0</v>
      </c>
      <c r="D235" t="str">
        <f>VLOOKUP(A235,MERCADO!A:B,2,0)</f>
        <v>Empreendedor</v>
      </c>
      <c r="E235" t="str">
        <f>_xlfn.XLOOKUP(A235, ORIGEM!A:A, ORIGEM!B:B)</f>
        <v>Orgânico</v>
      </c>
      <c r="F235">
        <f>_xlfn.XLOOKUP(A235, ORIGEM!A:A, ORIGEM!C:C)</f>
        <v>0</v>
      </c>
      <c r="G235" t="str">
        <f>_xlfn.XLOOKUP(A235, LOCAL!A:A, LOCAL!B:B)</f>
        <v>São Paulo - SP</v>
      </c>
      <c r="H235" t="str">
        <f>_xlfn.XLOOKUP(A235, PORTE!A:A, PORTE!B:B)</f>
        <v>1-10</v>
      </c>
      <c r="I235" t="str">
        <f>_xlfn.XLOOKUP(A235, OBJETIVO!A:A, OBJETIVO!B:B)</f>
        <v>Abertura/Expansão</v>
      </c>
      <c r="J235">
        <f t="shared" si="3"/>
        <v>0</v>
      </c>
    </row>
    <row r="236" spans="1:10" x14ac:dyDescent="0.25">
      <c r="A236">
        <v>11769401</v>
      </c>
      <c r="B236" s="1">
        <v>45741.862951388888</v>
      </c>
      <c r="C236" t="s">
        <v>0</v>
      </c>
      <c r="D236" t="str">
        <f>VLOOKUP(A236,MERCADO!A:B,2,0)</f>
        <v>Servicos</v>
      </c>
      <c r="E236" t="str">
        <f>_xlfn.XLOOKUP(A236, ORIGEM!A:A, ORIGEM!B:B)</f>
        <v>Google</v>
      </c>
      <c r="F236" t="str">
        <f>_xlfn.XLOOKUP(A236, ORIGEM!A:A, ORIGEM!C:C)</f>
        <v>google - cpc</v>
      </c>
      <c r="G236" t="str">
        <f>_xlfn.XLOOKUP(A236, LOCAL!A:A, LOCAL!B:B)</f>
        <v>Brasília - DF</v>
      </c>
      <c r="H236" t="str">
        <f>_xlfn.XLOOKUP(A236, PORTE!A:A, PORTE!B:B)</f>
        <v>11-50</v>
      </c>
      <c r="I236" t="str">
        <f>_xlfn.XLOOKUP(A236, OBJETIVO!A:A, OBJETIVO!B:B)</f>
        <v>Abertura/Expansão</v>
      </c>
      <c r="J236">
        <f t="shared" si="3"/>
        <v>0</v>
      </c>
    </row>
    <row r="237" spans="1:10" x14ac:dyDescent="0.25">
      <c r="A237">
        <v>11959243</v>
      </c>
      <c r="B237" s="1">
        <v>45759.791261574072</v>
      </c>
      <c r="C237" t="s">
        <v>0</v>
      </c>
      <c r="D237" t="str">
        <f>VLOOKUP(A237,MERCADO!A:B,2,0)</f>
        <v>Imobiliaria/Incorporadora/Construtora</v>
      </c>
      <c r="E237" t="str">
        <f>_xlfn.XLOOKUP(A237, ORIGEM!A:A, ORIGEM!B:B)</f>
        <v>Bing</v>
      </c>
      <c r="F237" t="str">
        <f>_xlfn.XLOOKUP(A237, ORIGEM!A:A, ORIGEM!C:C)</f>
        <v>bing - cpc</v>
      </c>
      <c r="G237" t="str">
        <f>_xlfn.XLOOKUP(A237, LOCAL!A:A, LOCAL!B:B)</f>
        <v>Rio de Janeiro - RJ</v>
      </c>
      <c r="H237" t="str">
        <f>_xlfn.XLOOKUP(A237, PORTE!A:A, PORTE!B:B)</f>
        <v>0</v>
      </c>
      <c r="I237" t="str">
        <f>_xlfn.XLOOKUP(A237, OBJETIVO!A:A, OBJETIVO!B:B)</f>
        <v>Consultoria</v>
      </c>
      <c r="J237">
        <f t="shared" si="3"/>
        <v>0</v>
      </c>
    </row>
    <row r="238" spans="1:10" x14ac:dyDescent="0.25">
      <c r="A238">
        <v>11865927</v>
      </c>
      <c r="B238" s="1">
        <v>45752.484027777777</v>
      </c>
      <c r="C238" t="s">
        <v>0</v>
      </c>
      <c r="D238" t="str">
        <f>VLOOKUP(A238,MERCADO!A:B,2,0)</f>
        <v>Marketing/Publicidade/Consultoria</v>
      </c>
      <c r="E238" t="str">
        <f>_xlfn.XLOOKUP(A238, ORIGEM!A:A, ORIGEM!B:B)</f>
        <v>Orgânico</v>
      </c>
      <c r="F238">
        <f>_xlfn.XLOOKUP(A238, ORIGEM!A:A, ORIGEM!C:C)</f>
        <v>0</v>
      </c>
      <c r="G238" t="str">
        <f>_xlfn.XLOOKUP(A238, LOCAL!A:A, LOCAL!B:B)</f>
        <v>Maringá - PR</v>
      </c>
      <c r="H238" t="str">
        <f>_xlfn.XLOOKUP(A238, PORTE!A:A, PORTE!B:B)</f>
        <v>11-50</v>
      </c>
      <c r="I238" t="str">
        <f>_xlfn.XLOOKUP(A238, OBJETIVO!A:A, OBJETIVO!B:B)</f>
        <v>Geração de leads b2b</v>
      </c>
      <c r="J238">
        <f t="shared" si="3"/>
        <v>0</v>
      </c>
    </row>
    <row r="239" spans="1:10" x14ac:dyDescent="0.25">
      <c r="A239">
        <v>11033824</v>
      </c>
      <c r="B239" s="1">
        <v>45676.437083333331</v>
      </c>
      <c r="C239" t="s">
        <v>0</v>
      </c>
      <c r="D239" t="str">
        <f>VLOOKUP(A239,MERCADO!A:B,2,0)</f>
        <v>Marketing/Publicidade/Consultoria</v>
      </c>
      <c r="E239" t="str">
        <f>_xlfn.XLOOKUP(A239, ORIGEM!A:A, ORIGEM!B:B)</f>
        <v>Orgânico</v>
      </c>
      <c r="F239">
        <f>_xlfn.XLOOKUP(A239, ORIGEM!A:A, ORIGEM!C:C)</f>
        <v>0</v>
      </c>
      <c r="G239" t="str">
        <f>_xlfn.XLOOKUP(A239, LOCAL!A:A, LOCAL!B:B)</f>
        <v>São Paulo, SP</v>
      </c>
      <c r="H239" t="str">
        <f>_xlfn.XLOOKUP(A239, PORTE!A:A, PORTE!B:B)</f>
        <v>+ 1000</v>
      </c>
      <c r="I239" t="str">
        <f>_xlfn.XLOOKUP(A239, OBJETIVO!A:A, OBJETIVO!B:B)</f>
        <v>Planejamento estratégico</v>
      </c>
      <c r="J239">
        <f t="shared" si="3"/>
        <v>0</v>
      </c>
    </row>
    <row r="240" spans="1:10" x14ac:dyDescent="0.25">
      <c r="A240">
        <v>11568457</v>
      </c>
      <c r="B240" s="1">
        <v>45724.492951388886</v>
      </c>
      <c r="C240" t="s">
        <v>0</v>
      </c>
      <c r="D240" t="str">
        <f>VLOOKUP(A240,MERCADO!A:B,2,0)</f>
        <v>Marketing/Publicidade/Consultoria</v>
      </c>
      <c r="E240" t="str">
        <f>_xlfn.XLOOKUP(A240, ORIGEM!A:A, ORIGEM!B:B)</f>
        <v>Orgânico</v>
      </c>
      <c r="F240">
        <f>_xlfn.XLOOKUP(A240, ORIGEM!A:A, ORIGEM!C:C)</f>
        <v>0</v>
      </c>
      <c r="G240" t="str">
        <f>_xlfn.XLOOKUP(A240, LOCAL!A:A, LOCAL!B:B)</f>
        <v>Curitiba - PR</v>
      </c>
      <c r="H240" t="str">
        <f>_xlfn.XLOOKUP(A240, PORTE!A:A, PORTE!B:B)</f>
        <v>51-300</v>
      </c>
      <c r="I240" t="str">
        <f>_xlfn.XLOOKUP(A240, OBJETIVO!A:A, OBJETIVO!B:B)</f>
        <v>Ações de marketing/vendas</v>
      </c>
      <c r="J240">
        <f t="shared" si="3"/>
        <v>0</v>
      </c>
    </row>
    <row r="241" spans="1:10" x14ac:dyDescent="0.25">
      <c r="A241">
        <v>11745835</v>
      </c>
      <c r="B241" s="1">
        <v>45740.570543981485</v>
      </c>
      <c r="C241" t="s">
        <v>0</v>
      </c>
      <c r="D241" t="str">
        <f>VLOOKUP(A241,MERCADO!A:B,2,0)</f>
        <v>Servicos</v>
      </c>
      <c r="E241" t="str">
        <f>_xlfn.XLOOKUP(A241, ORIGEM!A:A, ORIGEM!B:B)</f>
        <v>Google</v>
      </c>
      <c r="F241">
        <f>_xlfn.XLOOKUP(A241, ORIGEM!A:A, ORIGEM!C:C)</f>
        <v>0</v>
      </c>
      <c r="G241" t="str">
        <f>_xlfn.XLOOKUP(A241, LOCAL!A:A, LOCAL!B:B)</f>
        <v>-</v>
      </c>
      <c r="H241" t="str">
        <f>_xlfn.XLOOKUP(A241, PORTE!A:A, PORTE!B:B)</f>
        <v>1-10</v>
      </c>
      <c r="I241" t="str">
        <f>_xlfn.XLOOKUP(A241, OBJETIVO!A:A, OBJETIVO!B:B)</f>
        <v>Abertura/Expansão</v>
      </c>
      <c r="J241">
        <f t="shared" si="3"/>
        <v>0</v>
      </c>
    </row>
    <row r="242" spans="1:10" x14ac:dyDescent="0.25">
      <c r="A242">
        <v>11368232</v>
      </c>
      <c r="B242" s="1">
        <v>45704.657407407409</v>
      </c>
      <c r="C242" t="s">
        <v>0</v>
      </c>
      <c r="D242" t="str">
        <f>VLOOKUP(A242,MERCADO!A:B,2,0)</f>
        <v>Servicos</v>
      </c>
      <c r="E242" t="str">
        <f>_xlfn.XLOOKUP(A242, ORIGEM!A:A, ORIGEM!B:B)</f>
        <v>Google</v>
      </c>
      <c r="F242" t="str">
        <f>_xlfn.XLOOKUP(A242, ORIGEM!A:A, ORIGEM!C:C)</f>
        <v>google - cpc</v>
      </c>
      <c r="G242" t="str">
        <f>_xlfn.XLOOKUP(A242, LOCAL!A:A, LOCAL!B:B)</f>
        <v>São Carlos - SP</v>
      </c>
      <c r="H242" t="str">
        <f>_xlfn.XLOOKUP(A242, PORTE!A:A, PORTE!B:B)</f>
        <v>1-10</v>
      </c>
      <c r="I242" t="str">
        <f>_xlfn.XLOOKUP(A242, OBJETIVO!A:A, OBJETIVO!B:B)</f>
        <v>Geração de leads b2b</v>
      </c>
      <c r="J242">
        <f t="shared" si="3"/>
        <v>0</v>
      </c>
    </row>
    <row r="243" spans="1:10" x14ac:dyDescent="0.25">
      <c r="A243">
        <v>11741144</v>
      </c>
      <c r="B243" s="1">
        <v>45740.437604166669</v>
      </c>
      <c r="C243" t="s">
        <v>0</v>
      </c>
      <c r="D243" t="str">
        <f>VLOOKUP(A243,MERCADO!A:B,2,0)</f>
        <v>Servicos</v>
      </c>
      <c r="E243" t="str">
        <f>_xlfn.XLOOKUP(A243, ORIGEM!A:A, ORIGEM!B:B)</f>
        <v>email</v>
      </c>
      <c r="F243">
        <f>_xlfn.XLOOKUP(A243, ORIGEM!A:A, ORIGEM!C:C)</f>
        <v>0</v>
      </c>
      <c r="G243" t="str">
        <f>_xlfn.XLOOKUP(A243, LOCAL!A:A, LOCAL!B:B)</f>
        <v>São Paulo</v>
      </c>
      <c r="H243" t="str">
        <f>_xlfn.XLOOKUP(A243, PORTE!A:A, PORTE!B:B)</f>
        <v>1-10</v>
      </c>
      <c r="I243" t="str">
        <f>_xlfn.XLOOKUP(A243, OBJETIVO!A:A, OBJETIVO!B:B)</f>
        <v>Abertura/Expansão</v>
      </c>
      <c r="J243">
        <f t="shared" si="3"/>
        <v>0</v>
      </c>
    </row>
    <row r="244" spans="1:10" x14ac:dyDescent="0.25">
      <c r="A244">
        <v>11558233</v>
      </c>
      <c r="B244" s="1">
        <v>45722.27238425926</v>
      </c>
      <c r="C244" t="s">
        <v>0</v>
      </c>
      <c r="D244" t="str">
        <f>VLOOKUP(A244,MERCADO!A:B,2,0)</f>
        <v>Servicos</v>
      </c>
      <c r="E244" t="str">
        <f>_xlfn.XLOOKUP(A244, ORIGEM!A:A, ORIGEM!B:B)</f>
        <v>Facebook</v>
      </c>
      <c r="F244" t="str">
        <f>_xlfn.XLOOKUP(A244, ORIGEM!A:A, ORIGEM!C:C)</f>
        <v>facebook - cpc</v>
      </c>
      <c r="G244" t="str">
        <f>_xlfn.XLOOKUP(A244, LOCAL!A:A, LOCAL!B:B)</f>
        <v>Arcoverde - PE</v>
      </c>
      <c r="H244" t="str">
        <f>_xlfn.XLOOKUP(A244, PORTE!A:A, PORTE!B:B)</f>
        <v>11-50</v>
      </c>
      <c r="I244" t="str">
        <f>_xlfn.XLOOKUP(A244, OBJETIVO!A:A, OBJETIVO!B:B)</f>
        <v>Abertura/Expansão</v>
      </c>
      <c r="J244">
        <f t="shared" si="3"/>
        <v>0</v>
      </c>
    </row>
    <row r="245" spans="1:10" x14ac:dyDescent="0.25">
      <c r="A245">
        <v>11826657</v>
      </c>
      <c r="B245" s="1">
        <v>45746.752233796295</v>
      </c>
      <c r="C245" t="s">
        <v>0</v>
      </c>
      <c r="D245" t="str">
        <f>VLOOKUP(A245,MERCADO!A:B,2,0)</f>
        <v>Industria</v>
      </c>
      <c r="E245" t="str">
        <f>_xlfn.XLOOKUP(A245, ORIGEM!A:A, ORIGEM!B:B)</f>
        <v>Orgânico</v>
      </c>
      <c r="F245">
        <f>_xlfn.XLOOKUP(A245, ORIGEM!A:A, ORIGEM!C:C)</f>
        <v>0</v>
      </c>
      <c r="G245" t="str">
        <f>_xlfn.XLOOKUP(A245, LOCAL!A:A, LOCAL!B:B)</f>
        <v>Santo André - SP</v>
      </c>
      <c r="H245" t="str">
        <f>_xlfn.XLOOKUP(A245, PORTE!A:A, PORTE!B:B)</f>
        <v>301-1000</v>
      </c>
      <c r="I245" t="str">
        <f>_xlfn.XLOOKUP(A245, OBJETIVO!A:A, OBJETIVO!B:B)</f>
        <v>Planejamento estratégico</v>
      </c>
      <c r="J245">
        <f t="shared" si="3"/>
        <v>0</v>
      </c>
    </row>
    <row r="246" spans="1:10" x14ac:dyDescent="0.25">
      <c r="A246">
        <v>11873425</v>
      </c>
      <c r="B246" s="1">
        <v>45752.777233796296</v>
      </c>
      <c r="C246" t="s">
        <v>0</v>
      </c>
      <c r="D246" t="str">
        <f>VLOOKUP(A246,MERCADO!A:B,2,0)</f>
        <v>Tecnologia</v>
      </c>
      <c r="E246" t="str">
        <f>_xlfn.XLOOKUP(A246, ORIGEM!A:A, ORIGEM!B:B)</f>
        <v>Bing</v>
      </c>
      <c r="F246" t="str">
        <f>_xlfn.XLOOKUP(A246, ORIGEM!A:A, ORIGEM!C:C)</f>
        <v>bing - cpc</v>
      </c>
      <c r="G246" t="str">
        <f>_xlfn.XLOOKUP(A246, LOCAL!A:A, LOCAL!B:B)</f>
        <v>Fortaleza - CE</v>
      </c>
      <c r="H246" t="str">
        <f>_xlfn.XLOOKUP(A246, PORTE!A:A, PORTE!B:B)</f>
        <v>11-50</v>
      </c>
      <c r="I246" t="str">
        <f>_xlfn.XLOOKUP(A246, OBJETIVO!A:A, OBJETIVO!B:B)</f>
        <v>Abertura/Expansão</v>
      </c>
      <c r="J246">
        <f t="shared" si="3"/>
        <v>0</v>
      </c>
    </row>
    <row r="247" spans="1:10" x14ac:dyDescent="0.25">
      <c r="A247">
        <v>11598371</v>
      </c>
      <c r="B247" s="1">
        <v>45726.457291666666</v>
      </c>
      <c r="C247" t="s">
        <v>0</v>
      </c>
      <c r="D247" t="str">
        <f>VLOOKUP(A247,MERCADO!A:B,2,0)</f>
        <v>Marketing/Publicidade/Consultoria</v>
      </c>
      <c r="E247" t="str">
        <f>_xlfn.XLOOKUP(A247, ORIGEM!A:A, ORIGEM!B:B)</f>
        <v>Google</v>
      </c>
      <c r="F247">
        <f>_xlfn.XLOOKUP(A247, ORIGEM!A:A, ORIGEM!C:C)</f>
        <v>0</v>
      </c>
      <c r="G247" t="str">
        <f>_xlfn.XLOOKUP(A247, LOCAL!A:A, LOCAL!B:B)</f>
        <v>-</v>
      </c>
      <c r="H247" t="str">
        <f>_xlfn.XLOOKUP(A247, PORTE!A:A, PORTE!B:B)</f>
        <v>1-10</v>
      </c>
      <c r="I247" t="str">
        <f>_xlfn.XLOOKUP(A247, OBJETIVO!A:A, OBJETIVO!B:B)</f>
        <v>Abertura/Expansão</v>
      </c>
      <c r="J247">
        <f t="shared" si="3"/>
        <v>0</v>
      </c>
    </row>
    <row r="248" spans="1:10" x14ac:dyDescent="0.25">
      <c r="A248">
        <v>11884177</v>
      </c>
      <c r="B248" s="1">
        <v>45753.595833333333</v>
      </c>
      <c r="C248" t="s">
        <v>0</v>
      </c>
      <c r="D248" t="str">
        <f>VLOOKUP(A248,MERCADO!A:B,2,0)</f>
        <v>Marketing/Publicidade/Consultoria</v>
      </c>
      <c r="E248" t="str">
        <f>_xlfn.XLOOKUP(A248, ORIGEM!A:A, ORIGEM!B:B)</f>
        <v>email</v>
      </c>
      <c r="F248">
        <f>_xlfn.XLOOKUP(A248, ORIGEM!A:A, ORIGEM!C:C)</f>
        <v>0</v>
      </c>
      <c r="G248" t="str">
        <f>_xlfn.XLOOKUP(A248, LOCAL!A:A, LOCAL!B:B)</f>
        <v>Rio de Janeiro</v>
      </c>
      <c r="H248" t="str">
        <f>_xlfn.XLOOKUP(A248, PORTE!A:A, PORTE!B:B)</f>
        <v>51-300</v>
      </c>
      <c r="I248" t="str">
        <f>_xlfn.XLOOKUP(A248, OBJETIVO!A:A, OBJETIVO!B:B)</f>
        <v>Consultoria</v>
      </c>
      <c r="J248">
        <f t="shared" si="3"/>
        <v>0</v>
      </c>
    </row>
    <row r="249" spans="1:10" x14ac:dyDescent="0.25">
      <c r="A249">
        <v>12001071</v>
      </c>
      <c r="B249" s="1">
        <v>45762.590567129628</v>
      </c>
      <c r="C249" t="s">
        <v>0</v>
      </c>
      <c r="D249" t="str">
        <f>VLOOKUP(A249,MERCADO!A:B,2,0)</f>
        <v>Marketing/Publicidade/Consultoria</v>
      </c>
      <c r="E249" t="str">
        <f>_xlfn.XLOOKUP(A249, ORIGEM!A:A, ORIGEM!B:B)</f>
        <v>email</v>
      </c>
      <c r="F249">
        <f>_xlfn.XLOOKUP(A249, ORIGEM!A:A, ORIGEM!C:C)</f>
        <v>0</v>
      </c>
      <c r="G249" t="str">
        <f>_xlfn.XLOOKUP(A249, LOCAL!A:A, LOCAL!B:B)</f>
        <v>São Caetano do Sul - RS</v>
      </c>
      <c r="H249" t="str">
        <f>_xlfn.XLOOKUP(A249, PORTE!A:A, PORTE!B:B)</f>
        <v>1-10</v>
      </c>
      <c r="I249" t="str">
        <f>_xlfn.XLOOKUP(A249, OBJETIVO!A:A, OBJETIVO!B:B)</f>
        <v>Geração de leads b2b</v>
      </c>
      <c r="J249">
        <f t="shared" si="3"/>
        <v>0</v>
      </c>
    </row>
    <row r="250" spans="1:10" x14ac:dyDescent="0.25">
      <c r="A250">
        <v>12007688</v>
      </c>
      <c r="B250" s="1">
        <v>45762.995844907404</v>
      </c>
      <c r="C250" t="s">
        <v>0</v>
      </c>
      <c r="D250" t="str">
        <f>VLOOKUP(A250,MERCADO!A:B,2,0)</f>
        <v>Marketing/Publicidade/Consultoria</v>
      </c>
      <c r="E250" t="str">
        <f>_xlfn.XLOOKUP(A250, ORIGEM!A:A, ORIGEM!B:B)</f>
        <v>Google</v>
      </c>
      <c r="F250" t="str">
        <f>_xlfn.XLOOKUP(A250, ORIGEM!A:A, ORIGEM!C:C)</f>
        <v>google - cpc</v>
      </c>
      <c r="G250" t="str">
        <f>_xlfn.XLOOKUP(A250, LOCAL!A:A, LOCAL!B:B)</f>
        <v>Guarulhos - SP</v>
      </c>
      <c r="H250" t="str">
        <f>_xlfn.XLOOKUP(A250, PORTE!A:A, PORTE!B:B)</f>
        <v>11-50</v>
      </c>
      <c r="I250" t="str">
        <f>_xlfn.XLOOKUP(A250, OBJETIVO!A:A, OBJETIVO!B:B)</f>
        <v>Planejamento estratégico</v>
      </c>
      <c r="J250">
        <f t="shared" si="3"/>
        <v>0</v>
      </c>
    </row>
    <row r="251" spans="1:10" x14ac:dyDescent="0.25">
      <c r="A251">
        <v>11583377</v>
      </c>
      <c r="B251" s="1">
        <v>45725.475671296299</v>
      </c>
      <c r="C251" t="s">
        <v>0</v>
      </c>
      <c r="D251" t="str">
        <f>VLOOKUP(A251,MERCADO!A:B,2,0)</f>
        <v>Marketing/Publicidade/Consultoria</v>
      </c>
      <c r="E251" t="str">
        <f>_xlfn.XLOOKUP(A251, ORIGEM!A:A, ORIGEM!B:B)</f>
        <v>Bing</v>
      </c>
      <c r="F251" t="str">
        <f>_xlfn.XLOOKUP(A251, ORIGEM!A:A, ORIGEM!C:C)</f>
        <v>bing - cpc</v>
      </c>
      <c r="G251" t="str">
        <f>_xlfn.XLOOKUP(A251, LOCAL!A:A, LOCAL!B:B)</f>
        <v>Brasília - DF</v>
      </c>
      <c r="H251" t="str">
        <f>_xlfn.XLOOKUP(A251, PORTE!A:A, PORTE!B:B)</f>
        <v>1-10</v>
      </c>
      <c r="I251" t="str">
        <f>_xlfn.XLOOKUP(A251, OBJETIVO!A:A, OBJETIVO!B:B)</f>
        <v>Consultoria</v>
      </c>
      <c r="J251">
        <f t="shared" si="3"/>
        <v>0</v>
      </c>
    </row>
    <row r="252" spans="1:10" x14ac:dyDescent="0.25">
      <c r="A252">
        <v>11928126</v>
      </c>
      <c r="B252" s="1">
        <v>45756.453645833331</v>
      </c>
      <c r="C252" t="s">
        <v>0</v>
      </c>
      <c r="D252" t="str">
        <f>VLOOKUP(A252,MERCADO!A:B,2,0)</f>
        <v>Imobiliaria/Incorporadora/Construtora</v>
      </c>
      <c r="E252" t="str">
        <f>_xlfn.XLOOKUP(A252, ORIGEM!A:A, ORIGEM!B:B)</f>
        <v>Google</v>
      </c>
      <c r="F252">
        <f>_xlfn.XLOOKUP(A252, ORIGEM!A:A, ORIGEM!C:C)</f>
        <v>0</v>
      </c>
      <c r="G252" t="str">
        <f>_xlfn.XLOOKUP(A252, LOCAL!A:A, LOCAL!B:B)</f>
        <v>Belo Horizonte, Minas Gerais</v>
      </c>
      <c r="H252" t="str">
        <f>_xlfn.XLOOKUP(A252, PORTE!A:A, PORTE!B:B)</f>
        <v>51-300</v>
      </c>
      <c r="I252" t="str">
        <f>_xlfn.XLOOKUP(A252, OBJETIVO!A:A, OBJETIVO!B:B)</f>
        <v>Planejamento estratégico</v>
      </c>
      <c r="J252">
        <f t="shared" si="3"/>
        <v>0</v>
      </c>
    </row>
    <row r="253" spans="1:10" x14ac:dyDescent="0.25">
      <c r="A253">
        <v>11407842</v>
      </c>
      <c r="B253" s="1">
        <v>45708.728113425925</v>
      </c>
      <c r="C253" t="s">
        <v>0</v>
      </c>
      <c r="D253" t="str">
        <f>VLOOKUP(A253,MERCADO!A:B,2,0)</f>
        <v>Industria</v>
      </c>
      <c r="E253" t="str">
        <f>_xlfn.XLOOKUP(A253, ORIGEM!A:A, ORIGEM!B:B)</f>
        <v>Orgânico</v>
      </c>
      <c r="F253">
        <f>_xlfn.XLOOKUP(A253, ORIGEM!A:A, ORIGEM!C:C)</f>
        <v>0</v>
      </c>
      <c r="G253" t="str">
        <f>_xlfn.XLOOKUP(A253, LOCAL!A:A, LOCAL!B:B)</f>
        <v>Pontal do Parana - PR</v>
      </c>
      <c r="H253" t="str">
        <f>_xlfn.XLOOKUP(A253, PORTE!A:A, PORTE!B:B)</f>
        <v>1-10</v>
      </c>
      <c r="I253" t="str">
        <f>_xlfn.XLOOKUP(A253, OBJETIVO!A:A, OBJETIVO!B:B)</f>
        <v>Abertura/Expansão</v>
      </c>
      <c r="J253">
        <f t="shared" si="3"/>
        <v>0</v>
      </c>
    </row>
    <row r="254" spans="1:10" x14ac:dyDescent="0.25">
      <c r="A254">
        <v>11745625</v>
      </c>
      <c r="B254" s="1">
        <v>45740.566296296296</v>
      </c>
      <c r="C254" t="s">
        <v>0</v>
      </c>
      <c r="D254" t="str">
        <f>VLOOKUP(A254,MERCADO!A:B,2,0)</f>
        <v>Franqueadora</v>
      </c>
      <c r="E254" t="str">
        <f>_xlfn.XLOOKUP(A254, ORIGEM!A:A, ORIGEM!B:B)</f>
        <v>Google</v>
      </c>
      <c r="F254" t="str">
        <f>_xlfn.XLOOKUP(A254, ORIGEM!A:A, ORIGEM!C:C)</f>
        <v>google - cpc</v>
      </c>
      <c r="G254" t="str">
        <f>_xlfn.XLOOKUP(A254, LOCAL!A:A, LOCAL!B:B)</f>
        <v>Curitiba - PR</v>
      </c>
      <c r="H254" t="str">
        <f>_xlfn.XLOOKUP(A254, PORTE!A:A, PORTE!B:B)</f>
        <v>11-50</v>
      </c>
      <c r="I254" t="str">
        <f>_xlfn.XLOOKUP(A254, OBJETIVO!A:A, OBJETIVO!B:B)</f>
        <v>Abertura/Expansão</v>
      </c>
      <c r="J254">
        <f t="shared" si="3"/>
        <v>0</v>
      </c>
    </row>
    <row r="255" spans="1:10" x14ac:dyDescent="0.25">
      <c r="A255">
        <v>11969099</v>
      </c>
      <c r="B255" s="1">
        <v>45760.604409722226</v>
      </c>
      <c r="C255" t="s">
        <v>0</v>
      </c>
      <c r="D255" t="str">
        <f>VLOOKUP(A255,MERCADO!A:B,2,0)</f>
        <v>Servicos</v>
      </c>
      <c r="E255" t="str">
        <f>_xlfn.XLOOKUP(A255, ORIGEM!A:A, ORIGEM!B:B)</f>
        <v>Orgânico</v>
      </c>
      <c r="F255">
        <f>_xlfn.XLOOKUP(A255, ORIGEM!A:A, ORIGEM!C:C)</f>
        <v>0</v>
      </c>
      <c r="G255" t="str">
        <f>_xlfn.XLOOKUP(A255, LOCAL!A:A, LOCAL!B:B)</f>
        <v>Rio de Janeiro, RJ</v>
      </c>
      <c r="H255" t="str">
        <f>_xlfn.XLOOKUP(A255, PORTE!A:A, PORTE!B:B)</f>
        <v>1-10</v>
      </c>
      <c r="I255" t="str">
        <f>_xlfn.XLOOKUP(A255, OBJETIVO!A:A, OBJETIVO!B:B)</f>
        <v>Ações de marketing/vendas</v>
      </c>
      <c r="J255">
        <f t="shared" si="3"/>
        <v>0</v>
      </c>
    </row>
    <row r="256" spans="1:10" x14ac:dyDescent="0.25">
      <c r="A256">
        <v>11557524</v>
      </c>
      <c r="B256" s="1">
        <v>45721.886157407411</v>
      </c>
      <c r="C256" t="s">
        <v>0</v>
      </c>
      <c r="D256" t="str">
        <f>VLOOKUP(A256,MERCADO!A:B,2,0)</f>
        <v>Marketing/Publicidade/Consultoria</v>
      </c>
      <c r="E256" t="str">
        <f>_xlfn.XLOOKUP(A256, ORIGEM!A:A, ORIGEM!B:B)</f>
        <v>Orgânico</v>
      </c>
      <c r="F256">
        <f>_xlfn.XLOOKUP(A256, ORIGEM!A:A, ORIGEM!C:C)</f>
        <v>0</v>
      </c>
      <c r="G256" t="str">
        <f>_xlfn.XLOOKUP(A256, LOCAL!A:A, LOCAL!B:B)</f>
        <v>Natal - RN</v>
      </c>
      <c r="H256" t="str">
        <f>_xlfn.XLOOKUP(A256, PORTE!A:A, PORTE!B:B)</f>
        <v>1-10</v>
      </c>
      <c r="I256" t="str">
        <f>_xlfn.XLOOKUP(A256, OBJETIVO!A:A, OBJETIVO!B:B)</f>
        <v>Abertura/Expansão</v>
      </c>
      <c r="J256">
        <f t="shared" si="3"/>
        <v>0</v>
      </c>
    </row>
    <row r="257" spans="1:10" x14ac:dyDescent="0.25">
      <c r="A257">
        <v>11725724</v>
      </c>
      <c r="B257" s="1">
        <v>45738.927465277775</v>
      </c>
      <c r="C257" t="s">
        <v>0</v>
      </c>
      <c r="D257" t="str">
        <f>VLOOKUP(A257,MERCADO!A:B,2,0)</f>
        <v>Servicos</v>
      </c>
      <c r="E257" t="str">
        <f>_xlfn.XLOOKUP(A257, ORIGEM!A:A, ORIGEM!B:B)</f>
        <v>Orgânico</v>
      </c>
      <c r="F257">
        <f>_xlfn.XLOOKUP(A257, ORIGEM!A:A, ORIGEM!C:C)</f>
        <v>0</v>
      </c>
      <c r="G257" t="str">
        <f>_xlfn.XLOOKUP(A257, LOCAL!A:A, LOCAL!B:B)</f>
        <v>Passo Fundo - RS</v>
      </c>
      <c r="H257" t="str">
        <f>_xlfn.XLOOKUP(A257, PORTE!A:A, PORTE!B:B)</f>
        <v>+ 1000</v>
      </c>
      <c r="I257" t="str">
        <f>_xlfn.XLOOKUP(A257, OBJETIVO!A:A, OBJETIVO!B:B)</f>
        <v>Geração de leads b2b</v>
      </c>
      <c r="J257">
        <f t="shared" si="3"/>
        <v>0</v>
      </c>
    </row>
    <row r="258" spans="1:10" x14ac:dyDescent="0.25">
      <c r="A258">
        <v>11761662</v>
      </c>
      <c r="B258" s="1">
        <v>45741.657465277778</v>
      </c>
      <c r="C258" t="s">
        <v>0</v>
      </c>
      <c r="D258" t="str">
        <f>VLOOKUP(A258,MERCADO!A:B,2,0)</f>
        <v>Servicos</v>
      </c>
      <c r="E258" t="str">
        <f>_xlfn.XLOOKUP(A258, ORIGEM!A:A, ORIGEM!B:B)</f>
        <v>Google</v>
      </c>
      <c r="F258">
        <f>_xlfn.XLOOKUP(A258, ORIGEM!A:A, ORIGEM!C:C)</f>
        <v>0</v>
      </c>
      <c r="G258" t="str">
        <f>_xlfn.XLOOKUP(A258, LOCAL!A:A, LOCAL!B:B)</f>
        <v>Porto Alegre - RS</v>
      </c>
      <c r="H258" t="str">
        <f>_xlfn.XLOOKUP(A258, PORTE!A:A, PORTE!B:B)</f>
        <v>51-300</v>
      </c>
      <c r="I258" t="str">
        <f>_xlfn.XLOOKUP(A258, OBJETIVO!A:A, OBJETIVO!B:B)</f>
        <v>Planejamento estratégico</v>
      </c>
      <c r="J258">
        <f t="shared" si="3"/>
        <v>0</v>
      </c>
    </row>
    <row r="259" spans="1:10" x14ac:dyDescent="0.25">
      <c r="A259">
        <v>11564415</v>
      </c>
      <c r="B259" s="1">
        <v>45724.386238425926</v>
      </c>
      <c r="C259" t="s">
        <v>0</v>
      </c>
      <c r="D259" t="str">
        <f>VLOOKUP(A259,MERCADO!A:B,2,0)</f>
        <v>Imobiliaria/Incorporadora/Construtora</v>
      </c>
      <c r="E259" t="str">
        <f>_xlfn.XLOOKUP(A259, ORIGEM!A:A, ORIGEM!B:B)</f>
        <v>Linkedin</v>
      </c>
      <c r="F259" t="str">
        <f>_xlfn.XLOOKUP(A259, ORIGEM!A:A, ORIGEM!C:C)</f>
        <v>linkedin - cpc</v>
      </c>
      <c r="G259" t="str">
        <f>_xlfn.XLOOKUP(A259, LOCAL!A:A, LOCAL!B:B)</f>
        <v>São Paulo - SP</v>
      </c>
      <c r="H259" t="str">
        <f>_xlfn.XLOOKUP(A259, PORTE!A:A, PORTE!B:B)</f>
        <v>51-300</v>
      </c>
      <c r="I259" t="str">
        <f>_xlfn.XLOOKUP(A259, OBJETIVO!A:A, OBJETIVO!B:B)</f>
        <v>Outro</v>
      </c>
      <c r="J259">
        <f t="shared" ref="J259:J322" si="4">IF(C259="SIM",1,0)</f>
        <v>0</v>
      </c>
    </row>
    <row r="260" spans="1:10" x14ac:dyDescent="0.25">
      <c r="A260">
        <v>11920359</v>
      </c>
      <c r="B260" s="1">
        <v>45755.72378472222</v>
      </c>
      <c r="C260" t="s">
        <v>0</v>
      </c>
      <c r="D260" t="str">
        <f>VLOOKUP(A260,MERCADO!A:B,2,0)</f>
        <v>Servicos</v>
      </c>
      <c r="E260" t="str">
        <f>_xlfn.XLOOKUP(A260, ORIGEM!A:A, ORIGEM!B:B)</f>
        <v>Bing</v>
      </c>
      <c r="F260" t="str">
        <f>_xlfn.XLOOKUP(A260, ORIGEM!A:A, ORIGEM!C:C)</f>
        <v>bing - cpc</v>
      </c>
      <c r="G260" t="str">
        <f>_xlfn.XLOOKUP(A260, LOCAL!A:A, LOCAL!B:B)</f>
        <v>São Paulo - SP</v>
      </c>
      <c r="H260" t="str">
        <f>_xlfn.XLOOKUP(A260, PORTE!A:A, PORTE!B:B)</f>
        <v>+ 1000</v>
      </c>
      <c r="I260" t="str">
        <f>_xlfn.XLOOKUP(A260, OBJETIVO!A:A, OBJETIVO!B:B)</f>
        <v>Abertura/Expansão</v>
      </c>
      <c r="J260">
        <f t="shared" si="4"/>
        <v>0</v>
      </c>
    </row>
    <row r="261" spans="1:10" x14ac:dyDescent="0.25">
      <c r="A261">
        <v>11391217</v>
      </c>
      <c r="B261" s="1">
        <v>45706.640196759261</v>
      </c>
      <c r="C261" t="s">
        <v>0</v>
      </c>
      <c r="D261" t="str">
        <f>VLOOKUP(A261,MERCADO!A:B,2,0)</f>
        <v>Industria</v>
      </c>
      <c r="E261" t="str">
        <f>_xlfn.XLOOKUP(A261, ORIGEM!A:A, ORIGEM!B:B)</f>
        <v>Orgânico</v>
      </c>
      <c r="F261">
        <f>_xlfn.XLOOKUP(A261, ORIGEM!A:A, ORIGEM!C:C)</f>
        <v>0</v>
      </c>
      <c r="G261" t="str">
        <f>_xlfn.XLOOKUP(A261, LOCAL!A:A, LOCAL!B:B)</f>
        <v>São Paulo, SP</v>
      </c>
      <c r="H261" t="str">
        <f>_xlfn.XLOOKUP(A261, PORTE!A:A, PORTE!B:B)</f>
        <v>51-300</v>
      </c>
      <c r="I261" t="str">
        <f>_xlfn.XLOOKUP(A261, OBJETIVO!A:A, OBJETIVO!B:B)</f>
        <v>Planejamento estratégico</v>
      </c>
      <c r="J261">
        <f t="shared" si="4"/>
        <v>0</v>
      </c>
    </row>
    <row r="262" spans="1:10" x14ac:dyDescent="0.25">
      <c r="A262">
        <v>11428491</v>
      </c>
      <c r="B262" s="1">
        <v>45711.382175925923</v>
      </c>
      <c r="C262" t="s">
        <v>0</v>
      </c>
      <c r="D262" t="str">
        <f>VLOOKUP(A262,MERCADO!A:B,2,0)</f>
        <v>Varejo</v>
      </c>
      <c r="E262" t="str">
        <f>_xlfn.XLOOKUP(A262, ORIGEM!A:A, ORIGEM!B:B)</f>
        <v>Google</v>
      </c>
      <c r="F262" t="str">
        <f>_xlfn.XLOOKUP(A262, ORIGEM!A:A, ORIGEM!C:C)</f>
        <v>google - cpc</v>
      </c>
      <c r="G262" t="str">
        <f>_xlfn.XLOOKUP(A262, LOCAL!A:A, LOCAL!B:B)</f>
        <v>Campinas - SP</v>
      </c>
      <c r="H262" t="str">
        <f>_xlfn.XLOOKUP(A262, PORTE!A:A, PORTE!B:B)</f>
        <v>1-10</v>
      </c>
      <c r="I262" t="str">
        <f>_xlfn.XLOOKUP(A262, OBJETIVO!A:A, OBJETIVO!B:B)</f>
        <v>Ações de marketing/vendas</v>
      </c>
      <c r="J262">
        <f t="shared" si="4"/>
        <v>0</v>
      </c>
    </row>
    <row r="263" spans="1:10" x14ac:dyDescent="0.25">
      <c r="A263">
        <v>11009362</v>
      </c>
      <c r="B263" s="1">
        <v>45673.530289351853</v>
      </c>
      <c r="C263" t="s">
        <v>0</v>
      </c>
      <c r="D263" t="str">
        <f>VLOOKUP(A263,MERCADO!A:B,2,0)</f>
        <v>Empreendedor</v>
      </c>
      <c r="E263" t="str">
        <f>_xlfn.XLOOKUP(A263, ORIGEM!A:A, ORIGEM!B:B)</f>
        <v>Orgânico</v>
      </c>
      <c r="F263">
        <f>_xlfn.XLOOKUP(A263, ORIGEM!A:A, ORIGEM!C:C)</f>
        <v>0</v>
      </c>
      <c r="G263" t="str">
        <f>_xlfn.XLOOKUP(A263, LOCAL!A:A, LOCAL!B:B)</f>
        <v>Ibiuna - SP</v>
      </c>
      <c r="H263" t="str">
        <f>_xlfn.XLOOKUP(A263, PORTE!A:A, PORTE!B:B)</f>
        <v>1-10</v>
      </c>
      <c r="I263" t="str">
        <f>_xlfn.XLOOKUP(A263, OBJETIVO!A:A, OBJETIVO!B:B)</f>
        <v>Abertura/Expansão</v>
      </c>
      <c r="J263">
        <f t="shared" si="4"/>
        <v>0</v>
      </c>
    </row>
    <row r="264" spans="1:10" x14ac:dyDescent="0.25">
      <c r="A264">
        <v>11920631</v>
      </c>
      <c r="B264" s="1">
        <v>45755.737650462965</v>
      </c>
      <c r="C264" t="s">
        <v>0</v>
      </c>
      <c r="D264" t="str">
        <f>VLOOKUP(A264,MERCADO!A:B,2,0)</f>
        <v>Varejo</v>
      </c>
      <c r="E264" t="str">
        <f>_xlfn.XLOOKUP(A264, ORIGEM!A:A, ORIGEM!B:B)</f>
        <v>Orgânico</v>
      </c>
      <c r="F264">
        <f>_xlfn.XLOOKUP(A264, ORIGEM!A:A, ORIGEM!C:C)</f>
        <v>0</v>
      </c>
      <c r="G264" t="str">
        <f>_xlfn.XLOOKUP(A264, LOCAL!A:A, LOCAL!B:B)</f>
        <v>-</v>
      </c>
      <c r="H264" t="str">
        <f>_xlfn.XLOOKUP(A264, PORTE!A:A, PORTE!B:B)</f>
        <v>1-10</v>
      </c>
      <c r="I264">
        <f>_xlfn.XLOOKUP(A264, OBJETIVO!A:A, OBJETIVO!B:B)</f>
        <v>0</v>
      </c>
      <c r="J264">
        <f t="shared" si="4"/>
        <v>0</v>
      </c>
    </row>
    <row r="265" spans="1:10" x14ac:dyDescent="0.25">
      <c r="A265">
        <v>11975237</v>
      </c>
      <c r="B265" s="1">
        <v>45760.726435185185</v>
      </c>
      <c r="C265" t="s">
        <v>0</v>
      </c>
      <c r="D265" t="str">
        <f>VLOOKUP(A265,MERCADO!A:B,2,0)</f>
        <v>Servicos</v>
      </c>
      <c r="E265" t="str">
        <f>_xlfn.XLOOKUP(A265, ORIGEM!A:A, ORIGEM!B:B)</f>
        <v>Google</v>
      </c>
      <c r="F265">
        <f>_xlfn.XLOOKUP(A265, ORIGEM!A:A, ORIGEM!C:C)</f>
        <v>0</v>
      </c>
      <c r="G265" t="str">
        <f>_xlfn.XLOOKUP(A265, LOCAL!A:A, LOCAL!B:B)</f>
        <v>-</v>
      </c>
      <c r="H265" t="str">
        <f>_xlfn.XLOOKUP(A265, PORTE!A:A, PORTE!B:B)</f>
        <v>1-10</v>
      </c>
      <c r="I265" t="str">
        <f>_xlfn.XLOOKUP(A265, OBJETIVO!A:A, OBJETIVO!B:B)</f>
        <v>Planejamento estratégico</v>
      </c>
      <c r="J265">
        <f t="shared" si="4"/>
        <v>0</v>
      </c>
    </row>
    <row r="266" spans="1:10" x14ac:dyDescent="0.25">
      <c r="A266">
        <v>11093405</v>
      </c>
      <c r="B266" s="1">
        <v>45680.749837962961</v>
      </c>
      <c r="C266" t="s">
        <v>0</v>
      </c>
      <c r="D266" t="str">
        <f>VLOOKUP(A266,MERCADO!A:B,2,0)</f>
        <v>Servicos</v>
      </c>
      <c r="E266" t="str">
        <f>_xlfn.XLOOKUP(A266, ORIGEM!A:A, ORIGEM!B:B)</f>
        <v>Orgânico</v>
      </c>
      <c r="F266">
        <f>_xlfn.XLOOKUP(A266, ORIGEM!A:A, ORIGEM!C:C)</f>
        <v>0</v>
      </c>
      <c r="G266" t="str">
        <f>_xlfn.XLOOKUP(A266, LOCAL!A:A, LOCAL!B:B)</f>
        <v>São Paulo - SP</v>
      </c>
      <c r="H266" t="str">
        <f>_xlfn.XLOOKUP(A266, PORTE!A:A, PORTE!B:B)</f>
        <v>0</v>
      </c>
      <c r="I266" t="str">
        <f>_xlfn.XLOOKUP(A266, OBJETIVO!A:A, OBJETIVO!B:B)</f>
        <v>Geração de leads b2b</v>
      </c>
      <c r="J266">
        <f t="shared" si="4"/>
        <v>0</v>
      </c>
    </row>
    <row r="267" spans="1:10" x14ac:dyDescent="0.25">
      <c r="A267">
        <v>11281325</v>
      </c>
      <c r="B267" s="1">
        <v>45696.572696759256</v>
      </c>
      <c r="C267" t="s">
        <v>0</v>
      </c>
      <c r="D267" t="str">
        <f>VLOOKUP(A267,MERCADO!A:B,2,0)</f>
        <v>Servicos</v>
      </c>
      <c r="E267" t="str">
        <f>_xlfn.XLOOKUP(A267, ORIGEM!A:A, ORIGEM!B:B)</f>
        <v>Google</v>
      </c>
      <c r="F267" t="str">
        <f>_xlfn.XLOOKUP(A267, ORIGEM!A:A, ORIGEM!C:C)</f>
        <v>google - cpc</v>
      </c>
      <c r="G267" t="str">
        <f>_xlfn.XLOOKUP(A267, LOCAL!A:A, LOCAL!B:B)</f>
        <v>São Paulo - SP</v>
      </c>
      <c r="H267" t="str">
        <f>_xlfn.XLOOKUP(A267, PORTE!A:A, PORTE!B:B)</f>
        <v>+ 1000</v>
      </c>
      <c r="I267" t="str">
        <f>_xlfn.XLOOKUP(A267, OBJETIVO!A:A, OBJETIVO!B:B)</f>
        <v>Outro</v>
      </c>
      <c r="J267">
        <f t="shared" si="4"/>
        <v>0</v>
      </c>
    </row>
    <row r="268" spans="1:10" x14ac:dyDescent="0.25">
      <c r="A268">
        <v>10598364</v>
      </c>
      <c r="B268" s="1">
        <v>45629.450937499998</v>
      </c>
      <c r="C268" t="s">
        <v>0</v>
      </c>
      <c r="D268">
        <f>VLOOKUP(A268,MERCADO!A:B,2,0)</f>
        <v>0</v>
      </c>
      <c r="E268" t="str">
        <f>_xlfn.XLOOKUP(A268, ORIGEM!A:A, ORIGEM!B:B)</f>
        <v>Orgânico</v>
      </c>
      <c r="F268">
        <f>_xlfn.XLOOKUP(A268, ORIGEM!A:A, ORIGEM!C:C)</f>
        <v>0</v>
      </c>
      <c r="G268" t="str">
        <f>_xlfn.XLOOKUP(A268, LOCAL!A:A, LOCAL!B:B)</f>
        <v>Santos - SP</v>
      </c>
      <c r="H268" t="str">
        <f>_xlfn.XLOOKUP(A268, PORTE!A:A, PORTE!B:B)</f>
        <v>1-10</v>
      </c>
      <c r="I268" t="str">
        <f>_xlfn.XLOOKUP(A268, OBJETIVO!A:A, OBJETIVO!B:B)</f>
        <v>Geração de leads b2b</v>
      </c>
      <c r="J268">
        <f t="shared" si="4"/>
        <v>0</v>
      </c>
    </row>
    <row r="269" spans="1:10" x14ac:dyDescent="0.25">
      <c r="A269">
        <v>11464886</v>
      </c>
      <c r="B269" s="1">
        <v>45713.675509259258</v>
      </c>
      <c r="C269" t="s">
        <v>0</v>
      </c>
      <c r="D269" t="str">
        <f>VLOOKUP(A269,MERCADO!A:B,2,0)</f>
        <v>Marketing/Publicidade/Consultoria</v>
      </c>
      <c r="E269" t="str">
        <f>_xlfn.XLOOKUP(A269, ORIGEM!A:A, ORIGEM!B:B)</f>
        <v>Google</v>
      </c>
      <c r="F269" t="str">
        <f>_xlfn.XLOOKUP(A269, ORIGEM!A:A, ORIGEM!C:C)</f>
        <v>google - cpc</v>
      </c>
      <c r="G269" t="str">
        <f>_xlfn.XLOOKUP(A269, LOCAL!A:A, LOCAL!B:B)</f>
        <v>São Paulo - SP</v>
      </c>
      <c r="H269" t="str">
        <f>_xlfn.XLOOKUP(A269, PORTE!A:A, PORTE!B:B)</f>
        <v>1-10</v>
      </c>
      <c r="I269" t="str">
        <f>_xlfn.XLOOKUP(A269, OBJETIVO!A:A, OBJETIVO!B:B)</f>
        <v>Consultoria</v>
      </c>
      <c r="J269">
        <f t="shared" si="4"/>
        <v>0</v>
      </c>
    </row>
    <row r="270" spans="1:10" x14ac:dyDescent="0.25">
      <c r="A270">
        <v>11303526</v>
      </c>
      <c r="B270" s="1">
        <v>45697.717789351853</v>
      </c>
      <c r="C270" t="s">
        <v>1</v>
      </c>
      <c r="D270" t="str">
        <f>VLOOKUP(A270,MERCADO!A:B,2,0)</f>
        <v>Franqueadora</v>
      </c>
      <c r="E270" t="str">
        <f>_xlfn.XLOOKUP(A270, ORIGEM!A:A, ORIGEM!B:B)</f>
        <v>Orgânico</v>
      </c>
      <c r="F270">
        <f>_xlfn.XLOOKUP(A270, ORIGEM!A:A, ORIGEM!C:C)</f>
        <v>0</v>
      </c>
      <c r="G270" t="str">
        <f>_xlfn.XLOOKUP(A270, LOCAL!A:A, LOCAL!B:B)</f>
        <v>São Paulo, SP</v>
      </c>
      <c r="H270" t="str">
        <f>_xlfn.XLOOKUP(A270, PORTE!A:A, PORTE!B:B)</f>
        <v>1-10</v>
      </c>
      <c r="I270" t="str">
        <f>_xlfn.XLOOKUP(A270, OBJETIVO!A:A, OBJETIVO!B:B)</f>
        <v>Abertura/Expansão</v>
      </c>
      <c r="J270">
        <f t="shared" si="4"/>
        <v>1</v>
      </c>
    </row>
    <row r="271" spans="1:10" x14ac:dyDescent="0.25">
      <c r="A271">
        <v>12012715</v>
      </c>
      <c r="B271" s="1">
        <v>45763.49181712963</v>
      </c>
      <c r="C271" t="s">
        <v>1</v>
      </c>
      <c r="D271" t="str">
        <f>VLOOKUP(A271,MERCADO!A:B,2,0)</f>
        <v>Franqueadora</v>
      </c>
      <c r="E271" t="str">
        <f>_xlfn.XLOOKUP(A271, ORIGEM!A:A, ORIGEM!B:B)</f>
        <v>Orgânico</v>
      </c>
      <c r="F271">
        <f>_xlfn.XLOOKUP(A271, ORIGEM!A:A, ORIGEM!C:C)</f>
        <v>0</v>
      </c>
      <c r="G271" t="str">
        <f>_xlfn.XLOOKUP(A271, LOCAL!A:A, LOCAL!B:B)</f>
        <v>Descalvado - SP</v>
      </c>
      <c r="H271" t="str">
        <f>_xlfn.XLOOKUP(A271, PORTE!A:A, PORTE!B:B)</f>
        <v>301-1000</v>
      </c>
      <c r="I271" t="str">
        <f>_xlfn.XLOOKUP(A271, OBJETIVO!A:A, OBJETIVO!B:B)</f>
        <v>Consultoria</v>
      </c>
      <c r="J271">
        <f t="shared" si="4"/>
        <v>1</v>
      </c>
    </row>
    <row r="272" spans="1:10" x14ac:dyDescent="0.25">
      <c r="A272">
        <v>10872965</v>
      </c>
      <c r="B272" s="1">
        <v>45662.425243055557</v>
      </c>
      <c r="C272" t="s">
        <v>1</v>
      </c>
      <c r="D272" t="str">
        <f>VLOOKUP(A272,MERCADO!A:B,2,0)</f>
        <v>Franqueadora</v>
      </c>
      <c r="E272" t="str">
        <f>_xlfn.XLOOKUP(A272, ORIGEM!A:A, ORIGEM!B:B)</f>
        <v>Google</v>
      </c>
      <c r="F272" t="str">
        <f>_xlfn.XLOOKUP(A272, ORIGEM!A:A, ORIGEM!C:C)</f>
        <v>google - cpc</v>
      </c>
      <c r="G272" t="str">
        <f>_xlfn.XLOOKUP(A272, LOCAL!A:A, LOCAL!B:B)</f>
        <v>São Paulo - SP</v>
      </c>
      <c r="H272" t="str">
        <f>_xlfn.XLOOKUP(A272, PORTE!A:A, PORTE!B:B)</f>
        <v>51-300</v>
      </c>
      <c r="I272" t="str">
        <f>_xlfn.XLOOKUP(A272, OBJETIVO!A:A, OBJETIVO!B:B)</f>
        <v>Planejamento estratégico</v>
      </c>
      <c r="J272">
        <f t="shared" si="4"/>
        <v>1</v>
      </c>
    </row>
    <row r="273" spans="1:10" x14ac:dyDescent="0.25">
      <c r="A273">
        <v>11111140</v>
      </c>
      <c r="B273" s="1">
        <v>45682.738541666666</v>
      </c>
      <c r="C273" t="s">
        <v>1</v>
      </c>
      <c r="D273" t="str">
        <f>VLOOKUP(A273,MERCADO!A:B,2,0)</f>
        <v>Industria</v>
      </c>
      <c r="E273" t="str">
        <f>_xlfn.XLOOKUP(A273, ORIGEM!A:A, ORIGEM!B:B)</f>
        <v>Orgânico</v>
      </c>
      <c r="F273">
        <f>_xlfn.XLOOKUP(A273, ORIGEM!A:A, ORIGEM!C:C)</f>
        <v>0</v>
      </c>
      <c r="G273" t="str">
        <f>_xlfn.XLOOKUP(A273, LOCAL!A:A, LOCAL!B:B)</f>
        <v>São Paulo - SP</v>
      </c>
      <c r="H273" t="str">
        <f>_xlfn.XLOOKUP(A273, PORTE!A:A, PORTE!B:B)</f>
        <v>51-300</v>
      </c>
      <c r="I273" t="str">
        <f>_xlfn.XLOOKUP(A273, OBJETIVO!A:A, OBJETIVO!B:B)</f>
        <v>Abertura/Expansão</v>
      </c>
      <c r="J273">
        <f t="shared" si="4"/>
        <v>1</v>
      </c>
    </row>
    <row r="274" spans="1:10" x14ac:dyDescent="0.25">
      <c r="A274">
        <v>12024483</v>
      </c>
      <c r="B274" s="1">
        <v>45765.623414351852</v>
      </c>
      <c r="C274" t="s">
        <v>1</v>
      </c>
      <c r="D274" t="str">
        <f>VLOOKUP(A274,MERCADO!A:B,2,0)</f>
        <v>Imobiliaria/Incorporadora/Construtora</v>
      </c>
      <c r="E274" t="str">
        <f>_xlfn.XLOOKUP(A274, ORIGEM!A:A, ORIGEM!B:B)</f>
        <v>Orgânico</v>
      </c>
      <c r="F274">
        <f>_xlfn.XLOOKUP(A274, ORIGEM!A:A, ORIGEM!C:C)</f>
        <v>0</v>
      </c>
      <c r="G274" t="str">
        <f>_xlfn.XLOOKUP(A274, LOCAL!A:A, LOCAL!B:B)</f>
        <v>Campinas - SP</v>
      </c>
      <c r="H274" t="str">
        <f>_xlfn.XLOOKUP(A274, PORTE!A:A, PORTE!B:B)</f>
        <v>11-50</v>
      </c>
      <c r="I274" t="str">
        <f>_xlfn.XLOOKUP(A274, OBJETIVO!A:A, OBJETIVO!B:B)</f>
        <v>Planejamento estratégico</v>
      </c>
      <c r="J274">
        <f t="shared" si="4"/>
        <v>1</v>
      </c>
    </row>
    <row r="275" spans="1:10" x14ac:dyDescent="0.25">
      <c r="A275">
        <v>11078220</v>
      </c>
      <c r="B275" s="1">
        <v>45678.784444444442</v>
      </c>
      <c r="C275" t="s">
        <v>1</v>
      </c>
      <c r="D275" t="str">
        <f>VLOOKUP(A275,MERCADO!A:B,2,0)</f>
        <v>Imobiliaria/Incorporadora/Construtora</v>
      </c>
      <c r="E275" t="str">
        <f>_xlfn.XLOOKUP(A275, ORIGEM!A:A, ORIGEM!B:B)</f>
        <v>Google</v>
      </c>
      <c r="F275" t="str">
        <f>_xlfn.XLOOKUP(A275, ORIGEM!A:A, ORIGEM!C:C)</f>
        <v>google - cpc</v>
      </c>
      <c r="G275" t="str">
        <f>_xlfn.XLOOKUP(A275, LOCAL!A:A, LOCAL!B:B)</f>
        <v>São Paulo - SP</v>
      </c>
      <c r="H275" t="str">
        <f>_xlfn.XLOOKUP(A275, PORTE!A:A, PORTE!B:B)</f>
        <v>1-10</v>
      </c>
      <c r="I275" t="str">
        <f>_xlfn.XLOOKUP(A275, OBJETIVO!A:A, OBJETIVO!B:B)</f>
        <v>Ações de marketing/vendas</v>
      </c>
      <c r="J275">
        <f t="shared" si="4"/>
        <v>1</v>
      </c>
    </row>
    <row r="276" spans="1:10" x14ac:dyDescent="0.25">
      <c r="A276">
        <v>11890851</v>
      </c>
      <c r="B276" s="1">
        <v>45753.729131944441</v>
      </c>
      <c r="C276" t="s">
        <v>1</v>
      </c>
      <c r="D276" t="str">
        <f>VLOOKUP(A276,MERCADO!A:B,2,0)</f>
        <v>Imobiliaria/Incorporadora/Construtora</v>
      </c>
      <c r="E276" t="str">
        <f>_xlfn.XLOOKUP(A276, ORIGEM!A:A, ORIGEM!B:B)</f>
        <v>Google</v>
      </c>
      <c r="F276" t="str">
        <f>_xlfn.XLOOKUP(A276, ORIGEM!A:A, ORIGEM!C:C)</f>
        <v>google - cpc</v>
      </c>
      <c r="G276" t="str">
        <f>_xlfn.XLOOKUP(A276, LOCAL!A:A, LOCAL!B:B)</f>
        <v>Guararema - SP</v>
      </c>
      <c r="H276" t="str">
        <f>_xlfn.XLOOKUP(A276, PORTE!A:A, PORTE!B:B)</f>
        <v>11-50</v>
      </c>
      <c r="I276" t="str">
        <f>_xlfn.XLOOKUP(A276, OBJETIVO!A:A, OBJETIVO!B:B)</f>
        <v>Planejamento estratégico</v>
      </c>
      <c r="J276">
        <f t="shared" si="4"/>
        <v>1</v>
      </c>
    </row>
    <row r="277" spans="1:10" x14ac:dyDescent="0.25">
      <c r="A277">
        <v>11067899</v>
      </c>
      <c r="B277" s="1">
        <v>45678.438692129632</v>
      </c>
      <c r="C277" t="s">
        <v>1</v>
      </c>
      <c r="D277" t="str">
        <f>VLOOKUP(A277,MERCADO!A:B,2,0)</f>
        <v>Servicos</v>
      </c>
      <c r="E277" t="str">
        <f>_xlfn.XLOOKUP(A277, ORIGEM!A:A, ORIGEM!B:B)</f>
        <v>Inbound Marketing</v>
      </c>
      <c r="F277">
        <f>_xlfn.XLOOKUP(A277, ORIGEM!A:A, ORIGEM!C:C)</f>
        <v>0</v>
      </c>
      <c r="G277" t="str">
        <f>_xlfn.XLOOKUP(A277, LOCAL!A:A, LOCAL!B:B)</f>
        <v>São Paulo</v>
      </c>
      <c r="H277" t="str">
        <f>_xlfn.XLOOKUP(A277, PORTE!A:A, PORTE!B:B)</f>
        <v>301-1000</v>
      </c>
      <c r="I277" t="str">
        <f>_xlfn.XLOOKUP(A277, OBJETIVO!A:A, OBJETIVO!B:B)</f>
        <v>Planejamento estratégico</v>
      </c>
      <c r="J277">
        <f t="shared" si="4"/>
        <v>1</v>
      </c>
    </row>
    <row r="278" spans="1:10" x14ac:dyDescent="0.25">
      <c r="A278">
        <v>10911396</v>
      </c>
      <c r="B278" s="1">
        <v>45665.462673611109</v>
      </c>
      <c r="C278" t="s">
        <v>1</v>
      </c>
      <c r="D278" t="str">
        <f>VLOOKUP(A278,MERCADO!A:B,2,0)</f>
        <v>Servicos</v>
      </c>
      <c r="E278" t="str">
        <f>_xlfn.XLOOKUP(A278, ORIGEM!A:A, ORIGEM!B:B)</f>
        <v>Orgânico</v>
      </c>
      <c r="F278">
        <f>_xlfn.XLOOKUP(A278, ORIGEM!A:A, ORIGEM!C:C)</f>
        <v>0</v>
      </c>
      <c r="G278" t="str">
        <f>_xlfn.XLOOKUP(A278, LOCAL!A:A, LOCAL!B:B)</f>
        <v>-</v>
      </c>
      <c r="H278" t="str">
        <f>_xlfn.XLOOKUP(A278, PORTE!A:A, PORTE!B:B)</f>
        <v>1-10</v>
      </c>
      <c r="I278" t="str">
        <f>_xlfn.XLOOKUP(A278, OBJETIVO!A:A, OBJETIVO!B:B)</f>
        <v>Abertura/Expansão</v>
      </c>
      <c r="J278">
        <f t="shared" si="4"/>
        <v>1</v>
      </c>
    </row>
    <row r="279" spans="1:10" x14ac:dyDescent="0.25">
      <c r="A279">
        <v>10915618</v>
      </c>
      <c r="B279" s="1">
        <v>45665.608344907407</v>
      </c>
      <c r="C279" t="s">
        <v>0</v>
      </c>
      <c r="D279" t="str">
        <f>VLOOKUP(A279,MERCADO!A:B,2,0)</f>
        <v>Franqueadora</v>
      </c>
      <c r="E279" t="str">
        <f>_xlfn.XLOOKUP(A279, ORIGEM!A:A, ORIGEM!B:B)</f>
        <v>Orgânico</v>
      </c>
      <c r="F279">
        <f>_xlfn.XLOOKUP(A279, ORIGEM!A:A, ORIGEM!C:C)</f>
        <v>0</v>
      </c>
      <c r="G279" t="str">
        <f>_xlfn.XLOOKUP(A279, LOCAL!A:A, LOCAL!B:B)</f>
        <v>Limeira - SP</v>
      </c>
      <c r="H279" t="str">
        <f>_xlfn.XLOOKUP(A279, PORTE!A:A, PORTE!B:B)</f>
        <v>11-50</v>
      </c>
      <c r="I279" t="str">
        <f>_xlfn.XLOOKUP(A279, OBJETIVO!A:A, OBJETIVO!B:B)</f>
        <v>Abertura/Expansão</v>
      </c>
      <c r="J279">
        <f t="shared" si="4"/>
        <v>0</v>
      </c>
    </row>
    <row r="280" spans="1:10" x14ac:dyDescent="0.25">
      <c r="A280">
        <v>11382329</v>
      </c>
      <c r="B280" s="1">
        <v>45705.930798611109</v>
      </c>
      <c r="C280" t="s">
        <v>1</v>
      </c>
      <c r="D280" t="str">
        <f>VLOOKUP(A280,MERCADO!A:B,2,0)</f>
        <v>Industria</v>
      </c>
      <c r="E280" t="str">
        <f>_xlfn.XLOOKUP(A280, ORIGEM!A:A, ORIGEM!B:B)</f>
        <v>Orgânico</v>
      </c>
      <c r="F280">
        <f>_xlfn.XLOOKUP(A280, ORIGEM!A:A, ORIGEM!C:C)</f>
        <v>0</v>
      </c>
      <c r="G280" t="str">
        <f>_xlfn.XLOOKUP(A280, LOCAL!A:A, LOCAL!B:B)</f>
        <v>Ribeirão Preto - SP</v>
      </c>
      <c r="H280" t="str">
        <f>_xlfn.XLOOKUP(A280, PORTE!A:A, PORTE!B:B)</f>
        <v>51-300</v>
      </c>
      <c r="I280" t="str">
        <f>_xlfn.XLOOKUP(A280, OBJETIVO!A:A, OBJETIVO!B:B)</f>
        <v>Ações de marketing/vendas</v>
      </c>
      <c r="J280">
        <f t="shared" si="4"/>
        <v>1</v>
      </c>
    </row>
    <row r="281" spans="1:10" x14ac:dyDescent="0.25">
      <c r="A281">
        <v>10607404</v>
      </c>
      <c r="B281" s="1">
        <v>45629.680601851855</v>
      </c>
      <c r="C281" t="s">
        <v>1</v>
      </c>
      <c r="D281" t="str">
        <f>VLOOKUP(A281,MERCADO!A:B,2,0)</f>
        <v>Varejo</v>
      </c>
      <c r="E281" t="str">
        <f>_xlfn.XLOOKUP(A281, ORIGEM!A:A, ORIGEM!B:B)</f>
        <v>Google</v>
      </c>
      <c r="F281" t="str">
        <f>_xlfn.XLOOKUP(A281, ORIGEM!A:A, ORIGEM!C:C)</f>
        <v>google - cpc</v>
      </c>
      <c r="G281" t="str">
        <f>_xlfn.XLOOKUP(A281, LOCAL!A:A, LOCAL!B:B)</f>
        <v>São Paulo - SP</v>
      </c>
      <c r="H281" t="str">
        <f>_xlfn.XLOOKUP(A281, PORTE!A:A, PORTE!B:B)</f>
        <v>1-10</v>
      </c>
      <c r="I281" t="str">
        <f>_xlfn.XLOOKUP(A281, OBJETIVO!A:A, OBJETIVO!B:B)</f>
        <v>Abertura/Expansão</v>
      </c>
      <c r="J281">
        <f t="shared" si="4"/>
        <v>1</v>
      </c>
    </row>
    <row r="282" spans="1:10" x14ac:dyDescent="0.25">
      <c r="A282">
        <v>10911301</v>
      </c>
      <c r="B282" s="1">
        <v>45665.455266203702</v>
      </c>
      <c r="C282" t="s">
        <v>1</v>
      </c>
      <c r="D282" t="str">
        <f>VLOOKUP(A282,MERCADO!A:B,2,0)</f>
        <v>Empreendedor</v>
      </c>
      <c r="E282" t="str">
        <f>_xlfn.XLOOKUP(A282, ORIGEM!A:A, ORIGEM!B:B)</f>
        <v>Google</v>
      </c>
      <c r="F282" t="str">
        <f>_xlfn.XLOOKUP(A282, ORIGEM!A:A, ORIGEM!C:C)</f>
        <v>google - cpc</v>
      </c>
      <c r="G282" t="str">
        <f>_xlfn.XLOOKUP(A282, LOCAL!A:A, LOCAL!B:B)</f>
        <v>Campinas - SP</v>
      </c>
      <c r="H282" t="str">
        <f>_xlfn.XLOOKUP(A282, PORTE!A:A, PORTE!B:B)</f>
        <v>1-10</v>
      </c>
      <c r="I282" t="str">
        <f>_xlfn.XLOOKUP(A282, OBJETIVO!A:A, OBJETIVO!B:B)</f>
        <v>Outro</v>
      </c>
      <c r="J282">
        <f t="shared" si="4"/>
        <v>1</v>
      </c>
    </row>
    <row r="283" spans="1:10" x14ac:dyDescent="0.25">
      <c r="A283">
        <v>10683100</v>
      </c>
      <c r="B283" s="1">
        <v>45636.524780092594</v>
      </c>
      <c r="C283" t="s">
        <v>1</v>
      </c>
      <c r="D283" t="str">
        <f>VLOOKUP(A283,MERCADO!A:B,2,0)</f>
        <v>Empreendedor</v>
      </c>
      <c r="E283" t="str">
        <f>_xlfn.XLOOKUP(A283, ORIGEM!A:A, ORIGEM!B:B)</f>
        <v>Google</v>
      </c>
      <c r="F283" t="str">
        <f>_xlfn.XLOOKUP(A283, ORIGEM!A:A, ORIGEM!C:C)</f>
        <v>google - cpc</v>
      </c>
      <c r="G283" t="str">
        <f>_xlfn.XLOOKUP(A283, LOCAL!A:A, LOCAL!B:B)</f>
        <v>Mogi das Cruzes - SP</v>
      </c>
      <c r="H283" t="str">
        <f>_xlfn.XLOOKUP(A283, PORTE!A:A, PORTE!B:B)</f>
        <v>0</v>
      </c>
      <c r="I283" t="str">
        <f>_xlfn.XLOOKUP(A283, OBJETIVO!A:A, OBJETIVO!B:B)</f>
        <v>Abertura/Expansão</v>
      </c>
      <c r="J283">
        <f t="shared" si="4"/>
        <v>1</v>
      </c>
    </row>
    <row r="284" spans="1:10" x14ac:dyDescent="0.25">
      <c r="A284">
        <v>10573985</v>
      </c>
      <c r="B284" s="1">
        <v>45627.585185185184</v>
      </c>
      <c r="C284" t="s">
        <v>1</v>
      </c>
      <c r="D284" t="str">
        <f>VLOOKUP(A284,MERCADO!A:B,2,0)</f>
        <v>Varejo</v>
      </c>
      <c r="E284" t="str">
        <f>_xlfn.XLOOKUP(A284, ORIGEM!A:A, ORIGEM!B:B)</f>
        <v>Google</v>
      </c>
      <c r="F284" t="str">
        <f>_xlfn.XLOOKUP(A284, ORIGEM!A:A, ORIGEM!C:C)</f>
        <v>google - cpc</v>
      </c>
      <c r="G284" t="str">
        <f>_xlfn.XLOOKUP(A284, LOCAL!A:A, LOCAL!B:B)</f>
        <v>Campinas - SP</v>
      </c>
      <c r="H284" t="str">
        <f>_xlfn.XLOOKUP(A284, PORTE!A:A, PORTE!B:B)</f>
        <v>11-50</v>
      </c>
      <c r="I284" t="str">
        <f>_xlfn.XLOOKUP(A284, OBJETIVO!A:A, OBJETIVO!B:B)</f>
        <v>Ações de marketing/vendas</v>
      </c>
      <c r="J284">
        <f t="shared" si="4"/>
        <v>1</v>
      </c>
    </row>
    <row r="285" spans="1:10" x14ac:dyDescent="0.25">
      <c r="A285">
        <v>10595396</v>
      </c>
      <c r="B285" s="1">
        <v>45628.921689814815</v>
      </c>
      <c r="C285" t="s">
        <v>0</v>
      </c>
      <c r="D285">
        <f>VLOOKUP(A285,MERCADO!A:B,2,0)</f>
        <v>0</v>
      </c>
      <c r="E285" t="str">
        <f>_xlfn.XLOOKUP(A285, ORIGEM!A:A, ORIGEM!B:B)</f>
        <v>Google</v>
      </c>
      <c r="F285" t="str">
        <f>_xlfn.XLOOKUP(A285, ORIGEM!A:A, ORIGEM!C:C)</f>
        <v>google - cpc</v>
      </c>
      <c r="G285" t="str">
        <f>_xlfn.XLOOKUP(A285, LOCAL!A:A, LOCAL!B:B)</f>
        <v>Blumenau - SC</v>
      </c>
      <c r="H285" t="str">
        <f>_xlfn.XLOOKUP(A285, PORTE!A:A, PORTE!B:B)</f>
        <v>0</v>
      </c>
      <c r="I285" t="str">
        <f>_xlfn.XLOOKUP(A285, OBJETIVO!A:A, OBJETIVO!B:B)</f>
        <v>Abertura/Expansão</v>
      </c>
      <c r="J285">
        <f t="shared" si="4"/>
        <v>0</v>
      </c>
    </row>
    <row r="286" spans="1:10" x14ac:dyDescent="0.25">
      <c r="A286">
        <v>11754585</v>
      </c>
      <c r="B286" s="1">
        <v>45741.410590277781</v>
      </c>
      <c r="C286" t="s">
        <v>1</v>
      </c>
      <c r="D286" t="str">
        <f>VLOOKUP(A286,MERCADO!A:B,2,0)</f>
        <v>Servicos</v>
      </c>
      <c r="E286" t="str">
        <f>_xlfn.XLOOKUP(A286, ORIGEM!A:A, ORIGEM!B:B)</f>
        <v>email</v>
      </c>
      <c r="F286">
        <f>_xlfn.XLOOKUP(A286, ORIGEM!A:A, ORIGEM!C:C)</f>
        <v>0</v>
      </c>
      <c r="G286" t="str">
        <f>_xlfn.XLOOKUP(A286, LOCAL!A:A, LOCAL!B:B)</f>
        <v>RS</v>
      </c>
      <c r="H286" t="str">
        <f>_xlfn.XLOOKUP(A286, PORTE!A:A, PORTE!B:B)</f>
        <v>1-10</v>
      </c>
      <c r="I286" t="str">
        <f>_xlfn.XLOOKUP(A286, OBJETIVO!A:A, OBJETIVO!B:B)</f>
        <v>Consultoria</v>
      </c>
      <c r="J286">
        <f t="shared" si="4"/>
        <v>1</v>
      </c>
    </row>
    <row r="287" spans="1:10" x14ac:dyDescent="0.25">
      <c r="A287">
        <v>11752990</v>
      </c>
      <c r="B287" s="1">
        <v>45741.32167824074</v>
      </c>
      <c r="C287" t="s">
        <v>1</v>
      </c>
      <c r="D287" t="str">
        <f>VLOOKUP(A287,MERCADO!A:B,2,0)</f>
        <v>Tecnologia</v>
      </c>
      <c r="E287" t="str">
        <f>_xlfn.XLOOKUP(A287, ORIGEM!A:A, ORIGEM!B:B)</f>
        <v>Orgânico</v>
      </c>
      <c r="F287">
        <f>_xlfn.XLOOKUP(A287, ORIGEM!A:A, ORIGEM!C:C)</f>
        <v>0</v>
      </c>
      <c r="G287" t="str">
        <f>_xlfn.XLOOKUP(A287, LOCAL!A:A, LOCAL!B:B)</f>
        <v>Niterói - RJ</v>
      </c>
      <c r="H287" t="str">
        <f>_xlfn.XLOOKUP(A287, PORTE!A:A, PORTE!B:B)</f>
        <v>11-50</v>
      </c>
      <c r="I287" t="str">
        <f>_xlfn.XLOOKUP(A287, OBJETIVO!A:A, OBJETIVO!B:B)</f>
        <v>Abertura/Expansão</v>
      </c>
      <c r="J287">
        <f t="shared" si="4"/>
        <v>1</v>
      </c>
    </row>
    <row r="288" spans="1:10" x14ac:dyDescent="0.25">
      <c r="A288">
        <v>11483392</v>
      </c>
      <c r="B288" s="1">
        <v>45716.395995370367</v>
      </c>
      <c r="C288" t="s">
        <v>1</v>
      </c>
      <c r="D288" t="str">
        <f>VLOOKUP(A288,MERCADO!A:B,2,0)</f>
        <v>Servicos</v>
      </c>
      <c r="E288" t="str">
        <f>_xlfn.XLOOKUP(A288, ORIGEM!A:A, ORIGEM!B:B)</f>
        <v>Orgânico</v>
      </c>
      <c r="F288">
        <f>_xlfn.XLOOKUP(A288, ORIGEM!A:A, ORIGEM!C:C)</f>
        <v>0</v>
      </c>
      <c r="G288" t="str">
        <f>_xlfn.XLOOKUP(A288, LOCAL!A:A, LOCAL!B:B)</f>
        <v>Macaé - RJ</v>
      </c>
      <c r="H288" t="str">
        <f>_xlfn.XLOOKUP(A288, PORTE!A:A, PORTE!B:B)</f>
        <v>11-50</v>
      </c>
      <c r="I288" t="str">
        <f>_xlfn.XLOOKUP(A288, OBJETIVO!A:A, OBJETIVO!B:B)</f>
        <v>Abertura/Expansão</v>
      </c>
      <c r="J288">
        <f t="shared" si="4"/>
        <v>1</v>
      </c>
    </row>
    <row r="289" spans="1:10" x14ac:dyDescent="0.25">
      <c r="A289">
        <v>10838880</v>
      </c>
      <c r="B289" s="1">
        <v>45656.486770833333</v>
      </c>
      <c r="C289" t="s">
        <v>1</v>
      </c>
      <c r="D289" t="str">
        <f>VLOOKUP(A289,MERCADO!A:B,2,0)</f>
        <v>Empreendedor</v>
      </c>
      <c r="E289" t="str">
        <f>_xlfn.XLOOKUP(A289, ORIGEM!A:A, ORIGEM!B:B)</f>
        <v>Orgânico</v>
      </c>
      <c r="F289">
        <f>_xlfn.XLOOKUP(A289, ORIGEM!A:A, ORIGEM!C:C)</f>
        <v>0</v>
      </c>
      <c r="G289" t="str">
        <f>_xlfn.XLOOKUP(A289, LOCAL!A:A, LOCAL!B:B)</f>
        <v>São João del-Rei - MG</v>
      </c>
      <c r="H289" t="str">
        <f>_xlfn.XLOOKUP(A289, PORTE!A:A, PORTE!B:B)</f>
        <v>0</v>
      </c>
      <c r="I289" t="str">
        <f>_xlfn.XLOOKUP(A289, OBJETIVO!A:A, OBJETIVO!B:B)</f>
        <v>Abertura/Expansão</v>
      </c>
      <c r="J289">
        <f t="shared" si="4"/>
        <v>1</v>
      </c>
    </row>
    <row r="290" spans="1:10" x14ac:dyDescent="0.25">
      <c r="A290">
        <v>11564721</v>
      </c>
      <c r="B290" s="1">
        <v>45724.399375000001</v>
      </c>
      <c r="C290" t="s">
        <v>0</v>
      </c>
      <c r="D290" t="str">
        <f>VLOOKUP(A290,MERCADO!A:B,2,0)</f>
        <v>Industria</v>
      </c>
      <c r="E290" t="str">
        <f>_xlfn.XLOOKUP(A290, ORIGEM!A:A, ORIGEM!B:B)</f>
        <v>Orgânico</v>
      </c>
      <c r="F290">
        <f>_xlfn.XLOOKUP(A290, ORIGEM!A:A, ORIGEM!C:C)</f>
        <v>0</v>
      </c>
      <c r="G290" t="str">
        <f>_xlfn.XLOOKUP(A290, LOCAL!A:A, LOCAL!B:B)</f>
        <v>Paraná, Brasil</v>
      </c>
      <c r="H290" t="str">
        <f>_xlfn.XLOOKUP(A290, PORTE!A:A, PORTE!B:B)</f>
        <v>51-300</v>
      </c>
      <c r="I290" t="str">
        <f>_xlfn.XLOOKUP(A290, OBJETIVO!A:A, OBJETIVO!B:B)</f>
        <v>Ações de marketing/vendas</v>
      </c>
      <c r="J290">
        <f t="shared" si="4"/>
        <v>0</v>
      </c>
    </row>
    <row r="291" spans="1:10" x14ac:dyDescent="0.25">
      <c r="A291">
        <v>11247875</v>
      </c>
      <c r="B291" s="1">
        <v>45692.539490740739</v>
      </c>
      <c r="C291" t="s">
        <v>1</v>
      </c>
      <c r="D291" t="str">
        <f>VLOOKUP(A291,MERCADO!A:B,2,0)</f>
        <v>Franqueadora</v>
      </c>
      <c r="E291" t="str">
        <f>_xlfn.XLOOKUP(A291, ORIGEM!A:A, ORIGEM!B:B)</f>
        <v>Orgânico</v>
      </c>
      <c r="F291">
        <f>_xlfn.XLOOKUP(A291, ORIGEM!A:A, ORIGEM!C:C)</f>
        <v>0</v>
      </c>
      <c r="G291" t="str">
        <f>_xlfn.XLOOKUP(A291, LOCAL!A:A, LOCAL!B:B)</f>
        <v>Recife - PE</v>
      </c>
      <c r="H291" t="str">
        <f>_xlfn.XLOOKUP(A291, PORTE!A:A, PORTE!B:B)</f>
        <v>51-300</v>
      </c>
      <c r="I291" t="str">
        <f>_xlfn.XLOOKUP(A291, OBJETIVO!A:A, OBJETIVO!B:B)</f>
        <v>Abertura/Expansão</v>
      </c>
      <c r="J291">
        <f t="shared" si="4"/>
        <v>1</v>
      </c>
    </row>
    <row r="292" spans="1:10" x14ac:dyDescent="0.25">
      <c r="A292">
        <v>10967363</v>
      </c>
      <c r="B292" s="1">
        <v>45670.678773148145</v>
      </c>
      <c r="C292" t="s">
        <v>1</v>
      </c>
      <c r="D292" t="str">
        <f>VLOOKUP(A292,MERCADO!A:B,2,0)</f>
        <v>Servicos</v>
      </c>
      <c r="E292" t="str">
        <f>_xlfn.XLOOKUP(A292, ORIGEM!A:A, ORIGEM!B:B)</f>
        <v>Google</v>
      </c>
      <c r="F292" t="str">
        <f>_xlfn.XLOOKUP(A292, ORIGEM!A:A, ORIGEM!C:C)</f>
        <v>google - cpc</v>
      </c>
      <c r="G292" t="str">
        <f>_xlfn.XLOOKUP(A292, LOCAL!A:A, LOCAL!B:B)</f>
        <v>Coronel Fabriciano - MG</v>
      </c>
      <c r="H292" t="str">
        <f>_xlfn.XLOOKUP(A292, PORTE!A:A, PORTE!B:B)</f>
        <v>51-300</v>
      </c>
      <c r="I292" t="str">
        <f>_xlfn.XLOOKUP(A292, OBJETIVO!A:A, OBJETIVO!B:B)</f>
        <v>Ações de marketing/vendas</v>
      </c>
      <c r="J292">
        <f t="shared" si="4"/>
        <v>1</v>
      </c>
    </row>
    <row r="293" spans="1:10" x14ac:dyDescent="0.25">
      <c r="A293">
        <v>10824534</v>
      </c>
      <c r="B293" s="1">
        <v>45654.640682870369</v>
      </c>
      <c r="C293" t="s">
        <v>1</v>
      </c>
      <c r="D293" t="str">
        <f>VLOOKUP(A293,MERCADO!A:B,2,0)</f>
        <v>Marketing/Publicidade/Consultoria</v>
      </c>
      <c r="E293" t="str">
        <f>_xlfn.XLOOKUP(A293, ORIGEM!A:A, ORIGEM!B:B)</f>
        <v>Google</v>
      </c>
      <c r="F293" t="str">
        <f>_xlfn.XLOOKUP(A293, ORIGEM!A:A, ORIGEM!C:C)</f>
        <v>google - cpc</v>
      </c>
      <c r="G293" t="str">
        <f>_xlfn.XLOOKUP(A293, LOCAL!A:A, LOCAL!B:B)</f>
        <v>Belo Horizonte - MG</v>
      </c>
      <c r="H293" t="str">
        <f>_xlfn.XLOOKUP(A293, PORTE!A:A, PORTE!B:B)</f>
        <v>11-50</v>
      </c>
      <c r="I293" t="str">
        <f>_xlfn.XLOOKUP(A293, OBJETIVO!A:A, OBJETIVO!B:B)</f>
        <v>Abertura/Expansão</v>
      </c>
      <c r="J293">
        <f t="shared" si="4"/>
        <v>1</v>
      </c>
    </row>
    <row r="294" spans="1:10" x14ac:dyDescent="0.25">
      <c r="A294">
        <v>11733670</v>
      </c>
      <c r="B294" s="1">
        <v>45739.602881944447</v>
      </c>
      <c r="C294" t="s">
        <v>1</v>
      </c>
      <c r="D294" t="str">
        <f>VLOOKUP(A294,MERCADO!A:B,2,0)</f>
        <v>Marketing/Publicidade/Consultoria</v>
      </c>
      <c r="E294" t="str">
        <f>_xlfn.XLOOKUP(A294, ORIGEM!A:A, ORIGEM!B:B)</f>
        <v>Google</v>
      </c>
      <c r="F294" t="str">
        <f>_xlfn.XLOOKUP(A294, ORIGEM!A:A, ORIGEM!C:C)</f>
        <v>google - cpc</v>
      </c>
      <c r="G294" t="str">
        <f>_xlfn.XLOOKUP(A294, LOCAL!A:A, LOCAL!B:B)</f>
        <v>Contagem - MG</v>
      </c>
      <c r="H294" t="str">
        <f>_xlfn.XLOOKUP(A294, PORTE!A:A, PORTE!B:B)</f>
        <v>11-50</v>
      </c>
      <c r="I294" t="str">
        <f>_xlfn.XLOOKUP(A294, OBJETIVO!A:A, OBJETIVO!B:B)</f>
        <v>Consultoria</v>
      </c>
      <c r="J294">
        <f t="shared" si="4"/>
        <v>1</v>
      </c>
    </row>
    <row r="295" spans="1:10" x14ac:dyDescent="0.25">
      <c r="A295">
        <v>10724788</v>
      </c>
      <c r="B295" s="1">
        <v>45641.032650462963</v>
      </c>
      <c r="C295" t="s">
        <v>1</v>
      </c>
      <c r="D295" t="str">
        <f>VLOOKUP(A295,MERCADO!A:B,2,0)</f>
        <v>Servicos</v>
      </c>
      <c r="E295" t="str">
        <f>_xlfn.XLOOKUP(A295, ORIGEM!A:A, ORIGEM!B:B)</f>
        <v>Google</v>
      </c>
      <c r="F295" t="str">
        <f>_xlfn.XLOOKUP(A295, ORIGEM!A:A, ORIGEM!C:C)</f>
        <v>google - cpc</v>
      </c>
      <c r="G295" t="str">
        <f>_xlfn.XLOOKUP(A295, LOCAL!A:A, LOCAL!B:B)</f>
        <v>Belo Horizonte - MG</v>
      </c>
      <c r="H295" t="str">
        <f>_xlfn.XLOOKUP(A295, PORTE!A:A, PORTE!B:B)</f>
        <v>51-300</v>
      </c>
      <c r="I295" t="str">
        <f>_xlfn.XLOOKUP(A295, OBJETIVO!A:A, OBJETIVO!B:B)</f>
        <v>Abertura/Expansão</v>
      </c>
      <c r="J295">
        <f t="shared" si="4"/>
        <v>1</v>
      </c>
    </row>
    <row r="296" spans="1:10" x14ac:dyDescent="0.25">
      <c r="A296">
        <v>11560398</v>
      </c>
      <c r="B296" s="1">
        <v>45723.36041666667</v>
      </c>
      <c r="C296" t="s">
        <v>1</v>
      </c>
      <c r="D296" t="str">
        <f>VLOOKUP(A296,MERCADO!A:B,2,0)</f>
        <v>Servicos</v>
      </c>
      <c r="E296" t="str">
        <f>_xlfn.XLOOKUP(A296, ORIGEM!A:A, ORIGEM!B:B)</f>
        <v>Bing</v>
      </c>
      <c r="F296" t="str">
        <f>_xlfn.XLOOKUP(A296, ORIGEM!A:A, ORIGEM!C:C)</f>
        <v>bing - cpc</v>
      </c>
      <c r="G296" t="str">
        <f>_xlfn.XLOOKUP(A296, LOCAL!A:A, LOCAL!B:B)</f>
        <v>Brasília - DF</v>
      </c>
      <c r="H296" t="str">
        <f>_xlfn.XLOOKUP(A296, PORTE!A:A, PORTE!B:B)</f>
        <v>1-10</v>
      </c>
      <c r="I296" t="str">
        <f>_xlfn.XLOOKUP(A296, OBJETIVO!A:A, OBJETIVO!B:B)</f>
        <v>Outro</v>
      </c>
      <c r="J296">
        <f t="shared" si="4"/>
        <v>1</v>
      </c>
    </row>
    <row r="297" spans="1:10" x14ac:dyDescent="0.25">
      <c r="A297">
        <v>11407595</v>
      </c>
      <c r="B297" s="1">
        <v>45708.641875000001</v>
      </c>
      <c r="C297" t="s">
        <v>1</v>
      </c>
      <c r="D297" t="str">
        <f>VLOOKUP(A297,MERCADO!A:B,2,0)</f>
        <v>Industria</v>
      </c>
      <c r="E297" t="str">
        <f>_xlfn.XLOOKUP(A297, ORIGEM!A:A, ORIGEM!B:B)</f>
        <v>Google</v>
      </c>
      <c r="F297" t="str">
        <f>_xlfn.XLOOKUP(A297, ORIGEM!A:A, ORIGEM!C:C)</f>
        <v>google - cpc</v>
      </c>
      <c r="G297" t="str">
        <f>_xlfn.XLOOKUP(A297, LOCAL!A:A, LOCAL!B:B)</f>
        <v>Brasília - DF</v>
      </c>
      <c r="H297" t="str">
        <f>_xlfn.XLOOKUP(A297, PORTE!A:A, PORTE!B:B)</f>
        <v>1-10</v>
      </c>
      <c r="I297" t="str">
        <f>_xlfn.XLOOKUP(A297, OBJETIVO!A:A, OBJETIVO!B:B)</f>
        <v>Outro</v>
      </c>
      <c r="J297">
        <f t="shared" si="4"/>
        <v>1</v>
      </c>
    </row>
    <row r="298" spans="1:10" x14ac:dyDescent="0.25">
      <c r="A298">
        <v>11902302</v>
      </c>
      <c r="B298" s="1">
        <v>45754.650937500002</v>
      </c>
      <c r="C298" t="s">
        <v>1</v>
      </c>
      <c r="D298" t="str">
        <f>VLOOKUP(A298,MERCADO!A:B,2,0)</f>
        <v>Varejo</v>
      </c>
      <c r="E298" t="str">
        <f>_xlfn.XLOOKUP(A298, ORIGEM!A:A, ORIGEM!B:B)</f>
        <v>Orgânico</v>
      </c>
      <c r="F298">
        <f>_xlfn.XLOOKUP(A298, ORIGEM!A:A, ORIGEM!C:C)</f>
        <v>0</v>
      </c>
      <c r="G298" t="str">
        <f>_xlfn.XLOOKUP(A298, LOCAL!A:A, LOCAL!B:B)</f>
        <v>São Luís - MA</v>
      </c>
      <c r="H298" t="str">
        <f>_xlfn.XLOOKUP(A298, PORTE!A:A, PORTE!B:B)</f>
        <v>1-10</v>
      </c>
      <c r="I298" t="str">
        <f>_xlfn.XLOOKUP(A298, OBJETIVO!A:A, OBJETIVO!B:B)</f>
        <v>Ações de marketing/vendas</v>
      </c>
      <c r="J298">
        <f t="shared" si="4"/>
        <v>1</v>
      </c>
    </row>
    <row r="299" spans="1:10" x14ac:dyDescent="0.25">
      <c r="A299">
        <v>11401562</v>
      </c>
      <c r="B299" s="1">
        <v>45707.59648148148</v>
      </c>
      <c r="C299" t="s">
        <v>1</v>
      </c>
      <c r="D299" t="str">
        <f>VLOOKUP(A299,MERCADO!A:B,2,0)</f>
        <v>Marketing/Publicidade/Consultoria</v>
      </c>
      <c r="E299" t="str">
        <f>_xlfn.XLOOKUP(A299, ORIGEM!A:A, ORIGEM!B:B)</f>
        <v>Google</v>
      </c>
      <c r="F299" t="str">
        <f>_xlfn.XLOOKUP(A299, ORIGEM!A:A, ORIGEM!C:C)</f>
        <v>google - cpc</v>
      </c>
      <c r="G299" t="str">
        <f>_xlfn.XLOOKUP(A299, LOCAL!A:A, LOCAL!B:B)</f>
        <v>Brasília - DF</v>
      </c>
      <c r="H299" t="str">
        <f>_xlfn.XLOOKUP(A299, PORTE!A:A, PORTE!B:B)</f>
        <v>11-50</v>
      </c>
      <c r="I299" t="str">
        <f>_xlfn.XLOOKUP(A299, OBJETIVO!A:A, OBJETIVO!B:B)</f>
        <v>Consultoria</v>
      </c>
      <c r="J299">
        <f t="shared" si="4"/>
        <v>1</v>
      </c>
    </row>
    <row r="300" spans="1:10" x14ac:dyDescent="0.25">
      <c r="A300">
        <v>11115488</v>
      </c>
      <c r="B300" s="1">
        <v>45683.398680555554</v>
      </c>
      <c r="C300" t="s">
        <v>1</v>
      </c>
      <c r="D300" t="str">
        <f>VLOOKUP(A300,MERCADO!A:B,2,0)</f>
        <v>Marketing/Publicidade/Consultoria</v>
      </c>
      <c r="E300" t="str">
        <f>_xlfn.XLOOKUP(A300, ORIGEM!A:A, ORIGEM!B:B)</f>
        <v>Google</v>
      </c>
      <c r="F300" t="str">
        <f>_xlfn.XLOOKUP(A300, ORIGEM!A:A, ORIGEM!C:C)</f>
        <v>google - cpc</v>
      </c>
      <c r="G300" t="str">
        <f>_xlfn.XLOOKUP(A300, LOCAL!A:A, LOCAL!B:B)</f>
        <v>São Paulo - SP</v>
      </c>
      <c r="H300" t="str">
        <f>_xlfn.XLOOKUP(A300, PORTE!A:A, PORTE!B:B)</f>
        <v>1-10</v>
      </c>
      <c r="I300" t="str">
        <f>_xlfn.XLOOKUP(A300, OBJETIVO!A:A, OBJETIVO!B:B)</f>
        <v>Outro</v>
      </c>
      <c r="J300">
        <f t="shared" si="4"/>
        <v>1</v>
      </c>
    </row>
    <row r="301" spans="1:10" x14ac:dyDescent="0.25">
      <c r="A301">
        <v>11263911</v>
      </c>
      <c r="B301" s="1">
        <v>45693.642893518518</v>
      </c>
      <c r="C301" t="s">
        <v>1</v>
      </c>
      <c r="D301" t="str">
        <f>VLOOKUP(A301,MERCADO!A:B,2,0)</f>
        <v>Marketing/Publicidade/Consultoria</v>
      </c>
      <c r="E301" t="str">
        <f>_xlfn.XLOOKUP(A301, ORIGEM!A:A, ORIGEM!B:B)</f>
        <v>Google</v>
      </c>
      <c r="F301" t="str">
        <f>_xlfn.XLOOKUP(A301, ORIGEM!A:A, ORIGEM!C:C)</f>
        <v>google - cpc</v>
      </c>
      <c r="G301" t="str">
        <f>_xlfn.XLOOKUP(A301, LOCAL!A:A, LOCAL!B:B)</f>
        <v>Campinas - SP</v>
      </c>
      <c r="H301" t="str">
        <f>_xlfn.XLOOKUP(A301, PORTE!A:A, PORTE!B:B)</f>
        <v>1-10</v>
      </c>
      <c r="I301" t="str">
        <f>_xlfn.XLOOKUP(A301, OBJETIVO!A:A, OBJETIVO!B:B)</f>
        <v>Consultoria</v>
      </c>
      <c r="J301">
        <f t="shared" si="4"/>
        <v>1</v>
      </c>
    </row>
    <row r="302" spans="1:10" x14ac:dyDescent="0.25">
      <c r="A302">
        <v>11901215</v>
      </c>
      <c r="B302" s="1">
        <v>45754.62572916667</v>
      </c>
      <c r="C302" t="s">
        <v>1</v>
      </c>
      <c r="D302" t="str">
        <f>VLOOKUP(A302,MERCADO!A:B,2,0)</f>
        <v>Marketing/Publicidade/Consultoria</v>
      </c>
      <c r="E302" t="str">
        <f>_xlfn.XLOOKUP(A302, ORIGEM!A:A, ORIGEM!B:B)</f>
        <v>Google</v>
      </c>
      <c r="F302" t="str">
        <f>_xlfn.XLOOKUP(A302, ORIGEM!A:A, ORIGEM!C:C)</f>
        <v>google - cpc</v>
      </c>
      <c r="G302" t="str">
        <f>_xlfn.XLOOKUP(A302, LOCAL!A:A, LOCAL!B:B)</f>
        <v>São Paulo - SP</v>
      </c>
      <c r="H302" t="str">
        <f>_xlfn.XLOOKUP(A302, PORTE!A:A, PORTE!B:B)</f>
        <v>51-300</v>
      </c>
      <c r="I302" t="str">
        <f>_xlfn.XLOOKUP(A302, OBJETIVO!A:A, OBJETIVO!B:B)</f>
        <v>Consultoria</v>
      </c>
      <c r="J302">
        <f t="shared" si="4"/>
        <v>1</v>
      </c>
    </row>
    <row r="303" spans="1:10" x14ac:dyDescent="0.25">
      <c r="A303">
        <v>11422021</v>
      </c>
      <c r="B303" s="1">
        <v>45710.646898148145</v>
      </c>
      <c r="C303" t="s">
        <v>1</v>
      </c>
      <c r="D303" t="str">
        <f>VLOOKUP(A303,MERCADO!A:B,2,0)</f>
        <v>Industria</v>
      </c>
      <c r="E303" t="str">
        <f>_xlfn.XLOOKUP(A303, ORIGEM!A:A, ORIGEM!B:B)</f>
        <v>Google</v>
      </c>
      <c r="F303" t="str">
        <f>_xlfn.XLOOKUP(A303, ORIGEM!A:A, ORIGEM!C:C)</f>
        <v>google - cpc</v>
      </c>
      <c r="G303" t="str">
        <f>_xlfn.XLOOKUP(A303, LOCAL!A:A, LOCAL!B:B)</f>
        <v>São Paulo - SP</v>
      </c>
      <c r="H303" t="str">
        <f>_xlfn.XLOOKUP(A303, PORTE!A:A, PORTE!B:B)</f>
        <v>11-50</v>
      </c>
      <c r="I303" t="str">
        <f>_xlfn.XLOOKUP(A303, OBJETIVO!A:A, OBJETIVO!B:B)</f>
        <v>Geração de leads b2b</v>
      </c>
      <c r="J303">
        <f t="shared" si="4"/>
        <v>1</v>
      </c>
    </row>
    <row r="304" spans="1:10" x14ac:dyDescent="0.25">
      <c r="A304">
        <v>10749590</v>
      </c>
      <c r="B304" s="1">
        <v>45642.752268518518</v>
      </c>
      <c r="C304" t="s">
        <v>1</v>
      </c>
      <c r="D304" t="str">
        <f>VLOOKUP(A304,MERCADO!A:B,2,0)</f>
        <v>Varejo</v>
      </c>
      <c r="E304" t="str">
        <f>_xlfn.XLOOKUP(A304, ORIGEM!A:A, ORIGEM!B:B)</f>
        <v>Orgânico</v>
      </c>
      <c r="F304">
        <f>_xlfn.XLOOKUP(A304, ORIGEM!A:A, ORIGEM!C:C)</f>
        <v>0</v>
      </c>
      <c r="G304" t="str">
        <f>_xlfn.XLOOKUP(A304, LOCAL!A:A, LOCAL!B:B)</f>
        <v>Eusébio - CE</v>
      </c>
      <c r="H304" t="str">
        <f>_xlfn.XLOOKUP(A304, PORTE!A:A, PORTE!B:B)</f>
        <v>11-50</v>
      </c>
      <c r="I304">
        <f>_xlfn.XLOOKUP(A304, OBJETIVO!A:A, OBJETIVO!B:B)</f>
        <v>0</v>
      </c>
      <c r="J304">
        <f t="shared" si="4"/>
        <v>1</v>
      </c>
    </row>
    <row r="305" spans="1:10" x14ac:dyDescent="0.25">
      <c r="A305">
        <v>10795816</v>
      </c>
      <c r="B305" s="1">
        <v>45648.402442129627</v>
      </c>
      <c r="C305" t="s">
        <v>1</v>
      </c>
      <c r="D305" t="str">
        <f>VLOOKUP(A305,MERCADO!A:B,2,0)</f>
        <v>Industria</v>
      </c>
      <c r="E305" t="str">
        <f>_xlfn.XLOOKUP(A305, ORIGEM!A:A, ORIGEM!B:B)</f>
        <v>Orgânico</v>
      </c>
      <c r="F305">
        <f>_xlfn.XLOOKUP(A305, ORIGEM!A:A, ORIGEM!C:C)</f>
        <v>0</v>
      </c>
      <c r="G305" t="str">
        <f>_xlfn.XLOOKUP(A305, LOCAL!A:A, LOCAL!B:B)</f>
        <v>Rio de Janeiro - RJ</v>
      </c>
      <c r="H305" t="str">
        <f>_xlfn.XLOOKUP(A305, PORTE!A:A, PORTE!B:B)</f>
        <v>11-50</v>
      </c>
      <c r="I305" t="str">
        <f>_xlfn.XLOOKUP(A305, OBJETIVO!A:A, OBJETIVO!B:B)</f>
        <v>Ações de marketing/vendas</v>
      </c>
      <c r="J305">
        <f t="shared" si="4"/>
        <v>1</v>
      </c>
    </row>
    <row r="306" spans="1:10" x14ac:dyDescent="0.25">
      <c r="A306">
        <v>10893294</v>
      </c>
      <c r="B306" s="1">
        <v>45663.787256944444</v>
      </c>
      <c r="C306" t="s">
        <v>0</v>
      </c>
      <c r="D306" t="str">
        <f>VLOOKUP(A306,MERCADO!A:B,2,0)</f>
        <v>Industria</v>
      </c>
      <c r="E306" t="str">
        <f>_xlfn.XLOOKUP(A306, ORIGEM!A:A, ORIGEM!B:B)</f>
        <v>Google</v>
      </c>
      <c r="F306" t="str">
        <f>_xlfn.XLOOKUP(A306, ORIGEM!A:A, ORIGEM!C:C)</f>
        <v>google - cpc</v>
      </c>
      <c r="G306" t="str">
        <f>_xlfn.XLOOKUP(A306, LOCAL!A:A, LOCAL!B:B)</f>
        <v>Santo André - SP</v>
      </c>
      <c r="H306" t="str">
        <f>_xlfn.XLOOKUP(A306, PORTE!A:A, PORTE!B:B)</f>
        <v>11-50</v>
      </c>
      <c r="I306" t="str">
        <f>_xlfn.XLOOKUP(A306, OBJETIVO!A:A, OBJETIVO!B:B)</f>
        <v>Planejamento estratégico</v>
      </c>
      <c r="J306">
        <f t="shared" si="4"/>
        <v>0</v>
      </c>
    </row>
    <row r="307" spans="1:10" x14ac:dyDescent="0.25">
      <c r="A307">
        <v>11567791</v>
      </c>
      <c r="B307" s="1">
        <v>45724.470914351848</v>
      </c>
      <c r="C307" t="s">
        <v>1</v>
      </c>
      <c r="D307" t="str">
        <f>VLOOKUP(A307,MERCADO!A:B,2,0)</f>
        <v>Industria</v>
      </c>
      <c r="E307" t="str">
        <f>_xlfn.XLOOKUP(A307, ORIGEM!A:A, ORIGEM!B:B)</f>
        <v>Orgânico</v>
      </c>
      <c r="F307">
        <f>_xlfn.XLOOKUP(A307, ORIGEM!A:A, ORIGEM!C:C)</f>
        <v>0</v>
      </c>
      <c r="G307" t="str">
        <f>_xlfn.XLOOKUP(A307, LOCAL!A:A, LOCAL!B:B)</f>
        <v>Araruama - RJ</v>
      </c>
      <c r="H307" t="str">
        <f>_xlfn.XLOOKUP(A307, PORTE!A:A, PORTE!B:B)</f>
        <v>1-10</v>
      </c>
      <c r="I307" t="str">
        <f>_xlfn.XLOOKUP(A307, OBJETIVO!A:A, OBJETIVO!B:B)</f>
        <v>Geração de leads b2b</v>
      </c>
      <c r="J307">
        <f t="shared" si="4"/>
        <v>1</v>
      </c>
    </row>
    <row r="308" spans="1:10" x14ac:dyDescent="0.25">
      <c r="A308">
        <v>11406873</v>
      </c>
      <c r="B308" s="1">
        <v>45708.440081018518</v>
      </c>
      <c r="C308" t="s">
        <v>1</v>
      </c>
      <c r="D308" t="str">
        <f>VLOOKUP(A308,MERCADO!A:B,2,0)</f>
        <v>Servicos</v>
      </c>
      <c r="E308" t="str">
        <f>_xlfn.XLOOKUP(A308, ORIGEM!A:A, ORIGEM!B:B)</f>
        <v>Google</v>
      </c>
      <c r="F308" t="str">
        <f>_xlfn.XLOOKUP(A308, ORIGEM!A:A, ORIGEM!C:C)</f>
        <v>google - cpc</v>
      </c>
      <c r="G308" t="str">
        <f>_xlfn.XLOOKUP(A308, LOCAL!A:A, LOCAL!B:B)</f>
        <v>São Paulo - SP</v>
      </c>
      <c r="H308" t="str">
        <f>_xlfn.XLOOKUP(A308, PORTE!A:A, PORTE!B:B)</f>
        <v>11-50</v>
      </c>
      <c r="I308" t="str">
        <f>_xlfn.XLOOKUP(A308, OBJETIVO!A:A, OBJETIVO!B:B)</f>
        <v>Abertura/Expansão</v>
      </c>
      <c r="J308">
        <f t="shared" si="4"/>
        <v>1</v>
      </c>
    </row>
    <row r="309" spans="1:10" x14ac:dyDescent="0.25">
      <c r="A309">
        <v>10884738</v>
      </c>
      <c r="B309" s="1">
        <v>45663.428993055553</v>
      </c>
      <c r="C309" t="s">
        <v>1</v>
      </c>
      <c r="D309" t="str">
        <f>VLOOKUP(A309,MERCADO!A:B,2,0)</f>
        <v>Marketing/Publicidade/Consultoria</v>
      </c>
      <c r="E309" t="str">
        <f>_xlfn.XLOOKUP(A309, ORIGEM!A:A, ORIGEM!B:B)</f>
        <v>Orgânico</v>
      </c>
      <c r="F309">
        <f>_xlfn.XLOOKUP(A309, ORIGEM!A:A, ORIGEM!C:C)</f>
        <v>0</v>
      </c>
      <c r="G309" t="str">
        <f>_xlfn.XLOOKUP(A309, LOCAL!A:A, LOCAL!B:B)</f>
        <v>Ilhabela - SP</v>
      </c>
      <c r="H309" t="str">
        <f>_xlfn.XLOOKUP(A309, PORTE!A:A, PORTE!B:B)</f>
        <v>51-300</v>
      </c>
      <c r="I309" t="str">
        <f>_xlfn.XLOOKUP(A309, OBJETIVO!A:A, OBJETIVO!B:B)</f>
        <v>Geração de leads b2b</v>
      </c>
      <c r="J309">
        <f t="shared" si="4"/>
        <v>1</v>
      </c>
    </row>
    <row r="310" spans="1:10" x14ac:dyDescent="0.25">
      <c r="A310">
        <v>10912551</v>
      </c>
      <c r="B310" s="1">
        <v>45665.511400462965</v>
      </c>
      <c r="C310" t="s">
        <v>1</v>
      </c>
      <c r="D310" t="str">
        <f>VLOOKUP(A310,MERCADO!A:B,2,0)</f>
        <v>Marketing/Publicidade/Consultoria</v>
      </c>
      <c r="E310" t="str">
        <f>_xlfn.XLOOKUP(A310, ORIGEM!A:A, ORIGEM!B:B)</f>
        <v>Google</v>
      </c>
      <c r="F310" t="str">
        <f>_xlfn.XLOOKUP(A310, ORIGEM!A:A, ORIGEM!C:C)</f>
        <v>google - cpc</v>
      </c>
      <c r="G310" t="str">
        <f>_xlfn.XLOOKUP(A310, LOCAL!A:A, LOCAL!B:B)</f>
        <v>Teresina - PI</v>
      </c>
      <c r="H310" t="str">
        <f>_xlfn.XLOOKUP(A310, PORTE!A:A, PORTE!B:B)</f>
        <v>1-10</v>
      </c>
      <c r="I310" t="str">
        <f>_xlfn.XLOOKUP(A310, OBJETIVO!A:A, OBJETIVO!B:B)</f>
        <v>Consultoria</v>
      </c>
      <c r="J310">
        <f t="shared" si="4"/>
        <v>1</v>
      </c>
    </row>
    <row r="311" spans="1:10" x14ac:dyDescent="0.25">
      <c r="A311">
        <v>11738816</v>
      </c>
      <c r="B311" s="1">
        <v>45740.313993055555</v>
      </c>
      <c r="C311" t="s">
        <v>1</v>
      </c>
      <c r="D311" t="str">
        <f>VLOOKUP(A311,MERCADO!A:B,2,0)</f>
        <v>Servicos</v>
      </c>
      <c r="E311" t="str">
        <f>_xlfn.XLOOKUP(A311, ORIGEM!A:A, ORIGEM!B:B)</f>
        <v>Google</v>
      </c>
      <c r="F311" t="str">
        <f>_xlfn.XLOOKUP(A311, ORIGEM!A:A, ORIGEM!C:C)</f>
        <v>google - cpc</v>
      </c>
      <c r="G311" t="str">
        <f>_xlfn.XLOOKUP(A311, LOCAL!A:A, LOCAL!B:B)</f>
        <v>Jundiaí - SP</v>
      </c>
      <c r="H311" t="str">
        <f>_xlfn.XLOOKUP(A311, PORTE!A:A, PORTE!B:B)</f>
        <v>1-10</v>
      </c>
      <c r="I311" t="str">
        <f>_xlfn.XLOOKUP(A311, OBJETIVO!A:A, OBJETIVO!B:B)</f>
        <v>Abertura/Expansão</v>
      </c>
      <c r="J311">
        <f t="shared" si="4"/>
        <v>1</v>
      </c>
    </row>
    <row r="312" spans="1:10" x14ac:dyDescent="0.25">
      <c r="A312">
        <v>11266644</v>
      </c>
      <c r="B312" s="1">
        <v>45693.767060185186</v>
      </c>
      <c r="C312" t="s">
        <v>1</v>
      </c>
      <c r="D312" t="str">
        <f>VLOOKUP(A312,MERCADO!A:B,2,0)</f>
        <v>Servicos</v>
      </c>
      <c r="E312" t="str">
        <f>_xlfn.XLOOKUP(A312, ORIGEM!A:A, ORIGEM!B:B)</f>
        <v>Orgânico</v>
      </c>
      <c r="F312">
        <f>_xlfn.XLOOKUP(A312, ORIGEM!A:A, ORIGEM!C:C)</f>
        <v>0</v>
      </c>
      <c r="G312" t="str">
        <f>_xlfn.XLOOKUP(A312, LOCAL!A:A, LOCAL!B:B)</f>
        <v>-</v>
      </c>
      <c r="H312" t="str">
        <f>_xlfn.XLOOKUP(A312, PORTE!A:A, PORTE!B:B)</f>
        <v>1-10</v>
      </c>
      <c r="I312" t="str">
        <f>_xlfn.XLOOKUP(A312, OBJETIVO!A:A, OBJETIVO!B:B)</f>
        <v>Planejamento estratégico</v>
      </c>
      <c r="J312">
        <f t="shared" si="4"/>
        <v>1</v>
      </c>
    </row>
    <row r="313" spans="1:10" x14ac:dyDescent="0.25">
      <c r="A313">
        <v>11678652</v>
      </c>
      <c r="B313" s="1">
        <v>45733.732569444444</v>
      </c>
      <c r="C313" t="s">
        <v>1</v>
      </c>
      <c r="D313" t="str">
        <f>VLOOKUP(A313,MERCADO!A:B,2,0)</f>
        <v>Empreendedor</v>
      </c>
      <c r="E313" t="str">
        <f>_xlfn.XLOOKUP(A313, ORIGEM!A:A, ORIGEM!B:B)</f>
        <v>Google</v>
      </c>
      <c r="F313">
        <f>_xlfn.XLOOKUP(A313, ORIGEM!A:A, ORIGEM!C:C)</f>
        <v>0</v>
      </c>
      <c r="G313" t="str">
        <f>_xlfn.XLOOKUP(A313, LOCAL!A:A, LOCAL!B:B)</f>
        <v>São Paulo, SP</v>
      </c>
      <c r="H313" t="str">
        <f>_xlfn.XLOOKUP(A313, PORTE!A:A, PORTE!B:B)</f>
        <v>1-10</v>
      </c>
      <c r="I313" t="str">
        <f>_xlfn.XLOOKUP(A313, OBJETIVO!A:A, OBJETIVO!B:B)</f>
        <v>Abertura/Expansão</v>
      </c>
      <c r="J313">
        <f t="shared" si="4"/>
        <v>1</v>
      </c>
    </row>
    <row r="314" spans="1:10" x14ac:dyDescent="0.25">
      <c r="A314">
        <v>11847945</v>
      </c>
      <c r="B314" s="1">
        <v>45748.671342592592</v>
      </c>
      <c r="C314" t="s">
        <v>1</v>
      </c>
      <c r="D314" t="str">
        <f>VLOOKUP(A314,MERCADO!A:B,2,0)</f>
        <v>Empreendedor</v>
      </c>
      <c r="E314" t="str">
        <f>_xlfn.XLOOKUP(A314, ORIGEM!A:A, ORIGEM!B:B)</f>
        <v>Google</v>
      </c>
      <c r="F314">
        <f>_xlfn.XLOOKUP(A314, ORIGEM!A:A, ORIGEM!C:C)</f>
        <v>0</v>
      </c>
      <c r="G314" t="str">
        <f>_xlfn.XLOOKUP(A314, LOCAL!A:A, LOCAL!B:B)</f>
        <v>RJ</v>
      </c>
      <c r="H314" t="str">
        <f>_xlfn.XLOOKUP(A314, PORTE!A:A, PORTE!B:B)</f>
        <v>1-10</v>
      </c>
      <c r="I314" t="str">
        <f>_xlfn.XLOOKUP(A314, OBJETIVO!A:A, OBJETIVO!B:B)</f>
        <v>Abertura/Expansão</v>
      </c>
      <c r="J314">
        <f t="shared" si="4"/>
        <v>1</v>
      </c>
    </row>
    <row r="315" spans="1:10" x14ac:dyDescent="0.25">
      <c r="A315">
        <v>11811803</v>
      </c>
      <c r="B315" s="1">
        <v>45745.720717592594</v>
      </c>
      <c r="C315" t="s">
        <v>1</v>
      </c>
      <c r="D315" t="str">
        <f>VLOOKUP(A315,MERCADO!A:B,2,0)</f>
        <v>Empreendedor</v>
      </c>
      <c r="E315" t="str">
        <f>_xlfn.XLOOKUP(A315, ORIGEM!A:A, ORIGEM!B:B)</f>
        <v>Facebook</v>
      </c>
      <c r="F315" t="str">
        <f>_xlfn.XLOOKUP(A315, ORIGEM!A:A, ORIGEM!C:C)</f>
        <v>facebook - cpc</v>
      </c>
      <c r="G315" t="str">
        <f>_xlfn.XLOOKUP(A315, LOCAL!A:A, LOCAL!B:B)</f>
        <v>Recife - PE</v>
      </c>
      <c r="H315" t="str">
        <f>_xlfn.XLOOKUP(A315, PORTE!A:A, PORTE!B:B)</f>
        <v>1-10</v>
      </c>
      <c r="I315" t="str">
        <f>_xlfn.XLOOKUP(A315, OBJETIVO!A:A, OBJETIVO!B:B)</f>
        <v>Ações de marketing/vendas</v>
      </c>
      <c r="J315">
        <f t="shared" si="4"/>
        <v>1</v>
      </c>
    </row>
    <row r="316" spans="1:10" x14ac:dyDescent="0.25">
      <c r="A316">
        <v>11790136</v>
      </c>
      <c r="B316" s="1">
        <v>45744.426736111112</v>
      </c>
      <c r="C316" t="s">
        <v>1</v>
      </c>
      <c r="D316" t="str">
        <f>VLOOKUP(A316,MERCADO!A:B,2,0)</f>
        <v>Empreendedor</v>
      </c>
      <c r="E316" t="str">
        <f>_xlfn.XLOOKUP(A316, ORIGEM!A:A, ORIGEM!B:B)</f>
        <v>Orgânico</v>
      </c>
      <c r="F316">
        <f>_xlfn.XLOOKUP(A316, ORIGEM!A:A, ORIGEM!C:C)</f>
        <v>0</v>
      </c>
      <c r="G316" t="str">
        <f>_xlfn.XLOOKUP(A316, LOCAL!A:A, LOCAL!B:B)</f>
        <v>São Paulo - SP</v>
      </c>
      <c r="H316" t="str">
        <f>_xlfn.XLOOKUP(A316, PORTE!A:A, PORTE!B:B)</f>
        <v>0</v>
      </c>
      <c r="I316" t="str">
        <f>_xlfn.XLOOKUP(A316, OBJETIVO!A:A, OBJETIVO!B:B)</f>
        <v>Abertura/Expansão</v>
      </c>
      <c r="J316">
        <f t="shared" si="4"/>
        <v>1</v>
      </c>
    </row>
    <row r="317" spans="1:10" x14ac:dyDescent="0.25">
      <c r="A317">
        <v>11613619</v>
      </c>
      <c r="B317" s="1">
        <v>45727.613171296296</v>
      </c>
      <c r="C317" t="s">
        <v>1</v>
      </c>
      <c r="D317" t="str">
        <f>VLOOKUP(A317,MERCADO!A:B,2,0)</f>
        <v>Empreendedor</v>
      </c>
      <c r="E317" t="str">
        <f>_xlfn.XLOOKUP(A317, ORIGEM!A:A, ORIGEM!B:B)</f>
        <v>Orgânico</v>
      </c>
      <c r="F317">
        <f>_xlfn.XLOOKUP(A317, ORIGEM!A:A, ORIGEM!C:C)</f>
        <v>0</v>
      </c>
      <c r="G317" t="str">
        <f>_xlfn.XLOOKUP(A317, LOCAL!A:A, LOCAL!B:B)</f>
        <v>São Paulo - SP</v>
      </c>
      <c r="H317" t="str">
        <f>_xlfn.XLOOKUP(A317, PORTE!A:A, PORTE!B:B)</f>
        <v>0</v>
      </c>
      <c r="I317" t="str">
        <f>_xlfn.XLOOKUP(A317, OBJETIVO!A:A, OBJETIVO!B:B)</f>
        <v>Abertura/Expansão</v>
      </c>
      <c r="J317">
        <f t="shared" si="4"/>
        <v>1</v>
      </c>
    </row>
    <row r="318" spans="1:10" x14ac:dyDescent="0.25">
      <c r="A318">
        <v>10782343</v>
      </c>
      <c r="B318" s="1">
        <v>45646.817430555559</v>
      </c>
      <c r="C318" t="s">
        <v>1</v>
      </c>
      <c r="D318" t="str">
        <f>VLOOKUP(A318,MERCADO!A:B,2,0)</f>
        <v>Empreendedor</v>
      </c>
      <c r="E318" t="str">
        <f>_xlfn.XLOOKUP(A318, ORIGEM!A:A, ORIGEM!B:B)</f>
        <v>Google</v>
      </c>
      <c r="F318" t="str">
        <f>_xlfn.XLOOKUP(A318, ORIGEM!A:A, ORIGEM!C:C)</f>
        <v>google - cpc</v>
      </c>
      <c r="G318" t="str">
        <f>_xlfn.XLOOKUP(A318, LOCAL!A:A, LOCAL!B:B)</f>
        <v>Lauro de Freitas - BA</v>
      </c>
      <c r="H318" t="str">
        <f>_xlfn.XLOOKUP(A318, PORTE!A:A, PORTE!B:B)</f>
        <v>1-10</v>
      </c>
      <c r="I318" t="str">
        <f>_xlfn.XLOOKUP(A318, OBJETIVO!A:A, OBJETIVO!B:B)</f>
        <v>Abertura/Expansão</v>
      </c>
      <c r="J318">
        <f t="shared" si="4"/>
        <v>1</v>
      </c>
    </row>
    <row r="319" spans="1:10" x14ac:dyDescent="0.25">
      <c r="A319">
        <v>11832932</v>
      </c>
      <c r="B319" s="1">
        <v>45747.564108796294</v>
      </c>
      <c r="C319" t="s">
        <v>1</v>
      </c>
      <c r="D319" t="str">
        <f>VLOOKUP(A319,MERCADO!A:B,2,0)</f>
        <v>Empreendedor</v>
      </c>
      <c r="E319" t="str">
        <f>_xlfn.XLOOKUP(A319, ORIGEM!A:A, ORIGEM!B:B)</f>
        <v>Google</v>
      </c>
      <c r="F319" t="str">
        <f>_xlfn.XLOOKUP(A319, ORIGEM!A:A, ORIGEM!C:C)</f>
        <v>google - cpc</v>
      </c>
      <c r="G319" t="str">
        <f>_xlfn.XLOOKUP(A319, LOCAL!A:A, LOCAL!B:B)</f>
        <v>São Paulo - SP</v>
      </c>
      <c r="H319" t="str">
        <f>_xlfn.XLOOKUP(A319, PORTE!A:A, PORTE!B:B)</f>
        <v>0</v>
      </c>
      <c r="I319" t="str">
        <f>_xlfn.XLOOKUP(A319, OBJETIVO!A:A, OBJETIVO!B:B)</f>
        <v>Abertura/Expansão</v>
      </c>
      <c r="J319">
        <f t="shared" si="4"/>
        <v>1</v>
      </c>
    </row>
    <row r="320" spans="1:10" x14ac:dyDescent="0.25">
      <c r="A320">
        <v>10881687</v>
      </c>
      <c r="B320" s="1">
        <v>45662.997546296298</v>
      </c>
      <c r="C320" t="s">
        <v>0</v>
      </c>
      <c r="D320" t="str">
        <f>VLOOKUP(A320,MERCADO!A:B,2,0)</f>
        <v>Empreendedor</v>
      </c>
      <c r="E320" t="str">
        <f>_xlfn.XLOOKUP(A320, ORIGEM!A:A, ORIGEM!B:B)</f>
        <v>Google</v>
      </c>
      <c r="F320" t="str">
        <f>_xlfn.XLOOKUP(A320, ORIGEM!A:A, ORIGEM!C:C)</f>
        <v>google - cpc</v>
      </c>
      <c r="G320" t="str">
        <f>_xlfn.XLOOKUP(A320, LOCAL!A:A, LOCAL!B:B)</f>
        <v>-</v>
      </c>
      <c r="H320" t="str">
        <f>_xlfn.XLOOKUP(A320, PORTE!A:A, PORTE!B:B)</f>
        <v>51-300</v>
      </c>
      <c r="I320" t="str">
        <f>_xlfn.XLOOKUP(A320, OBJETIVO!A:A, OBJETIVO!B:B)</f>
        <v>Abertura/Expansão</v>
      </c>
      <c r="J320">
        <f t="shared" si="4"/>
        <v>0</v>
      </c>
    </row>
    <row r="321" spans="1:10" x14ac:dyDescent="0.25">
      <c r="A321">
        <v>11072481</v>
      </c>
      <c r="B321" s="1">
        <v>45678.641053240739</v>
      </c>
      <c r="C321" t="s">
        <v>0</v>
      </c>
      <c r="D321" t="str">
        <f>VLOOKUP(A321,MERCADO!A:B,2,0)</f>
        <v>Franqueadora</v>
      </c>
      <c r="E321" t="str">
        <f>_xlfn.XLOOKUP(A321, ORIGEM!A:A, ORIGEM!B:B)</f>
        <v>Orgânico</v>
      </c>
      <c r="F321">
        <f>_xlfn.XLOOKUP(A321, ORIGEM!A:A, ORIGEM!C:C)</f>
        <v>0</v>
      </c>
      <c r="G321" t="str">
        <f>_xlfn.XLOOKUP(A321, LOCAL!A:A, LOCAL!B:B)</f>
        <v>São José dos Campos - SP</v>
      </c>
      <c r="H321" t="str">
        <f>_xlfn.XLOOKUP(A321, PORTE!A:A, PORTE!B:B)</f>
        <v>0</v>
      </c>
      <c r="I321" t="str">
        <f>_xlfn.XLOOKUP(A321, OBJETIVO!A:A, OBJETIVO!B:B)</f>
        <v>Ações de marketing/vendas</v>
      </c>
      <c r="J321">
        <f t="shared" si="4"/>
        <v>0</v>
      </c>
    </row>
    <row r="322" spans="1:10" x14ac:dyDescent="0.25">
      <c r="A322">
        <v>11555809</v>
      </c>
      <c r="B322" s="1">
        <v>45721.686678240738</v>
      </c>
      <c r="C322" t="s">
        <v>1</v>
      </c>
      <c r="D322" t="str">
        <f>VLOOKUP(A322,MERCADO!A:B,2,0)</f>
        <v>Franqueadora</v>
      </c>
      <c r="E322" t="str">
        <f>_xlfn.XLOOKUP(A322, ORIGEM!A:A, ORIGEM!B:B)</f>
        <v>Orgânico</v>
      </c>
      <c r="F322">
        <f>_xlfn.XLOOKUP(A322, ORIGEM!A:A, ORIGEM!C:C)</f>
        <v>0</v>
      </c>
      <c r="G322" t="str">
        <f>_xlfn.XLOOKUP(A322, LOCAL!A:A, LOCAL!B:B)</f>
        <v>Apucarana - PR</v>
      </c>
      <c r="H322" t="str">
        <f>_xlfn.XLOOKUP(A322, PORTE!A:A, PORTE!B:B)</f>
        <v>11-50</v>
      </c>
      <c r="I322" t="str">
        <f>_xlfn.XLOOKUP(A322, OBJETIVO!A:A, OBJETIVO!B:B)</f>
        <v>Abertura/Expansão</v>
      </c>
      <c r="J322">
        <f t="shared" si="4"/>
        <v>1</v>
      </c>
    </row>
    <row r="323" spans="1:10" x14ac:dyDescent="0.25">
      <c r="A323">
        <v>10875489</v>
      </c>
      <c r="B323" s="1">
        <v>45662.559166666666</v>
      </c>
      <c r="C323" t="s">
        <v>1</v>
      </c>
      <c r="D323" t="str">
        <f>VLOOKUP(A323,MERCADO!A:B,2,0)</f>
        <v>Franqueadora</v>
      </c>
      <c r="E323" t="str">
        <f>_xlfn.XLOOKUP(A323, ORIGEM!A:A, ORIGEM!B:B)</f>
        <v>Orgânico</v>
      </c>
      <c r="F323">
        <f>_xlfn.XLOOKUP(A323, ORIGEM!A:A, ORIGEM!C:C)</f>
        <v>0</v>
      </c>
      <c r="G323" t="str">
        <f>_xlfn.XLOOKUP(A323, LOCAL!A:A, LOCAL!B:B)</f>
        <v>Rio Preto - SP</v>
      </c>
      <c r="H323" t="str">
        <f>_xlfn.XLOOKUP(A323, PORTE!A:A, PORTE!B:B)</f>
        <v>11-50</v>
      </c>
      <c r="I323" t="str">
        <f>_xlfn.XLOOKUP(A323, OBJETIVO!A:A, OBJETIVO!B:B)</f>
        <v>Abertura/Expansão</v>
      </c>
      <c r="J323">
        <f t="shared" ref="J323:J386" si="5">IF(C323="SIM",1,0)</f>
        <v>1</v>
      </c>
    </row>
    <row r="324" spans="1:10" x14ac:dyDescent="0.25">
      <c r="A324">
        <v>11610396</v>
      </c>
      <c r="B324" s="1">
        <v>45727.449120370373</v>
      </c>
      <c r="C324" t="s">
        <v>1</v>
      </c>
      <c r="D324" t="str">
        <f>VLOOKUP(A324,MERCADO!A:B,2,0)</f>
        <v>Franqueadora</v>
      </c>
      <c r="E324" t="str">
        <f>_xlfn.XLOOKUP(A324, ORIGEM!A:A, ORIGEM!B:B)</f>
        <v>Google</v>
      </c>
      <c r="F324" t="str">
        <f>_xlfn.XLOOKUP(A324, ORIGEM!A:A, ORIGEM!C:C)</f>
        <v>google - cpc</v>
      </c>
      <c r="G324" t="str">
        <f>_xlfn.XLOOKUP(A324, LOCAL!A:A, LOCAL!B:B)</f>
        <v>São Paulo - SP</v>
      </c>
      <c r="H324" t="str">
        <f>_xlfn.XLOOKUP(A324, PORTE!A:A, PORTE!B:B)</f>
        <v>1-10</v>
      </c>
      <c r="I324" t="str">
        <f>_xlfn.XLOOKUP(A324, OBJETIVO!A:A, OBJETIVO!B:B)</f>
        <v>Abertura/Expansão</v>
      </c>
      <c r="J324">
        <f t="shared" si="5"/>
        <v>1</v>
      </c>
    </row>
    <row r="325" spans="1:10" x14ac:dyDescent="0.25">
      <c r="A325">
        <v>10926403</v>
      </c>
      <c r="B325" s="1">
        <v>45668.380162037036</v>
      </c>
      <c r="C325" t="s">
        <v>1</v>
      </c>
      <c r="D325" t="str">
        <f>VLOOKUP(A325,MERCADO!A:B,2,0)</f>
        <v>Franqueadora</v>
      </c>
      <c r="E325" t="str">
        <f>_xlfn.XLOOKUP(A325, ORIGEM!A:A, ORIGEM!B:B)</f>
        <v>Google</v>
      </c>
      <c r="F325" t="str">
        <f>_xlfn.XLOOKUP(A325, ORIGEM!A:A, ORIGEM!C:C)</f>
        <v>google - cpc</v>
      </c>
      <c r="G325" t="str">
        <f>_xlfn.XLOOKUP(A325, LOCAL!A:A, LOCAL!B:B)</f>
        <v>Tamboré - SP</v>
      </c>
      <c r="H325" t="str">
        <f>_xlfn.XLOOKUP(A325, PORTE!A:A, PORTE!B:B)</f>
        <v>11-50</v>
      </c>
      <c r="I325" t="str">
        <f>_xlfn.XLOOKUP(A325, OBJETIVO!A:A, OBJETIVO!B:B)</f>
        <v>Abertura/Expansão</v>
      </c>
      <c r="J325">
        <f t="shared" si="5"/>
        <v>1</v>
      </c>
    </row>
    <row r="326" spans="1:10" x14ac:dyDescent="0.25">
      <c r="A326">
        <v>11294899</v>
      </c>
      <c r="B326" s="1">
        <v>45697.435289351852</v>
      </c>
      <c r="C326" t="s">
        <v>1</v>
      </c>
      <c r="D326" t="str">
        <f>VLOOKUP(A326,MERCADO!A:B,2,0)</f>
        <v>Franqueadora</v>
      </c>
      <c r="E326" t="str">
        <f>_xlfn.XLOOKUP(A326, ORIGEM!A:A, ORIGEM!B:B)</f>
        <v>Google</v>
      </c>
      <c r="F326" t="str">
        <f>_xlfn.XLOOKUP(A326, ORIGEM!A:A, ORIGEM!C:C)</f>
        <v>google - cpc</v>
      </c>
      <c r="G326" t="str">
        <f>_xlfn.XLOOKUP(A326, LOCAL!A:A, LOCAL!B:B)</f>
        <v>São Paulo - SP</v>
      </c>
      <c r="H326" t="str">
        <f>_xlfn.XLOOKUP(A326, PORTE!A:A, PORTE!B:B)</f>
        <v>11-50</v>
      </c>
      <c r="I326" t="str">
        <f>_xlfn.XLOOKUP(A326, OBJETIVO!A:A, OBJETIVO!B:B)</f>
        <v>Ações de marketing/vendas</v>
      </c>
      <c r="J326">
        <f t="shared" si="5"/>
        <v>1</v>
      </c>
    </row>
    <row r="327" spans="1:10" x14ac:dyDescent="0.25">
      <c r="A327">
        <v>11031338</v>
      </c>
      <c r="B327" s="1">
        <v>45676.362407407411</v>
      </c>
      <c r="C327" t="s">
        <v>1</v>
      </c>
      <c r="D327" t="str">
        <f>VLOOKUP(A327,MERCADO!A:B,2,0)</f>
        <v>Franqueadora</v>
      </c>
      <c r="E327" t="str">
        <f>_xlfn.XLOOKUP(A327, ORIGEM!A:A, ORIGEM!B:B)</f>
        <v>Google</v>
      </c>
      <c r="F327" t="str">
        <f>_xlfn.XLOOKUP(A327, ORIGEM!A:A, ORIGEM!C:C)</f>
        <v>google - cpc</v>
      </c>
      <c r="G327" t="str">
        <f>_xlfn.XLOOKUP(A327, LOCAL!A:A, LOCAL!B:B)</f>
        <v>São Paulo - SP</v>
      </c>
      <c r="H327" t="str">
        <f>_xlfn.XLOOKUP(A327, PORTE!A:A, PORTE!B:B)</f>
        <v>1-10</v>
      </c>
      <c r="I327" t="str">
        <f>_xlfn.XLOOKUP(A327, OBJETIVO!A:A, OBJETIVO!B:B)</f>
        <v>Abertura/Expansão</v>
      </c>
      <c r="J327">
        <f t="shared" si="5"/>
        <v>1</v>
      </c>
    </row>
    <row r="328" spans="1:10" x14ac:dyDescent="0.25">
      <c r="A328">
        <v>11755391</v>
      </c>
      <c r="B328" s="1">
        <v>45741.445451388892</v>
      </c>
      <c r="C328" t="s">
        <v>1</v>
      </c>
      <c r="D328" t="str">
        <f>VLOOKUP(A328,MERCADO!A:B,2,0)</f>
        <v>Franqueadora</v>
      </c>
      <c r="E328" t="str">
        <f>_xlfn.XLOOKUP(A328, ORIGEM!A:A, ORIGEM!B:B)</f>
        <v>Bing</v>
      </c>
      <c r="F328" t="str">
        <f>_xlfn.XLOOKUP(A328, ORIGEM!A:A, ORIGEM!C:C)</f>
        <v>bing - cpc</v>
      </c>
      <c r="G328" t="str">
        <f>_xlfn.XLOOKUP(A328, LOCAL!A:A, LOCAL!B:B)</f>
        <v>Rio Preto - SP</v>
      </c>
      <c r="H328" t="str">
        <f>_xlfn.XLOOKUP(A328, PORTE!A:A, PORTE!B:B)</f>
        <v>1-10</v>
      </c>
      <c r="I328" t="str">
        <f>_xlfn.XLOOKUP(A328, OBJETIVO!A:A, OBJETIVO!B:B)</f>
        <v>Abertura/Expansão</v>
      </c>
      <c r="J328">
        <f t="shared" si="5"/>
        <v>1</v>
      </c>
    </row>
    <row r="329" spans="1:10" x14ac:dyDescent="0.25">
      <c r="A329">
        <v>11271376</v>
      </c>
      <c r="B329" s="1">
        <v>45695.469675925924</v>
      </c>
      <c r="C329" t="s">
        <v>1</v>
      </c>
      <c r="D329" t="str">
        <f>VLOOKUP(A329,MERCADO!A:B,2,0)</f>
        <v>Servicos</v>
      </c>
      <c r="E329" t="str">
        <f>_xlfn.XLOOKUP(A329, ORIGEM!A:A, ORIGEM!B:B)</f>
        <v>Orgânico</v>
      </c>
      <c r="F329">
        <f>_xlfn.XLOOKUP(A329, ORIGEM!A:A, ORIGEM!C:C)</f>
        <v>0</v>
      </c>
      <c r="G329" t="str">
        <f>_xlfn.XLOOKUP(A329, LOCAL!A:A, LOCAL!B:B)</f>
        <v>São Paulo - SP</v>
      </c>
      <c r="H329" t="str">
        <f>_xlfn.XLOOKUP(A329, PORTE!A:A, PORTE!B:B)</f>
        <v>11-50</v>
      </c>
      <c r="I329" t="str">
        <f>_xlfn.XLOOKUP(A329, OBJETIVO!A:A, OBJETIVO!B:B)</f>
        <v>Abertura/Expansão</v>
      </c>
      <c r="J329">
        <f t="shared" si="5"/>
        <v>1</v>
      </c>
    </row>
    <row r="330" spans="1:10" x14ac:dyDescent="0.25">
      <c r="A330">
        <v>10869062</v>
      </c>
      <c r="B330" s="1">
        <v>45661.808668981481</v>
      </c>
      <c r="C330" t="s">
        <v>1</v>
      </c>
      <c r="D330" t="str">
        <f>VLOOKUP(A330,MERCADO!A:B,2,0)</f>
        <v>Franqueadora</v>
      </c>
      <c r="E330" t="str">
        <f>_xlfn.XLOOKUP(A330, ORIGEM!A:A, ORIGEM!B:B)</f>
        <v>Leads</v>
      </c>
      <c r="F330" t="str">
        <f>_xlfn.XLOOKUP(A330, ORIGEM!A:A, ORIGEM!C:C)</f>
        <v>leads - email</v>
      </c>
      <c r="G330" t="str">
        <f>_xlfn.XLOOKUP(A330, LOCAL!A:A, LOCAL!B:B)</f>
        <v>Porto Alegre - RS</v>
      </c>
      <c r="H330" t="str">
        <f>_xlfn.XLOOKUP(A330, PORTE!A:A, PORTE!B:B)</f>
        <v>1-10</v>
      </c>
      <c r="I330" t="str">
        <f>_xlfn.XLOOKUP(A330, OBJETIVO!A:A, OBJETIVO!B:B)</f>
        <v>Abertura/Expansão</v>
      </c>
      <c r="J330">
        <f t="shared" si="5"/>
        <v>1</v>
      </c>
    </row>
    <row r="331" spans="1:10" x14ac:dyDescent="0.25">
      <c r="A331">
        <v>11679182</v>
      </c>
      <c r="B331" s="1">
        <v>45733.776886574073</v>
      </c>
      <c r="C331" t="s">
        <v>1</v>
      </c>
      <c r="D331" t="str">
        <f>VLOOKUP(A331,MERCADO!A:B,2,0)</f>
        <v>Servicos</v>
      </c>
      <c r="E331" t="str">
        <f>_xlfn.XLOOKUP(A331, ORIGEM!A:A, ORIGEM!B:B)</f>
        <v>Orgânico</v>
      </c>
      <c r="F331">
        <f>_xlfn.XLOOKUP(A331, ORIGEM!A:A, ORIGEM!C:C)</f>
        <v>0</v>
      </c>
      <c r="G331" t="str">
        <f>_xlfn.XLOOKUP(A331, LOCAL!A:A, LOCAL!B:B)</f>
        <v>Limeira - SP</v>
      </c>
      <c r="H331" t="str">
        <f>_xlfn.XLOOKUP(A331, PORTE!A:A, PORTE!B:B)</f>
        <v>0</v>
      </c>
      <c r="I331" t="str">
        <f>_xlfn.XLOOKUP(A331, OBJETIVO!A:A, OBJETIVO!B:B)</f>
        <v>Abertura/Expansão</v>
      </c>
      <c r="J331">
        <f t="shared" si="5"/>
        <v>1</v>
      </c>
    </row>
    <row r="332" spans="1:10" x14ac:dyDescent="0.25">
      <c r="A332">
        <v>11661528</v>
      </c>
      <c r="B332" s="1">
        <v>45732.683576388888</v>
      </c>
      <c r="C332" t="s">
        <v>1</v>
      </c>
      <c r="D332" t="str">
        <f>VLOOKUP(A332,MERCADO!A:B,2,0)</f>
        <v>Servicos</v>
      </c>
      <c r="E332" t="str">
        <f>_xlfn.XLOOKUP(A332, ORIGEM!A:A, ORIGEM!B:B)</f>
        <v>Orgânico</v>
      </c>
      <c r="F332">
        <f>_xlfn.XLOOKUP(A332, ORIGEM!A:A, ORIGEM!C:C)</f>
        <v>0</v>
      </c>
      <c r="G332" t="str">
        <f>_xlfn.XLOOKUP(A332, LOCAL!A:A, LOCAL!B:B)</f>
        <v>São Paulo - SP</v>
      </c>
      <c r="H332" t="str">
        <f>_xlfn.XLOOKUP(A332, PORTE!A:A, PORTE!B:B)</f>
        <v>1-10</v>
      </c>
      <c r="I332" t="str">
        <f>_xlfn.XLOOKUP(A332, OBJETIVO!A:A, OBJETIVO!B:B)</f>
        <v>Abertura/Expansão</v>
      </c>
      <c r="J332">
        <f t="shared" si="5"/>
        <v>1</v>
      </c>
    </row>
    <row r="333" spans="1:10" x14ac:dyDescent="0.25">
      <c r="A333">
        <v>11171593</v>
      </c>
      <c r="B333" s="1">
        <v>45685.807152777779</v>
      </c>
      <c r="C333" t="s">
        <v>1</v>
      </c>
      <c r="D333" t="str">
        <f>VLOOKUP(A333,MERCADO!A:B,2,0)</f>
        <v>Servicos</v>
      </c>
      <c r="E333" t="str">
        <f>_xlfn.XLOOKUP(A333, ORIGEM!A:A, ORIGEM!B:B)</f>
        <v>Orgânico</v>
      </c>
      <c r="F333">
        <f>_xlfn.XLOOKUP(A333, ORIGEM!A:A, ORIGEM!C:C)</f>
        <v>0</v>
      </c>
      <c r="G333" t="str">
        <f>_xlfn.XLOOKUP(A333, LOCAL!A:A, LOCAL!B:B)</f>
        <v>Campinas - SP</v>
      </c>
      <c r="H333" t="str">
        <f>_xlfn.XLOOKUP(A333, PORTE!A:A, PORTE!B:B)</f>
        <v>1-10</v>
      </c>
      <c r="I333" t="str">
        <f>_xlfn.XLOOKUP(A333, OBJETIVO!A:A, OBJETIVO!B:B)</f>
        <v>Abertura/Expansão</v>
      </c>
      <c r="J333">
        <f t="shared" si="5"/>
        <v>1</v>
      </c>
    </row>
    <row r="334" spans="1:10" x14ac:dyDescent="0.25">
      <c r="A334">
        <v>10665780</v>
      </c>
      <c r="B334" s="1">
        <v>45635.512372685182</v>
      </c>
      <c r="C334" t="s">
        <v>1</v>
      </c>
      <c r="D334" t="str">
        <f>VLOOKUP(A334,MERCADO!A:B,2,0)</f>
        <v>Servicos</v>
      </c>
      <c r="E334" t="str">
        <f>_xlfn.XLOOKUP(A334, ORIGEM!A:A, ORIGEM!B:B)</f>
        <v>Orgânico</v>
      </c>
      <c r="F334">
        <f>_xlfn.XLOOKUP(A334, ORIGEM!A:A, ORIGEM!C:C)</f>
        <v>0</v>
      </c>
      <c r="G334" t="str">
        <f>_xlfn.XLOOKUP(A334, LOCAL!A:A, LOCAL!B:B)</f>
        <v>Rio de Janeiro - RJ</v>
      </c>
      <c r="H334" t="str">
        <f>_xlfn.XLOOKUP(A334, PORTE!A:A, PORTE!B:B)</f>
        <v>1-10</v>
      </c>
      <c r="I334" t="str">
        <f>_xlfn.XLOOKUP(A334, OBJETIVO!A:A, OBJETIVO!B:B)</f>
        <v>Planejamento estratégico</v>
      </c>
      <c r="J334">
        <f t="shared" si="5"/>
        <v>1</v>
      </c>
    </row>
    <row r="335" spans="1:10" x14ac:dyDescent="0.25">
      <c r="A335">
        <v>11129279</v>
      </c>
      <c r="B335" s="1">
        <v>45684.385196759256</v>
      </c>
      <c r="C335" t="s">
        <v>1</v>
      </c>
      <c r="D335" t="str">
        <f>VLOOKUP(A335,MERCADO!A:B,2,0)</f>
        <v>Servicos</v>
      </c>
      <c r="E335" t="str">
        <f>_xlfn.XLOOKUP(A335, ORIGEM!A:A, ORIGEM!B:B)</f>
        <v>Orgânico</v>
      </c>
      <c r="F335">
        <f>_xlfn.XLOOKUP(A335, ORIGEM!A:A, ORIGEM!C:C)</f>
        <v>0</v>
      </c>
      <c r="G335" t="str">
        <f>_xlfn.XLOOKUP(A335, LOCAL!A:A, LOCAL!B:B)</f>
        <v>Vitória - ES</v>
      </c>
      <c r="H335" t="str">
        <f>_xlfn.XLOOKUP(A335, PORTE!A:A, PORTE!B:B)</f>
        <v>1-10</v>
      </c>
      <c r="I335" t="str">
        <f>_xlfn.XLOOKUP(A335, OBJETIVO!A:A, OBJETIVO!B:B)</f>
        <v>Abertura/Expansão</v>
      </c>
      <c r="J335">
        <f t="shared" si="5"/>
        <v>1</v>
      </c>
    </row>
    <row r="336" spans="1:10" x14ac:dyDescent="0.25">
      <c r="A336">
        <v>11893994</v>
      </c>
      <c r="B336" s="1">
        <v>45754.355787037035</v>
      </c>
      <c r="C336" t="s">
        <v>1</v>
      </c>
      <c r="D336" t="str">
        <f>VLOOKUP(A336,MERCADO!A:B,2,0)</f>
        <v>Tecnologia</v>
      </c>
      <c r="E336" t="str">
        <f>_xlfn.XLOOKUP(A336, ORIGEM!A:A, ORIGEM!B:B)</f>
        <v>Google</v>
      </c>
      <c r="F336" t="str">
        <f>_xlfn.XLOOKUP(A336, ORIGEM!A:A, ORIGEM!C:C)</f>
        <v>google - cpc</v>
      </c>
      <c r="G336" t="str">
        <f>_xlfn.XLOOKUP(A336, LOCAL!A:A, LOCAL!B:B)</f>
        <v>Niterói - RJ</v>
      </c>
      <c r="H336" t="str">
        <f>_xlfn.XLOOKUP(A336, PORTE!A:A, PORTE!B:B)</f>
        <v>11-50</v>
      </c>
      <c r="I336" t="str">
        <f>_xlfn.XLOOKUP(A336, OBJETIVO!A:A, OBJETIVO!B:B)</f>
        <v>Consultoria</v>
      </c>
      <c r="J336">
        <f t="shared" si="5"/>
        <v>1</v>
      </c>
    </row>
    <row r="337" spans="1:10" x14ac:dyDescent="0.25">
      <c r="A337">
        <v>11372318</v>
      </c>
      <c r="B337" s="1">
        <v>45705.378252314818</v>
      </c>
      <c r="C337" t="s">
        <v>1</v>
      </c>
      <c r="D337" t="str">
        <f>VLOOKUP(A337,MERCADO!A:B,2,0)</f>
        <v>Tecnologia</v>
      </c>
      <c r="E337" t="str">
        <f>_xlfn.XLOOKUP(A337, ORIGEM!A:A, ORIGEM!B:B)</f>
        <v>Orgânico</v>
      </c>
      <c r="F337">
        <f>_xlfn.XLOOKUP(A337, ORIGEM!A:A, ORIGEM!C:C)</f>
        <v>0</v>
      </c>
      <c r="G337" t="str">
        <f>_xlfn.XLOOKUP(A337, LOCAL!A:A, LOCAL!B:B)</f>
        <v>Nova Lima - MG</v>
      </c>
      <c r="H337" t="str">
        <f>_xlfn.XLOOKUP(A337, PORTE!A:A, PORTE!B:B)</f>
        <v>1-10</v>
      </c>
      <c r="I337" t="str">
        <f>_xlfn.XLOOKUP(A337, OBJETIVO!A:A, OBJETIVO!B:B)</f>
        <v>Ações de marketing/vendas</v>
      </c>
      <c r="J337">
        <f t="shared" si="5"/>
        <v>1</v>
      </c>
    </row>
    <row r="338" spans="1:10" x14ac:dyDescent="0.25">
      <c r="A338">
        <v>11659772</v>
      </c>
      <c r="B338" s="1">
        <v>45732.625949074078</v>
      </c>
      <c r="C338" t="s">
        <v>1</v>
      </c>
      <c r="D338" t="str">
        <f>VLOOKUP(A338,MERCADO!A:B,2,0)</f>
        <v>Tecnologia</v>
      </c>
      <c r="E338" t="str">
        <f>_xlfn.XLOOKUP(A338, ORIGEM!A:A, ORIGEM!B:B)</f>
        <v>Google</v>
      </c>
      <c r="F338" t="str">
        <f>_xlfn.XLOOKUP(A338, ORIGEM!A:A, ORIGEM!C:C)</f>
        <v>google - cpc</v>
      </c>
      <c r="G338" t="str">
        <f>_xlfn.XLOOKUP(A338, LOCAL!A:A, LOCAL!B:B)</f>
        <v>Osasco - SP</v>
      </c>
      <c r="H338" t="str">
        <f>_xlfn.XLOOKUP(A338, PORTE!A:A, PORTE!B:B)</f>
        <v>51-300</v>
      </c>
      <c r="I338" t="str">
        <f>_xlfn.XLOOKUP(A338, OBJETIVO!A:A, OBJETIVO!B:B)</f>
        <v>Planejamento estratégico</v>
      </c>
      <c r="J338">
        <f t="shared" si="5"/>
        <v>1</v>
      </c>
    </row>
    <row r="339" spans="1:10" x14ac:dyDescent="0.25">
      <c r="A339">
        <v>10887561</v>
      </c>
      <c r="B339" s="1">
        <v>45663.494675925926</v>
      </c>
      <c r="C339" t="s">
        <v>1</v>
      </c>
      <c r="D339" t="str">
        <f>VLOOKUP(A339,MERCADO!A:B,2,0)</f>
        <v>Tecnologia</v>
      </c>
      <c r="E339" t="str">
        <f>_xlfn.XLOOKUP(A339, ORIGEM!A:A, ORIGEM!B:B)</f>
        <v>Orgânico</v>
      </c>
      <c r="F339">
        <f>_xlfn.XLOOKUP(A339, ORIGEM!A:A, ORIGEM!C:C)</f>
        <v>0</v>
      </c>
      <c r="G339" t="str">
        <f>_xlfn.XLOOKUP(A339, LOCAL!A:A, LOCAL!B:B)</f>
        <v>-</v>
      </c>
      <c r="H339" t="str">
        <f>_xlfn.XLOOKUP(A339, PORTE!A:A, PORTE!B:B)</f>
        <v>1-10</v>
      </c>
      <c r="I339">
        <f>_xlfn.XLOOKUP(A339, OBJETIVO!A:A, OBJETIVO!B:B)</f>
        <v>0</v>
      </c>
      <c r="J339">
        <f t="shared" si="5"/>
        <v>1</v>
      </c>
    </row>
    <row r="340" spans="1:10" x14ac:dyDescent="0.25">
      <c r="A340">
        <v>10754956</v>
      </c>
      <c r="B340" s="1">
        <v>45643.475960648146</v>
      </c>
      <c r="C340" t="s">
        <v>0</v>
      </c>
      <c r="D340" t="str">
        <f>VLOOKUP(A340,MERCADO!A:B,2,0)</f>
        <v>Tecnologia</v>
      </c>
      <c r="E340" t="str">
        <f>_xlfn.XLOOKUP(A340, ORIGEM!A:A, ORIGEM!B:B)</f>
        <v>Orgânico</v>
      </c>
      <c r="F340">
        <f>_xlfn.XLOOKUP(A340, ORIGEM!A:A, ORIGEM!C:C)</f>
        <v>0</v>
      </c>
      <c r="G340" t="str">
        <f>_xlfn.XLOOKUP(A340, LOCAL!A:A, LOCAL!B:B)</f>
        <v>-</v>
      </c>
      <c r="H340" t="str">
        <f>_xlfn.XLOOKUP(A340, PORTE!A:A, PORTE!B:B)</f>
        <v>301-1000</v>
      </c>
      <c r="I340" t="str">
        <f>_xlfn.XLOOKUP(A340, OBJETIVO!A:A, OBJETIVO!B:B)</f>
        <v>Planejamento estratégico</v>
      </c>
      <c r="J340">
        <f t="shared" si="5"/>
        <v>0</v>
      </c>
    </row>
    <row r="341" spans="1:10" x14ac:dyDescent="0.25">
      <c r="A341">
        <v>10863129</v>
      </c>
      <c r="B341" s="1">
        <v>45661.646736111114</v>
      </c>
      <c r="C341" t="s">
        <v>1</v>
      </c>
      <c r="D341" t="str">
        <f>VLOOKUP(A341,MERCADO!A:B,2,0)</f>
        <v>Marketing/Publicidade/Consultoria</v>
      </c>
      <c r="E341" t="str">
        <f>_xlfn.XLOOKUP(A341, ORIGEM!A:A, ORIGEM!B:B)</f>
        <v>Indicação</v>
      </c>
      <c r="F341">
        <f>_xlfn.XLOOKUP(A341, ORIGEM!A:A, ORIGEM!C:C)</f>
        <v>0</v>
      </c>
      <c r="G341" t="str">
        <f>_xlfn.XLOOKUP(A341, LOCAL!A:A, LOCAL!B:B)</f>
        <v>-</v>
      </c>
      <c r="H341" t="str">
        <f>_xlfn.XLOOKUP(A341, PORTE!A:A, PORTE!B:B)</f>
        <v>1-10</v>
      </c>
      <c r="I341" t="str">
        <f>_xlfn.XLOOKUP(A341, OBJETIVO!A:A, OBJETIVO!B:B)</f>
        <v>Planejamento estratégico</v>
      </c>
      <c r="J341">
        <f t="shared" si="5"/>
        <v>1</v>
      </c>
    </row>
    <row r="342" spans="1:10" x14ac:dyDescent="0.25">
      <c r="A342">
        <v>10572026</v>
      </c>
      <c r="B342" s="1">
        <v>45627.503263888888</v>
      </c>
      <c r="C342" t="s">
        <v>1</v>
      </c>
      <c r="D342">
        <f>VLOOKUP(A342,MERCADO!A:B,2,0)</f>
        <v>0</v>
      </c>
      <c r="E342" t="str">
        <f>_xlfn.XLOOKUP(A342, ORIGEM!A:A, ORIGEM!B:B)</f>
        <v>Google</v>
      </c>
      <c r="F342" t="str">
        <f>_xlfn.XLOOKUP(A342, ORIGEM!A:A, ORIGEM!C:C)</f>
        <v>google - cpc</v>
      </c>
      <c r="G342" t="str">
        <f>_xlfn.XLOOKUP(A342, LOCAL!A:A, LOCAL!B:B)</f>
        <v>Iomere - SC</v>
      </c>
      <c r="H342" t="str">
        <f>_xlfn.XLOOKUP(A342, PORTE!A:A, PORTE!B:B)</f>
        <v>51-300</v>
      </c>
      <c r="I342" t="str">
        <f>_xlfn.XLOOKUP(A342, OBJETIVO!A:A, OBJETIVO!B:B)</f>
        <v>Geração de leads b2b</v>
      </c>
      <c r="J342">
        <f t="shared" si="5"/>
        <v>1</v>
      </c>
    </row>
    <row r="343" spans="1:10" x14ac:dyDescent="0.25">
      <c r="A343">
        <v>10620735</v>
      </c>
      <c r="B343" s="1">
        <v>45631.154826388891</v>
      </c>
      <c r="C343" t="s">
        <v>1</v>
      </c>
      <c r="D343">
        <f>VLOOKUP(A343,MERCADO!A:B,2,0)</f>
        <v>0</v>
      </c>
      <c r="E343" t="str">
        <f>_xlfn.XLOOKUP(A343, ORIGEM!A:A, ORIGEM!B:B)</f>
        <v>Google</v>
      </c>
      <c r="F343" t="str">
        <f>_xlfn.XLOOKUP(A343, ORIGEM!A:A, ORIGEM!C:C)</f>
        <v>google - cpc</v>
      </c>
      <c r="G343" t="str">
        <f>_xlfn.XLOOKUP(A343, LOCAL!A:A, LOCAL!B:B)</f>
        <v>Fortaleza - CE</v>
      </c>
      <c r="H343" t="str">
        <f>_xlfn.XLOOKUP(A343, PORTE!A:A, PORTE!B:B)</f>
        <v>1-10</v>
      </c>
      <c r="I343" t="str">
        <f>_xlfn.XLOOKUP(A343, OBJETIVO!A:A, OBJETIVO!B:B)</f>
        <v>Abertura/Expansão</v>
      </c>
      <c r="J343">
        <f t="shared" si="5"/>
        <v>1</v>
      </c>
    </row>
    <row r="344" spans="1:10" x14ac:dyDescent="0.25">
      <c r="A344">
        <v>10598070</v>
      </c>
      <c r="B344" s="1">
        <v>45629.443576388891</v>
      </c>
      <c r="C344" t="s">
        <v>1</v>
      </c>
      <c r="D344" t="str">
        <f>VLOOKUP(A344,MERCADO!A:B,2,0)</f>
        <v>Varejo</v>
      </c>
      <c r="E344" t="str">
        <f>_xlfn.XLOOKUP(A344, ORIGEM!A:A, ORIGEM!B:B)</f>
        <v>Orgânico</v>
      </c>
      <c r="F344">
        <f>_xlfn.XLOOKUP(A344, ORIGEM!A:A, ORIGEM!C:C)</f>
        <v>0</v>
      </c>
      <c r="G344" t="str">
        <f>_xlfn.XLOOKUP(A344, LOCAL!A:A, LOCAL!B:B)</f>
        <v>-</v>
      </c>
      <c r="H344" t="str">
        <f>_xlfn.XLOOKUP(A344, PORTE!A:A, PORTE!B:B)</f>
        <v>301-1000</v>
      </c>
      <c r="I344" t="str">
        <f>_xlfn.XLOOKUP(A344, OBJETIVO!A:A, OBJETIVO!B:B)</f>
        <v>Planejamento estratégico</v>
      </c>
      <c r="J344">
        <f t="shared" si="5"/>
        <v>1</v>
      </c>
    </row>
    <row r="345" spans="1:10" x14ac:dyDescent="0.25">
      <c r="A345">
        <v>12020098</v>
      </c>
      <c r="B345" s="1">
        <v>45763.879016203704</v>
      </c>
      <c r="C345" t="s">
        <v>1</v>
      </c>
      <c r="D345" t="str">
        <f>VLOOKUP(A345,MERCADO!A:B,2,0)</f>
        <v>Varejo</v>
      </c>
      <c r="E345" t="str">
        <f>_xlfn.XLOOKUP(A345, ORIGEM!A:A, ORIGEM!B:B)</f>
        <v>Orgânico</v>
      </c>
      <c r="F345">
        <f>_xlfn.XLOOKUP(A345, ORIGEM!A:A, ORIGEM!C:C)</f>
        <v>0</v>
      </c>
      <c r="G345" t="str">
        <f>_xlfn.XLOOKUP(A345, LOCAL!A:A, LOCAL!B:B)</f>
        <v>Sao Goncalo - RJ</v>
      </c>
      <c r="H345" t="str">
        <f>_xlfn.XLOOKUP(A345, PORTE!A:A, PORTE!B:B)</f>
        <v>1-10</v>
      </c>
      <c r="I345" t="str">
        <f>_xlfn.XLOOKUP(A345, OBJETIVO!A:A, OBJETIVO!B:B)</f>
        <v>Abertura/Expansão</v>
      </c>
      <c r="J345">
        <f t="shared" si="5"/>
        <v>1</v>
      </c>
    </row>
    <row r="346" spans="1:10" x14ac:dyDescent="0.25">
      <c r="A346">
        <v>10695016</v>
      </c>
      <c r="B346" s="1">
        <v>45637.466886574075</v>
      </c>
      <c r="C346" t="s">
        <v>1</v>
      </c>
      <c r="D346" t="str">
        <f>VLOOKUP(A346,MERCADO!A:B,2,0)</f>
        <v>Varejo</v>
      </c>
      <c r="E346" t="str">
        <f>_xlfn.XLOOKUP(A346, ORIGEM!A:A, ORIGEM!B:B)</f>
        <v>Google</v>
      </c>
      <c r="F346" t="str">
        <f>_xlfn.XLOOKUP(A346, ORIGEM!A:A, ORIGEM!C:C)</f>
        <v>google - cpc</v>
      </c>
      <c r="G346" t="str">
        <f>_xlfn.XLOOKUP(A346, LOCAL!A:A, LOCAL!B:B)</f>
        <v>Mococa - SP</v>
      </c>
      <c r="H346" t="str">
        <f>_xlfn.XLOOKUP(A346, PORTE!A:A, PORTE!B:B)</f>
        <v>11-50</v>
      </c>
      <c r="I346" t="str">
        <f>_xlfn.XLOOKUP(A346, OBJETIVO!A:A, OBJETIVO!B:B)</f>
        <v>Abertura/Expansão</v>
      </c>
      <c r="J346">
        <f t="shared" si="5"/>
        <v>1</v>
      </c>
    </row>
    <row r="347" spans="1:10" x14ac:dyDescent="0.25">
      <c r="A347">
        <v>10793315</v>
      </c>
      <c r="B347" s="1">
        <v>45647.74690972222</v>
      </c>
      <c r="C347" t="s">
        <v>1</v>
      </c>
      <c r="D347" t="str">
        <f>VLOOKUP(A347,MERCADO!A:B,2,0)</f>
        <v>Varejo</v>
      </c>
      <c r="E347" t="str">
        <f>_xlfn.XLOOKUP(A347, ORIGEM!A:A, ORIGEM!B:B)</f>
        <v>Google</v>
      </c>
      <c r="F347" t="str">
        <f>_xlfn.XLOOKUP(A347, ORIGEM!A:A, ORIGEM!C:C)</f>
        <v>google - cpc</v>
      </c>
      <c r="G347" t="str">
        <f>_xlfn.XLOOKUP(A347, LOCAL!A:A, LOCAL!B:B)</f>
        <v>Cuiabá - MT</v>
      </c>
      <c r="H347" t="str">
        <f>_xlfn.XLOOKUP(A347, PORTE!A:A, PORTE!B:B)</f>
        <v>51-300</v>
      </c>
      <c r="I347" t="str">
        <f>_xlfn.XLOOKUP(A347, OBJETIVO!A:A, OBJETIVO!B:B)</f>
        <v>Abertura/Expansão</v>
      </c>
      <c r="J347">
        <f t="shared" si="5"/>
        <v>1</v>
      </c>
    </row>
    <row r="348" spans="1:10" x14ac:dyDescent="0.25">
      <c r="A348">
        <v>11906727</v>
      </c>
      <c r="B348" s="1">
        <v>45754.87976851852</v>
      </c>
      <c r="C348" t="s">
        <v>1</v>
      </c>
      <c r="D348" t="str">
        <f>VLOOKUP(A348,MERCADO!A:B,2,0)</f>
        <v>Varejo</v>
      </c>
      <c r="E348" t="str">
        <f>_xlfn.XLOOKUP(A348, ORIGEM!A:A, ORIGEM!B:B)</f>
        <v>Google</v>
      </c>
      <c r="F348" t="str">
        <f>_xlfn.XLOOKUP(A348, ORIGEM!A:A, ORIGEM!C:C)</f>
        <v>google - cpc</v>
      </c>
      <c r="G348" t="str">
        <f>_xlfn.XLOOKUP(A348, LOCAL!A:A, LOCAL!B:B)</f>
        <v>Niterói - RJ</v>
      </c>
      <c r="H348" t="str">
        <f>_xlfn.XLOOKUP(A348, PORTE!A:A, PORTE!B:B)</f>
        <v>1-10</v>
      </c>
      <c r="I348" t="str">
        <f>_xlfn.XLOOKUP(A348, OBJETIVO!A:A, OBJETIVO!B:B)</f>
        <v>Abertura/Expansão</v>
      </c>
      <c r="J348">
        <f t="shared" si="5"/>
        <v>1</v>
      </c>
    </row>
    <row r="349" spans="1:10" x14ac:dyDescent="0.25">
      <c r="A349">
        <v>11741364</v>
      </c>
      <c r="B349" s="1">
        <v>45740.442939814813</v>
      </c>
      <c r="C349" t="s">
        <v>0</v>
      </c>
      <c r="D349" t="str">
        <f>VLOOKUP(A349,MERCADO!A:B,2,0)</f>
        <v>Varejo</v>
      </c>
      <c r="E349" t="str">
        <f>_xlfn.XLOOKUP(A349, ORIGEM!A:A, ORIGEM!B:B)</f>
        <v>Prospecção Ativa</v>
      </c>
      <c r="F349" t="str">
        <f>_xlfn.XLOOKUP(A349, ORIGEM!A:A, ORIGEM!C:C)</f>
        <v>Sales Navigator</v>
      </c>
      <c r="G349" t="str">
        <f>_xlfn.XLOOKUP(A349, LOCAL!A:A, LOCAL!B:B)</f>
        <v>-</v>
      </c>
      <c r="H349">
        <f>_xlfn.XLOOKUP(A349, PORTE!A:A, PORTE!B:B)</f>
        <v>0</v>
      </c>
      <c r="I349">
        <f>_xlfn.XLOOKUP(A349, OBJETIVO!A:A, OBJETIVO!B:B)</f>
        <v>0</v>
      </c>
      <c r="J349">
        <f t="shared" si="5"/>
        <v>0</v>
      </c>
    </row>
    <row r="350" spans="1:10" x14ac:dyDescent="0.25">
      <c r="A350">
        <v>11817612</v>
      </c>
      <c r="B350" s="1">
        <v>45746.410798611112</v>
      </c>
      <c r="C350" t="s">
        <v>0</v>
      </c>
      <c r="D350" t="str">
        <f>VLOOKUP(A350,MERCADO!A:B,2,0)</f>
        <v>Varejo</v>
      </c>
      <c r="E350" t="str">
        <f>_xlfn.XLOOKUP(A350, ORIGEM!A:A, ORIGEM!B:B)</f>
        <v>Prospecção Ativa</v>
      </c>
      <c r="F350" t="str">
        <f>_xlfn.XLOOKUP(A350, ORIGEM!A:A, ORIGEM!C:C)</f>
        <v>Sales Navigator</v>
      </c>
      <c r="G350" t="str">
        <f>_xlfn.XLOOKUP(A350, LOCAL!A:A, LOCAL!B:B)</f>
        <v>-</v>
      </c>
      <c r="H350">
        <f>_xlfn.XLOOKUP(A350, PORTE!A:A, PORTE!B:B)</f>
        <v>0</v>
      </c>
      <c r="I350">
        <f>_xlfn.XLOOKUP(A350, OBJETIVO!A:A, OBJETIVO!B:B)</f>
        <v>0</v>
      </c>
      <c r="J350">
        <f t="shared" si="5"/>
        <v>0</v>
      </c>
    </row>
    <row r="351" spans="1:10" x14ac:dyDescent="0.25">
      <c r="A351">
        <v>11817238</v>
      </c>
      <c r="B351" s="1">
        <v>45746.398587962962</v>
      </c>
      <c r="C351" t="s">
        <v>0</v>
      </c>
      <c r="D351" t="str">
        <f>VLOOKUP(A351,MERCADO!A:B,2,0)</f>
        <v>Varejo</v>
      </c>
      <c r="E351" t="str">
        <f>_xlfn.XLOOKUP(A351, ORIGEM!A:A, ORIGEM!B:B)</f>
        <v>Prospecção Ativa</v>
      </c>
      <c r="F351" t="str">
        <f>_xlfn.XLOOKUP(A351, ORIGEM!A:A, ORIGEM!C:C)</f>
        <v>Sales Navigator</v>
      </c>
      <c r="G351" t="str">
        <f>_xlfn.XLOOKUP(A351, LOCAL!A:A, LOCAL!B:B)</f>
        <v>-</v>
      </c>
      <c r="H351">
        <f>_xlfn.XLOOKUP(A351, PORTE!A:A, PORTE!B:B)</f>
        <v>0</v>
      </c>
      <c r="I351">
        <f>_xlfn.XLOOKUP(A351, OBJETIVO!A:A, OBJETIVO!B:B)</f>
        <v>0</v>
      </c>
      <c r="J351">
        <f t="shared" si="5"/>
        <v>0</v>
      </c>
    </row>
    <row r="352" spans="1:10" x14ac:dyDescent="0.25">
      <c r="A352">
        <v>11817265</v>
      </c>
      <c r="B352" s="1">
        <v>45746.400509259256</v>
      </c>
      <c r="C352" t="s">
        <v>0</v>
      </c>
      <c r="D352" t="str">
        <f>VLOOKUP(A352,MERCADO!A:B,2,0)</f>
        <v>Varejo</v>
      </c>
      <c r="E352" t="str">
        <f>_xlfn.XLOOKUP(A352, ORIGEM!A:A, ORIGEM!B:B)</f>
        <v>Prospecção Ativa</v>
      </c>
      <c r="F352" t="str">
        <f>_xlfn.XLOOKUP(A352, ORIGEM!A:A, ORIGEM!C:C)</f>
        <v>Sales Navigator</v>
      </c>
      <c r="G352" t="str">
        <f>_xlfn.XLOOKUP(A352, LOCAL!A:A, LOCAL!B:B)</f>
        <v>-</v>
      </c>
      <c r="H352">
        <f>_xlfn.XLOOKUP(A352, PORTE!A:A, PORTE!B:B)</f>
        <v>0</v>
      </c>
      <c r="I352">
        <f>_xlfn.XLOOKUP(A352, OBJETIVO!A:A, OBJETIVO!B:B)</f>
        <v>0</v>
      </c>
      <c r="J352">
        <f t="shared" si="5"/>
        <v>0</v>
      </c>
    </row>
    <row r="353" spans="1:10" x14ac:dyDescent="0.25">
      <c r="A353">
        <v>11757043</v>
      </c>
      <c r="B353" s="1">
        <v>45741.535717592589</v>
      </c>
      <c r="C353" t="s">
        <v>0</v>
      </c>
      <c r="D353" t="str">
        <f>VLOOKUP(A353,MERCADO!A:B,2,0)</f>
        <v>Varejo</v>
      </c>
      <c r="E353" t="str">
        <f>_xlfn.XLOOKUP(A353, ORIGEM!A:A, ORIGEM!B:B)</f>
        <v>Prospecção Ativa</v>
      </c>
      <c r="F353" t="str">
        <f>_xlfn.XLOOKUP(A353, ORIGEM!A:A, ORIGEM!C:C)</f>
        <v>Sales Navigator</v>
      </c>
      <c r="G353" t="str">
        <f>_xlfn.XLOOKUP(A353, LOCAL!A:A, LOCAL!B:B)</f>
        <v>-</v>
      </c>
      <c r="H353">
        <f>_xlfn.XLOOKUP(A353, PORTE!A:A, PORTE!B:B)</f>
        <v>0</v>
      </c>
      <c r="I353">
        <f>_xlfn.XLOOKUP(A353, OBJETIVO!A:A, OBJETIVO!B:B)</f>
        <v>0</v>
      </c>
      <c r="J353">
        <f t="shared" si="5"/>
        <v>0</v>
      </c>
    </row>
    <row r="354" spans="1:10" x14ac:dyDescent="0.25">
      <c r="A354">
        <v>11684341</v>
      </c>
      <c r="B354" s="1">
        <v>45734.41479166667</v>
      </c>
      <c r="C354" t="s">
        <v>0</v>
      </c>
      <c r="D354" t="str">
        <f>VLOOKUP(A354,MERCADO!A:B,2,0)</f>
        <v>Varejo</v>
      </c>
      <c r="E354" t="str">
        <f>_xlfn.XLOOKUP(A354, ORIGEM!A:A, ORIGEM!B:B)</f>
        <v>Prospecção Ativa</v>
      </c>
      <c r="F354" t="str">
        <f>_xlfn.XLOOKUP(A354, ORIGEM!A:A, ORIGEM!C:C)</f>
        <v>bing - cpc</v>
      </c>
      <c r="G354" t="str">
        <f>_xlfn.XLOOKUP(A354, LOCAL!A:A, LOCAL!B:B)</f>
        <v>-</v>
      </c>
      <c r="H354">
        <f>_xlfn.XLOOKUP(A354, PORTE!A:A, PORTE!B:B)</f>
        <v>0</v>
      </c>
      <c r="I354">
        <f>_xlfn.XLOOKUP(A354, OBJETIVO!A:A, OBJETIVO!B:B)</f>
        <v>0</v>
      </c>
      <c r="J354">
        <f t="shared" si="5"/>
        <v>0</v>
      </c>
    </row>
    <row r="355" spans="1:10" x14ac:dyDescent="0.25">
      <c r="A355">
        <v>11997607</v>
      </c>
      <c r="B355" s="1">
        <v>45762.452685185184</v>
      </c>
      <c r="C355" t="s">
        <v>0</v>
      </c>
      <c r="D355" t="str">
        <f>VLOOKUP(A355,MERCADO!A:B,2,0)</f>
        <v>Tecnologia</v>
      </c>
      <c r="E355" t="str">
        <f>_xlfn.XLOOKUP(A355, ORIGEM!A:A, ORIGEM!B:B)</f>
        <v>Prospecção Ativa</v>
      </c>
      <c r="F355" t="str">
        <f>_xlfn.XLOOKUP(A355, ORIGEM!A:A, ORIGEM!C:C)</f>
        <v>Sales Navigator</v>
      </c>
      <c r="G355" t="str">
        <f>_xlfn.XLOOKUP(A355, LOCAL!A:A, LOCAL!B:B)</f>
        <v>-</v>
      </c>
      <c r="H355">
        <f>_xlfn.XLOOKUP(A355, PORTE!A:A, PORTE!B:B)</f>
        <v>0</v>
      </c>
      <c r="I355">
        <f>_xlfn.XLOOKUP(A355, OBJETIVO!A:A, OBJETIVO!B:B)</f>
        <v>0</v>
      </c>
      <c r="J355">
        <f t="shared" si="5"/>
        <v>0</v>
      </c>
    </row>
    <row r="356" spans="1:10" x14ac:dyDescent="0.25">
      <c r="A356">
        <v>11773554</v>
      </c>
      <c r="B356" s="1">
        <v>45742.447708333333</v>
      </c>
      <c r="C356" t="s">
        <v>0</v>
      </c>
      <c r="D356" t="str">
        <f>VLOOKUP(A356,MERCADO!A:B,2,0)</f>
        <v>Franqueadora</v>
      </c>
      <c r="E356" t="str">
        <f>_xlfn.XLOOKUP(A356, ORIGEM!A:A, ORIGEM!B:B)</f>
        <v>Prospecção Ativa</v>
      </c>
      <c r="F356" t="str">
        <f>_xlfn.XLOOKUP(A356, ORIGEM!A:A, ORIGEM!C:C)</f>
        <v>Sales Navigator</v>
      </c>
      <c r="G356" t="str">
        <f>_xlfn.XLOOKUP(A356, LOCAL!A:A, LOCAL!B:B)</f>
        <v>-</v>
      </c>
      <c r="H356">
        <f>_xlfn.XLOOKUP(A356, PORTE!A:A, PORTE!B:B)</f>
        <v>0</v>
      </c>
      <c r="I356">
        <f>_xlfn.XLOOKUP(A356, OBJETIVO!A:A, OBJETIVO!B:B)</f>
        <v>0</v>
      </c>
      <c r="J356">
        <f t="shared" si="5"/>
        <v>0</v>
      </c>
    </row>
    <row r="357" spans="1:10" x14ac:dyDescent="0.25">
      <c r="A357">
        <v>11774286</v>
      </c>
      <c r="B357" s="1">
        <v>45742.476898148147</v>
      </c>
      <c r="C357" t="s">
        <v>0</v>
      </c>
      <c r="D357" t="str">
        <f>VLOOKUP(A357,MERCADO!A:B,2,0)</f>
        <v>Franqueadora</v>
      </c>
      <c r="E357" t="str">
        <f>_xlfn.XLOOKUP(A357, ORIGEM!A:A, ORIGEM!B:B)</f>
        <v>Prospecção Ativa</v>
      </c>
      <c r="F357" t="str">
        <f>_xlfn.XLOOKUP(A357, ORIGEM!A:A, ORIGEM!C:C)</f>
        <v>Sales Navigator</v>
      </c>
      <c r="G357" t="str">
        <f>_xlfn.XLOOKUP(A357, LOCAL!A:A, LOCAL!B:B)</f>
        <v>-</v>
      </c>
      <c r="H357">
        <f>_xlfn.XLOOKUP(A357, PORTE!A:A, PORTE!B:B)</f>
        <v>0</v>
      </c>
      <c r="I357">
        <f>_xlfn.XLOOKUP(A357, OBJETIVO!A:A, OBJETIVO!B:B)</f>
        <v>0</v>
      </c>
      <c r="J357">
        <f t="shared" si="5"/>
        <v>0</v>
      </c>
    </row>
    <row r="358" spans="1:10" x14ac:dyDescent="0.25">
      <c r="A358">
        <v>11741116</v>
      </c>
      <c r="B358" s="1">
        <v>45740.43613425926</v>
      </c>
      <c r="C358" t="s">
        <v>0</v>
      </c>
      <c r="D358" t="str">
        <f>VLOOKUP(A358,MERCADO!A:B,2,0)</f>
        <v>Franqueadora</v>
      </c>
      <c r="E358" t="str">
        <f>_xlfn.XLOOKUP(A358, ORIGEM!A:A, ORIGEM!B:B)</f>
        <v>Prospecção Ativa</v>
      </c>
      <c r="F358" t="str">
        <f>_xlfn.XLOOKUP(A358, ORIGEM!A:A, ORIGEM!C:C)</f>
        <v>Sales Navigator</v>
      </c>
      <c r="G358" t="str">
        <f>_xlfn.XLOOKUP(A358, LOCAL!A:A, LOCAL!B:B)</f>
        <v>-</v>
      </c>
      <c r="H358">
        <f>_xlfn.XLOOKUP(A358, PORTE!A:A, PORTE!B:B)</f>
        <v>0</v>
      </c>
      <c r="I358">
        <f>_xlfn.XLOOKUP(A358, OBJETIVO!A:A, OBJETIVO!B:B)</f>
        <v>0</v>
      </c>
      <c r="J358">
        <f t="shared" si="5"/>
        <v>0</v>
      </c>
    </row>
    <row r="359" spans="1:10" x14ac:dyDescent="0.25">
      <c r="A359">
        <v>11741396</v>
      </c>
      <c r="B359" s="1">
        <v>45740.444606481484</v>
      </c>
      <c r="C359" t="s">
        <v>0</v>
      </c>
      <c r="D359" t="str">
        <f>VLOOKUP(A359,MERCADO!A:B,2,0)</f>
        <v>Franqueadora</v>
      </c>
      <c r="E359" t="str">
        <f>_xlfn.XLOOKUP(A359, ORIGEM!A:A, ORIGEM!B:B)</f>
        <v>Prospecção Ativa</v>
      </c>
      <c r="F359" t="str">
        <f>_xlfn.XLOOKUP(A359, ORIGEM!A:A, ORIGEM!C:C)</f>
        <v>Sales Navigator</v>
      </c>
      <c r="G359" t="str">
        <f>_xlfn.XLOOKUP(A359, LOCAL!A:A, LOCAL!B:B)</f>
        <v>-</v>
      </c>
      <c r="H359">
        <f>_xlfn.XLOOKUP(A359, PORTE!A:A, PORTE!B:B)</f>
        <v>0</v>
      </c>
      <c r="I359">
        <f>_xlfn.XLOOKUP(A359, OBJETIVO!A:A, OBJETIVO!B:B)</f>
        <v>0</v>
      </c>
      <c r="J359">
        <f t="shared" si="5"/>
        <v>0</v>
      </c>
    </row>
    <row r="360" spans="1:10" x14ac:dyDescent="0.25">
      <c r="A360">
        <v>11741433</v>
      </c>
      <c r="B360" s="1">
        <v>45740.446574074071</v>
      </c>
      <c r="C360" t="s">
        <v>0</v>
      </c>
      <c r="D360" t="str">
        <f>VLOOKUP(A360,MERCADO!A:B,2,0)</f>
        <v>Franqueadora</v>
      </c>
      <c r="E360" t="str">
        <f>_xlfn.XLOOKUP(A360, ORIGEM!A:A, ORIGEM!B:B)</f>
        <v>Prospecção Ativa</v>
      </c>
      <c r="F360" t="str">
        <f>_xlfn.XLOOKUP(A360, ORIGEM!A:A, ORIGEM!C:C)</f>
        <v>Sales Navigator</v>
      </c>
      <c r="G360" t="str">
        <f>_xlfn.XLOOKUP(A360, LOCAL!A:A, LOCAL!B:B)</f>
        <v>-</v>
      </c>
      <c r="H360">
        <f>_xlfn.XLOOKUP(A360, PORTE!A:A, PORTE!B:B)</f>
        <v>0</v>
      </c>
      <c r="I360">
        <f>_xlfn.XLOOKUP(A360, OBJETIVO!A:A, OBJETIVO!B:B)</f>
        <v>0</v>
      </c>
      <c r="J360">
        <f t="shared" si="5"/>
        <v>0</v>
      </c>
    </row>
    <row r="361" spans="1:10" x14ac:dyDescent="0.25">
      <c r="A361">
        <v>11740914</v>
      </c>
      <c r="B361" s="1">
        <v>45740.425439814811</v>
      </c>
      <c r="C361" t="s">
        <v>0</v>
      </c>
      <c r="D361" t="str">
        <f>VLOOKUP(A361,MERCADO!A:B,2,0)</f>
        <v>Franqueadora</v>
      </c>
      <c r="E361" t="str">
        <f>_xlfn.XLOOKUP(A361, ORIGEM!A:A, ORIGEM!B:B)</f>
        <v>Prospecção Ativa</v>
      </c>
      <c r="F361" t="str">
        <f>_xlfn.XLOOKUP(A361, ORIGEM!A:A, ORIGEM!C:C)</f>
        <v>Sales Navigator</v>
      </c>
      <c r="G361" t="str">
        <f>_xlfn.XLOOKUP(A361, LOCAL!A:A, LOCAL!B:B)</f>
        <v>-</v>
      </c>
      <c r="H361">
        <f>_xlfn.XLOOKUP(A361, PORTE!A:A, PORTE!B:B)</f>
        <v>0</v>
      </c>
      <c r="I361">
        <f>_xlfn.XLOOKUP(A361, OBJETIVO!A:A, OBJETIVO!B:B)</f>
        <v>0</v>
      </c>
      <c r="J361">
        <f t="shared" si="5"/>
        <v>0</v>
      </c>
    </row>
    <row r="362" spans="1:10" x14ac:dyDescent="0.25">
      <c r="A362">
        <v>11740967</v>
      </c>
      <c r="B362" s="1">
        <v>45740.428240740737</v>
      </c>
      <c r="C362" t="s">
        <v>0</v>
      </c>
      <c r="D362" t="str">
        <f>VLOOKUP(A362,MERCADO!A:B,2,0)</f>
        <v>Franqueadora</v>
      </c>
      <c r="E362" t="str">
        <f>_xlfn.XLOOKUP(A362, ORIGEM!A:A, ORIGEM!B:B)</f>
        <v>Prospecção Ativa</v>
      </c>
      <c r="F362" t="str">
        <f>_xlfn.XLOOKUP(A362, ORIGEM!A:A, ORIGEM!C:C)</f>
        <v>Sales Navigator</v>
      </c>
      <c r="G362" t="str">
        <f>_xlfn.XLOOKUP(A362, LOCAL!A:A, LOCAL!B:B)</f>
        <v>-</v>
      </c>
      <c r="H362">
        <f>_xlfn.XLOOKUP(A362, PORTE!A:A, PORTE!B:B)</f>
        <v>0</v>
      </c>
      <c r="I362">
        <f>_xlfn.XLOOKUP(A362, OBJETIVO!A:A, OBJETIVO!B:B)</f>
        <v>0</v>
      </c>
      <c r="J362">
        <f t="shared" si="5"/>
        <v>0</v>
      </c>
    </row>
    <row r="363" spans="1:10" x14ac:dyDescent="0.25">
      <c r="A363">
        <v>11740982</v>
      </c>
      <c r="B363" s="1">
        <v>45740.429212962961</v>
      </c>
      <c r="C363" t="s">
        <v>0</v>
      </c>
      <c r="D363" t="str">
        <f>VLOOKUP(A363,MERCADO!A:B,2,0)</f>
        <v>Franqueadora</v>
      </c>
      <c r="E363" t="str">
        <f>_xlfn.XLOOKUP(A363, ORIGEM!A:A, ORIGEM!B:B)</f>
        <v>Prospecção Ativa</v>
      </c>
      <c r="F363" t="str">
        <f>_xlfn.XLOOKUP(A363, ORIGEM!A:A, ORIGEM!C:C)</f>
        <v>Sales Navigator</v>
      </c>
      <c r="G363" t="str">
        <f>_xlfn.XLOOKUP(A363, LOCAL!A:A, LOCAL!B:B)</f>
        <v>-</v>
      </c>
      <c r="H363">
        <f>_xlfn.XLOOKUP(A363, PORTE!A:A, PORTE!B:B)</f>
        <v>0</v>
      </c>
      <c r="I363">
        <f>_xlfn.XLOOKUP(A363, OBJETIVO!A:A, OBJETIVO!B:B)</f>
        <v>0</v>
      </c>
      <c r="J363">
        <f t="shared" si="5"/>
        <v>0</v>
      </c>
    </row>
    <row r="364" spans="1:10" x14ac:dyDescent="0.25">
      <c r="A364">
        <v>11600344</v>
      </c>
      <c r="B364" s="1">
        <v>45726.54954861111</v>
      </c>
      <c r="C364" t="s">
        <v>0</v>
      </c>
      <c r="D364" t="str">
        <f>VLOOKUP(A364,MERCADO!A:B,2,0)</f>
        <v>Franqueadora</v>
      </c>
      <c r="E364" t="str">
        <f>_xlfn.XLOOKUP(A364, ORIGEM!A:A, ORIGEM!B:B)</f>
        <v>Prospecção Ativa</v>
      </c>
      <c r="F364" t="str">
        <f>_xlfn.XLOOKUP(A364, ORIGEM!A:A, ORIGEM!C:C)</f>
        <v>Sales Navigator</v>
      </c>
      <c r="G364" t="str">
        <f>_xlfn.XLOOKUP(A364, LOCAL!A:A, LOCAL!B:B)</f>
        <v>-</v>
      </c>
      <c r="H364">
        <f>_xlfn.XLOOKUP(A364, PORTE!A:A, PORTE!B:B)</f>
        <v>0</v>
      </c>
      <c r="I364">
        <f>_xlfn.XLOOKUP(A364, OBJETIVO!A:A, OBJETIVO!B:B)</f>
        <v>0</v>
      </c>
      <c r="J364">
        <f t="shared" si="5"/>
        <v>0</v>
      </c>
    </row>
    <row r="365" spans="1:10" x14ac:dyDescent="0.25">
      <c r="A365">
        <v>12013373</v>
      </c>
      <c r="B365" s="1">
        <v>45763.514791666668</v>
      </c>
      <c r="C365" t="s">
        <v>0</v>
      </c>
      <c r="D365" t="str">
        <f>VLOOKUP(A365,MERCADO!A:B,2,0)</f>
        <v>Franqueadora</v>
      </c>
      <c r="E365" t="str">
        <f>_xlfn.XLOOKUP(A365, ORIGEM!A:A, ORIGEM!B:B)</f>
        <v>Prospecção Ativa</v>
      </c>
      <c r="F365" t="str">
        <f>_xlfn.XLOOKUP(A365, ORIGEM!A:A, ORIGEM!C:C)</f>
        <v>Sales Navigator</v>
      </c>
      <c r="G365" t="str">
        <f>_xlfn.XLOOKUP(A365, LOCAL!A:A, LOCAL!B:B)</f>
        <v>-</v>
      </c>
      <c r="H365">
        <f>_xlfn.XLOOKUP(A365, PORTE!A:A, PORTE!B:B)</f>
        <v>0</v>
      </c>
      <c r="I365">
        <f>_xlfn.XLOOKUP(A365, OBJETIVO!A:A, OBJETIVO!B:B)</f>
        <v>0</v>
      </c>
      <c r="J365">
        <f t="shared" si="5"/>
        <v>0</v>
      </c>
    </row>
    <row r="366" spans="1:10" x14ac:dyDescent="0.25">
      <c r="A366">
        <v>11889570</v>
      </c>
      <c r="B366" s="1">
        <v>45753.698564814818</v>
      </c>
      <c r="C366" t="s">
        <v>0</v>
      </c>
      <c r="D366" t="str">
        <f>VLOOKUP(A366,MERCADO!A:B,2,0)</f>
        <v>Franqueadora</v>
      </c>
      <c r="E366" t="str">
        <f>_xlfn.XLOOKUP(A366, ORIGEM!A:A, ORIGEM!B:B)</f>
        <v>Prospecção Ativa</v>
      </c>
      <c r="F366" t="str">
        <f>_xlfn.XLOOKUP(A366, ORIGEM!A:A, ORIGEM!C:C)</f>
        <v>Sales Navigator</v>
      </c>
      <c r="G366" t="str">
        <f>_xlfn.XLOOKUP(A366, LOCAL!A:A, LOCAL!B:B)</f>
        <v>-</v>
      </c>
      <c r="H366">
        <f>_xlfn.XLOOKUP(A366, PORTE!A:A, PORTE!B:B)</f>
        <v>0</v>
      </c>
      <c r="I366">
        <f>_xlfn.XLOOKUP(A366, OBJETIVO!A:A, OBJETIVO!B:B)</f>
        <v>0</v>
      </c>
      <c r="J366">
        <f t="shared" si="5"/>
        <v>0</v>
      </c>
    </row>
    <row r="367" spans="1:10" x14ac:dyDescent="0.25">
      <c r="A367">
        <v>11832504</v>
      </c>
      <c r="B367" s="1">
        <v>45747.524363425924</v>
      </c>
      <c r="C367" t="s">
        <v>0</v>
      </c>
      <c r="D367" t="str">
        <f>VLOOKUP(A367,MERCADO!A:B,2,0)</f>
        <v>Franqueadora</v>
      </c>
      <c r="E367" t="str">
        <f>_xlfn.XLOOKUP(A367, ORIGEM!A:A, ORIGEM!B:B)</f>
        <v>Prospecção Ativa</v>
      </c>
      <c r="F367" t="str">
        <f>_xlfn.XLOOKUP(A367, ORIGEM!A:A, ORIGEM!C:C)</f>
        <v>Sales Navigator</v>
      </c>
      <c r="G367" t="str">
        <f>_xlfn.XLOOKUP(A367, LOCAL!A:A, LOCAL!B:B)</f>
        <v>-</v>
      </c>
      <c r="H367">
        <f>_xlfn.XLOOKUP(A367, PORTE!A:A, PORTE!B:B)</f>
        <v>0</v>
      </c>
      <c r="I367">
        <f>_xlfn.XLOOKUP(A367, OBJETIVO!A:A, OBJETIVO!B:B)</f>
        <v>0</v>
      </c>
      <c r="J367">
        <f t="shared" si="5"/>
        <v>0</v>
      </c>
    </row>
    <row r="368" spans="1:10" x14ac:dyDescent="0.25">
      <c r="A368">
        <v>11817312</v>
      </c>
      <c r="B368" s="1">
        <v>45746.403020833335</v>
      </c>
      <c r="C368" t="s">
        <v>0</v>
      </c>
      <c r="D368" t="str">
        <f>VLOOKUP(A368,MERCADO!A:B,2,0)</f>
        <v>Franqueadora</v>
      </c>
      <c r="E368" t="str">
        <f>_xlfn.XLOOKUP(A368, ORIGEM!A:A, ORIGEM!B:B)</f>
        <v>Prospecção Ativa</v>
      </c>
      <c r="F368" t="str">
        <f>_xlfn.XLOOKUP(A368, ORIGEM!A:A, ORIGEM!C:C)</f>
        <v>Sales Navigator</v>
      </c>
      <c r="G368" t="str">
        <f>_xlfn.XLOOKUP(A368, LOCAL!A:A, LOCAL!B:B)</f>
        <v>-</v>
      </c>
      <c r="H368">
        <f>_xlfn.XLOOKUP(A368, PORTE!A:A, PORTE!B:B)</f>
        <v>0</v>
      </c>
      <c r="I368">
        <f>_xlfn.XLOOKUP(A368, OBJETIVO!A:A, OBJETIVO!B:B)</f>
        <v>0</v>
      </c>
      <c r="J368">
        <f t="shared" si="5"/>
        <v>0</v>
      </c>
    </row>
    <row r="369" spans="1:10" x14ac:dyDescent="0.25">
      <c r="A369">
        <v>11817562</v>
      </c>
      <c r="B369" s="1">
        <v>45746.408796296295</v>
      </c>
      <c r="C369" t="s">
        <v>0</v>
      </c>
      <c r="D369" t="str">
        <f>VLOOKUP(A369,MERCADO!A:B,2,0)</f>
        <v>Franqueadora</v>
      </c>
      <c r="E369" t="str">
        <f>_xlfn.XLOOKUP(A369, ORIGEM!A:A, ORIGEM!B:B)</f>
        <v>Prospecção Ativa</v>
      </c>
      <c r="F369" t="str">
        <f>_xlfn.XLOOKUP(A369, ORIGEM!A:A, ORIGEM!C:C)</f>
        <v>Sales Navigator</v>
      </c>
      <c r="G369" t="str">
        <f>_xlfn.XLOOKUP(A369, LOCAL!A:A, LOCAL!B:B)</f>
        <v>-</v>
      </c>
      <c r="H369">
        <f>_xlfn.XLOOKUP(A369, PORTE!A:A, PORTE!B:B)</f>
        <v>0</v>
      </c>
      <c r="I369">
        <f>_xlfn.XLOOKUP(A369, OBJETIVO!A:A, OBJETIVO!B:B)</f>
        <v>0</v>
      </c>
      <c r="J369">
        <f t="shared" si="5"/>
        <v>0</v>
      </c>
    </row>
    <row r="370" spans="1:10" x14ac:dyDescent="0.25">
      <c r="A370">
        <v>11817754</v>
      </c>
      <c r="B370" s="1">
        <v>45746.414548611108</v>
      </c>
      <c r="C370" t="s">
        <v>0</v>
      </c>
      <c r="D370" t="str">
        <f>VLOOKUP(A370,MERCADO!A:B,2,0)</f>
        <v>Franqueadora</v>
      </c>
      <c r="E370" t="str">
        <f>_xlfn.XLOOKUP(A370, ORIGEM!A:A, ORIGEM!B:B)</f>
        <v>Prospecção Ativa</v>
      </c>
      <c r="F370" t="str">
        <f>_xlfn.XLOOKUP(A370, ORIGEM!A:A, ORIGEM!C:C)</f>
        <v>Sales Navigator</v>
      </c>
      <c r="G370" t="str">
        <f>_xlfn.XLOOKUP(A370, LOCAL!A:A, LOCAL!B:B)</f>
        <v>-</v>
      </c>
      <c r="H370">
        <f>_xlfn.XLOOKUP(A370, PORTE!A:A, PORTE!B:B)</f>
        <v>0</v>
      </c>
      <c r="I370">
        <f>_xlfn.XLOOKUP(A370, OBJETIVO!A:A, OBJETIVO!B:B)</f>
        <v>0</v>
      </c>
      <c r="J370">
        <f t="shared" si="5"/>
        <v>0</v>
      </c>
    </row>
    <row r="371" spans="1:10" x14ac:dyDescent="0.25">
      <c r="A371">
        <v>11817815</v>
      </c>
      <c r="B371" s="1">
        <v>45746.417326388888</v>
      </c>
      <c r="C371" t="s">
        <v>0</v>
      </c>
      <c r="D371" t="str">
        <f>VLOOKUP(A371,MERCADO!A:B,2,0)</f>
        <v>Franqueadora</v>
      </c>
      <c r="E371" t="str">
        <f>_xlfn.XLOOKUP(A371, ORIGEM!A:A, ORIGEM!B:B)</f>
        <v>Prospecção Ativa</v>
      </c>
      <c r="F371" t="str">
        <f>_xlfn.XLOOKUP(A371, ORIGEM!A:A, ORIGEM!C:C)</f>
        <v>Sales Navigator</v>
      </c>
      <c r="G371" t="str">
        <f>_xlfn.XLOOKUP(A371, LOCAL!A:A, LOCAL!B:B)</f>
        <v>-</v>
      </c>
      <c r="H371">
        <f>_xlfn.XLOOKUP(A371, PORTE!A:A, PORTE!B:B)</f>
        <v>0</v>
      </c>
      <c r="I371">
        <f>_xlfn.XLOOKUP(A371, OBJETIVO!A:A, OBJETIVO!B:B)</f>
        <v>0</v>
      </c>
      <c r="J371">
        <f t="shared" si="5"/>
        <v>0</v>
      </c>
    </row>
    <row r="372" spans="1:10" x14ac:dyDescent="0.25">
      <c r="A372">
        <v>11831953</v>
      </c>
      <c r="B372" s="1">
        <v>45747.502465277779</v>
      </c>
      <c r="C372" t="s">
        <v>0</v>
      </c>
      <c r="D372" t="str">
        <f>VLOOKUP(A372,MERCADO!A:B,2,0)</f>
        <v>Franqueadora</v>
      </c>
      <c r="E372" t="str">
        <f>_xlfn.XLOOKUP(A372, ORIGEM!A:A, ORIGEM!B:B)</f>
        <v>Prospecção Ativa</v>
      </c>
      <c r="F372" t="str">
        <f>_xlfn.XLOOKUP(A372, ORIGEM!A:A, ORIGEM!C:C)</f>
        <v>Sales Navigator</v>
      </c>
      <c r="G372" t="str">
        <f>_xlfn.XLOOKUP(A372, LOCAL!A:A, LOCAL!B:B)</f>
        <v>-</v>
      </c>
      <c r="H372">
        <f>_xlfn.XLOOKUP(A372, PORTE!A:A, PORTE!B:B)</f>
        <v>0</v>
      </c>
      <c r="I372">
        <f>_xlfn.XLOOKUP(A372, OBJETIVO!A:A, OBJETIVO!B:B)</f>
        <v>0</v>
      </c>
      <c r="J372">
        <f t="shared" si="5"/>
        <v>0</v>
      </c>
    </row>
    <row r="373" spans="1:10" x14ac:dyDescent="0.25">
      <c r="A373">
        <v>11070133</v>
      </c>
      <c r="B373" s="1">
        <v>45678.568576388891</v>
      </c>
      <c r="C373" t="s">
        <v>0</v>
      </c>
      <c r="D373" t="str">
        <f>VLOOKUP(A373,MERCADO!A:B,2,0)</f>
        <v>Franqueadora</v>
      </c>
      <c r="E373" t="str">
        <f>_xlfn.XLOOKUP(A373, ORIGEM!A:A, ORIGEM!B:B)</f>
        <v>Prospecção Ativa</v>
      </c>
      <c r="F373">
        <f>_xlfn.XLOOKUP(A373, ORIGEM!A:A, ORIGEM!C:C)</f>
        <v>0</v>
      </c>
      <c r="G373" t="str">
        <f>_xlfn.XLOOKUP(A373, LOCAL!A:A, LOCAL!B:B)</f>
        <v>-</v>
      </c>
      <c r="H373">
        <f>_xlfn.XLOOKUP(A373, PORTE!A:A, PORTE!B:B)</f>
        <v>0</v>
      </c>
      <c r="I373">
        <f>_xlfn.XLOOKUP(A373, OBJETIVO!A:A, OBJETIVO!B:B)</f>
        <v>0</v>
      </c>
      <c r="J373">
        <f t="shared" si="5"/>
        <v>0</v>
      </c>
    </row>
    <row r="374" spans="1:10" x14ac:dyDescent="0.25">
      <c r="A374">
        <v>11068445</v>
      </c>
      <c r="B374" s="1">
        <v>45678.464398148149</v>
      </c>
      <c r="C374" t="s">
        <v>0</v>
      </c>
      <c r="D374" t="str">
        <f>VLOOKUP(A374,MERCADO!A:B,2,0)</f>
        <v>Industria</v>
      </c>
      <c r="E374" t="str">
        <f>_xlfn.XLOOKUP(A374, ORIGEM!A:A, ORIGEM!B:B)</f>
        <v>Prospecção Ativa</v>
      </c>
      <c r="F374">
        <f>_xlfn.XLOOKUP(A374, ORIGEM!A:A, ORIGEM!C:C)</f>
        <v>0</v>
      </c>
      <c r="G374" t="str">
        <f>_xlfn.XLOOKUP(A374, LOCAL!A:A, LOCAL!B:B)</f>
        <v>-</v>
      </c>
      <c r="H374">
        <f>_xlfn.XLOOKUP(A374, PORTE!A:A, PORTE!B:B)</f>
        <v>0</v>
      </c>
      <c r="I374">
        <f>_xlfn.XLOOKUP(A374, OBJETIVO!A:A, OBJETIVO!B:B)</f>
        <v>0</v>
      </c>
      <c r="J374">
        <f t="shared" si="5"/>
        <v>0</v>
      </c>
    </row>
    <row r="375" spans="1:10" x14ac:dyDescent="0.25">
      <c r="A375">
        <v>11068460</v>
      </c>
      <c r="B375" s="1">
        <v>45678.46534722222</v>
      </c>
      <c r="C375" t="s">
        <v>0</v>
      </c>
      <c r="D375" t="str">
        <f>VLOOKUP(A375,MERCADO!A:B,2,0)</f>
        <v>Industria</v>
      </c>
      <c r="E375" t="str">
        <f>_xlfn.XLOOKUP(A375, ORIGEM!A:A, ORIGEM!B:B)</f>
        <v>Prospecção Ativa</v>
      </c>
      <c r="F375">
        <f>_xlfn.XLOOKUP(A375, ORIGEM!A:A, ORIGEM!C:C)</f>
        <v>0</v>
      </c>
      <c r="G375" t="str">
        <f>_xlfn.XLOOKUP(A375, LOCAL!A:A, LOCAL!B:B)</f>
        <v>-</v>
      </c>
      <c r="H375">
        <f>_xlfn.XLOOKUP(A375, PORTE!A:A, PORTE!B:B)</f>
        <v>0</v>
      </c>
      <c r="I375">
        <f>_xlfn.XLOOKUP(A375, OBJETIVO!A:A, OBJETIVO!B:B)</f>
        <v>0</v>
      </c>
      <c r="J375">
        <f t="shared" si="5"/>
        <v>0</v>
      </c>
    </row>
    <row r="376" spans="1:10" x14ac:dyDescent="0.25">
      <c r="A376">
        <v>11067285</v>
      </c>
      <c r="B376" s="1">
        <v>45678.416134259256</v>
      </c>
      <c r="C376" t="s">
        <v>0</v>
      </c>
      <c r="D376" t="str">
        <f>VLOOKUP(A376,MERCADO!A:B,2,0)</f>
        <v>Industria</v>
      </c>
      <c r="E376" t="str">
        <f>_xlfn.XLOOKUP(A376, ORIGEM!A:A, ORIGEM!B:B)</f>
        <v>Prospecção Ativa</v>
      </c>
      <c r="F376">
        <f>_xlfn.XLOOKUP(A376, ORIGEM!A:A, ORIGEM!C:C)</f>
        <v>0</v>
      </c>
      <c r="G376" t="str">
        <f>_xlfn.XLOOKUP(A376, LOCAL!A:A, LOCAL!B:B)</f>
        <v>-</v>
      </c>
      <c r="H376">
        <f>_xlfn.XLOOKUP(A376, PORTE!A:A, PORTE!B:B)</f>
        <v>0</v>
      </c>
      <c r="I376">
        <f>_xlfn.XLOOKUP(A376, OBJETIVO!A:A, OBJETIVO!B:B)</f>
        <v>0</v>
      </c>
      <c r="J376">
        <f t="shared" si="5"/>
        <v>0</v>
      </c>
    </row>
    <row r="377" spans="1:10" x14ac:dyDescent="0.25">
      <c r="A377">
        <v>11997653</v>
      </c>
      <c r="B377" s="1">
        <v>45762.45553240741</v>
      </c>
      <c r="C377" t="s">
        <v>0</v>
      </c>
      <c r="D377" t="str">
        <f>VLOOKUP(A377,MERCADO!A:B,2,0)</f>
        <v>Servicos</v>
      </c>
      <c r="E377" t="str">
        <f>_xlfn.XLOOKUP(A377, ORIGEM!A:A, ORIGEM!B:B)</f>
        <v>Prospecção Ativa</v>
      </c>
      <c r="F377" t="str">
        <f>_xlfn.XLOOKUP(A377, ORIGEM!A:A, ORIGEM!C:C)</f>
        <v>Sales Navigator</v>
      </c>
      <c r="G377" t="str">
        <f>_xlfn.XLOOKUP(A377, LOCAL!A:A, LOCAL!B:B)</f>
        <v>-</v>
      </c>
      <c r="H377">
        <f>_xlfn.XLOOKUP(A377, PORTE!A:A, PORTE!B:B)</f>
        <v>0</v>
      </c>
      <c r="I377">
        <f>_xlfn.XLOOKUP(A377, OBJETIVO!A:A, OBJETIVO!B:B)</f>
        <v>0</v>
      </c>
      <c r="J377">
        <f t="shared" si="5"/>
        <v>0</v>
      </c>
    </row>
    <row r="378" spans="1:10" x14ac:dyDescent="0.25">
      <c r="A378">
        <v>11832424</v>
      </c>
      <c r="B378" s="1">
        <v>45747.516145833331</v>
      </c>
      <c r="C378" t="s">
        <v>0</v>
      </c>
      <c r="D378" t="str">
        <f>VLOOKUP(A378,MERCADO!A:B,2,0)</f>
        <v>Servicos</v>
      </c>
      <c r="E378" t="str">
        <f>_xlfn.XLOOKUP(A378, ORIGEM!A:A, ORIGEM!B:B)</f>
        <v>Prospecção Ativa</v>
      </c>
      <c r="F378" t="str">
        <f>_xlfn.XLOOKUP(A378, ORIGEM!A:A, ORIGEM!C:C)</f>
        <v>Sales Navigator</v>
      </c>
      <c r="G378" t="str">
        <f>_xlfn.XLOOKUP(A378, LOCAL!A:A, LOCAL!B:B)</f>
        <v>-</v>
      </c>
      <c r="H378">
        <f>_xlfn.XLOOKUP(A378, PORTE!A:A, PORTE!B:B)</f>
        <v>0</v>
      </c>
      <c r="I378">
        <f>_xlfn.XLOOKUP(A378, OBJETIVO!A:A, OBJETIVO!B:B)</f>
        <v>0</v>
      </c>
      <c r="J378">
        <f t="shared" si="5"/>
        <v>0</v>
      </c>
    </row>
    <row r="379" spans="1:10" x14ac:dyDescent="0.25">
      <c r="A379">
        <v>12013087</v>
      </c>
      <c r="B379" s="1">
        <v>45763.504953703705</v>
      </c>
      <c r="C379" t="s">
        <v>0</v>
      </c>
      <c r="D379" t="str">
        <f>VLOOKUP(A379,MERCADO!A:B,2,0)</f>
        <v>Imobiliaria/Incorporadora/Construtora</v>
      </c>
      <c r="E379" t="str">
        <f>_xlfn.XLOOKUP(A379, ORIGEM!A:A, ORIGEM!B:B)</f>
        <v>Prospecção Ativa</v>
      </c>
      <c r="F379" t="str">
        <f>_xlfn.XLOOKUP(A379, ORIGEM!A:A, ORIGEM!C:C)</f>
        <v>Sales Navigator</v>
      </c>
      <c r="G379" t="str">
        <f>_xlfn.XLOOKUP(A379, LOCAL!A:A, LOCAL!B:B)</f>
        <v>-</v>
      </c>
      <c r="H379">
        <f>_xlfn.XLOOKUP(A379, PORTE!A:A, PORTE!B:B)</f>
        <v>0</v>
      </c>
      <c r="I379">
        <f>_xlfn.XLOOKUP(A379, OBJETIVO!A:A, OBJETIVO!B:B)</f>
        <v>0</v>
      </c>
      <c r="J379">
        <f t="shared" si="5"/>
        <v>0</v>
      </c>
    </row>
    <row r="380" spans="1:10" x14ac:dyDescent="0.25">
      <c r="A380">
        <v>12013225</v>
      </c>
      <c r="B380" s="1">
        <v>45763.506064814814</v>
      </c>
      <c r="C380" t="s">
        <v>0</v>
      </c>
      <c r="D380" t="str">
        <f>VLOOKUP(A380,MERCADO!A:B,2,0)</f>
        <v>Imobiliaria/Incorporadora/Construtora</v>
      </c>
      <c r="E380" t="str">
        <f>_xlfn.XLOOKUP(A380, ORIGEM!A:A, ORIGEM!B:B)</f>
        <v>Prospecção Ativa</v>
      </c>
      <c r="F380" t="str">
        <f>_xlfn.XLOOKUP(A380, ORIGEM!A:A, ORIGEM!C:C)</f>
        <v>Sales Navigator</v>
      </c>
      <c r="G380" t="str">
        <f>_xlfn.XLOOKUP(A380, LOCAL!A:A, LOCAL!B:B)</f>
        <v>-</v>
      </c>
      <c r="H380">
        <f>_xlfn.XLOOKUP(A380, PORTE!A:A, PORTE!B:B)</f>
        <v>0</v>
      </c>
      <c r="I380">
        <f>_xlfn.XLOOKUP(A380, OBJETIVO!A:A, OBJETIVO!B:B)</f>
        <v>0</v>
      </c>
      <c r="J380">
        <f t="shared" si="5"/>
        <v>0</v>
      </c>
    </row>
    <row r="381" spans="1:10" x14ac:dyDescent="0.25">
      <c r="A381">
        <v>11817176</v>
      </c>
      <c r="B381" s="1">
        <v>45746.393773148149</v>
      </c>
      <c r="C381" t="s">
        <v>0</v>
      </c>
      <c r="D381" t="str">
        <f>VLOOKUP(A381,MERCADO!A:B,2,0)</f>
        <v>Servicos</v>
      </c>
      <c r="E381" t="str">
        <f>_xlfn.XLOOKUP(A381, ORIGEM!A:A, ORIGEM!B:B)</f>
        <v>Prospecção Ativa</v>
      </c>
      <c r="F381" t="str">
        <f>_xlfn.XLOOKUP(A381, ORIGEM!A:A, ORIGEM!C:C)</f>
        <v>Sales Navigator</v>
      </c>
      <c r="G381" t="str">
        <f>_xlfn.XLOOKUP(A381, LOCAL!A:A, LOCAL!B:B)</f>
        <v>-</v>
      </c>
      <c r="H381">
        <f>_xlfn.XLOOKUP(A381, PORTE!A:A, PORTE!B:B)</f>
        <v>0</v>
      </c>
      <c r="I381">
        <f>_xlfn.XLOOKUP(A381, OBJETIVO!A:A, OBJETIVO!B:B)</f>
        <v>0</v>
      </c>
      <c r="J381">
        <f t="shared" si="5"/>
        <v>0</v>
      </c>
    </row>
    <row r="382" spans="1:10" x14ac:dyDescent="0.25">
      <c r="A382">
        <v>11817209</v>
      </c>
      <c r="B382" s="1">
        <v>45746.395949074074</v>
      </c>
      <c r="C382" t="s">
        <v>0</v>
      </c>
      <c r="D382" t="str">
        <f>VLOOKUP(A382,MERCADO!A:B,2,0)</f>
        <v>Servicos</v>
      </c>
      <c r="E382" t="str">
        <f>_xlfn.XLOOKUP(A382, ORIGEM!A:A, ORIGEM!B:B)</f>
        <v>Prospecção Ativa</v>
      </c>
      <c r="F382" t="str">
        <f>_xlfn.XLOOKUP(A382, ORIGEM!A:A, ORIGEM!C:C)</f>
        <v>Sales Navigator</v>
      </c>
      <c r="G382" t="str">
        <f>_xlfn.XLOOKUP(A382, LOCAL!A:A, LOCAL!B:B)</f>
        <v>-</v>
      </c>
      <c r="H382">
        <f>_xlfn.XLOOKUP(A382, PORTE!A:A, PORTE!B:B)</f>
        <v>0</v>
      </c>
      <c r="I382">
        <f>_xlfn.XLOOKUP(A382, OBJETIVO!A:A, OBJETIVO!B:B)</f>
        <v>0</v>
      </c>
      <c r="J382">
        <f t="shared" si="5"/>
        <v>0</v>
      </c>
    </row>
    <row r="383" spans="1:10" x14ac:dyDescent="0.25">
      <c r="A383">
        <v>12013244</v>
      </c>
      <c r="B383" s="1">
        <v>45763.507800925923</v>
      </c>
      <c r="C383" t="s">
        <v>0</v>
      </c>
      <c r="D383" t="str">
        <f>VLOOKUP(A383,MERCADO!A:B,2,0)</f>
        <v>Servicos</v>
      </c>
      <c r="E383" t="str">
        <f>_xlfn.XLOOKUP(A383, ORIGEM!A:A, ORIGEM!B:B)</f>
        <v>Prospecção Ativa</v>
      </c>
      <c r="F383" t="str">
        <f>_xlfn.XLOOKUP(A383, ORIGEM!A:A, ORIGEM!C:C)</f>
        <v>Sales Navigator</v>
      </c>
      <c r="G383" t="str">
        <f>_xlfn.XLOOKUP(A383, LOCAL!A:A, LOCAL!B:B)</f>
        <v>-</v>
      </c>
      <c r="H383">
        <f>_xlfn.XLOOKUP(A383, PORTE!A:A, PORTE!B:B)</f>
        <v>0</v>
      </c>
      <c r="I383">
        <f>_xlfn.XLOOKUP(A383, OBJETIVO!A:A, OBJETIVO!B:B)</f>
        <v>0</v>
      </c>
      <c r="J383">
        <f t="shared" si="5"/>
        <v>0</v>
      </c>
    </row>
    <row r="384" spans="1:10" x14ac:dyDescent="0.25">
      <c r="A384">
        <v>11890649</v>
      </c>
      <c r="B384" s="1">
        <v>45753.722777777781</v>
      </c>
      <c r="C384" t="s">
        <v>0</v>
      </c>
      <c r="D384" t="str">
        <f>VLOOKUP(A384,MERCADO!A:B,2,0)</f>
        <v>Servicos</v>
      </c>
      <c r="E384" t="str">
        <f>_xlfn.XLOOKUP(A384, ORIGEM!A:A, ORIGEM!B:B)</f>
        <v>Prospecção Ativa</v>
      </c>
      <c r="F384" t="str">
        <f>_xlfn.XLOOKUP(A384, ORIGEM!A:A, ORIGEM!C:C)</f>
        <v>Sales Navigator</v>
      </c>
      <c r="G384" t="str">
        <f>_xlfn.XLOOKUP(A384, LOCAL!A:A, LOCAL!B:B)</f>
        <v>-</v>
      </c>
      <c r="H384">
        <f>_xlfn.XLOOKUP(A384, PORTE!A:A, PORTE!B:B)</f>
        <v>0</v>
      </c>
      <c r="I384">
        <f>_xlfn.XLOOKUP(A384, OBJETIVO!A:A, OBJETIVO!B:B)</f>
        <v>0</v>
      </c>
      <c r="J384">
        <f t="shared" si="5"/>
        <v>0</v>
      </c>
    </row>
    <row r="385" spans="1:10" x14ac:dyDescent="0.25">
      <c r="A385">
        <v>11997578</v>
      </c>
      <c r="B385" s="1">
        <v>45762.450138888889</v>
      </c>
      <c r="C385" t="s">
        <v>0</v>
      </c>
      <c r="D385" t="str">
        <f>VLOOKUP(A385,MERCADO!A:B,2,0)</f>
        <v>Servicos</v>
      </c>
      <c r="E385" t="str">
        <f>_xlfn.XLOOKUP(A385, ORIGEM!A:A, ORIGEM!B:B)</f>
        <v>Prospecção Ativa</v>
      </c>
      <c r="F385" t="str">
        <f>_xlfn.XLOOKUP(A385, ORIGEM!A:A, ORIGEM!C:C)</f>
        <v>Sales Navigator</v>
      </c>
      <c r="G385" t="str">
        <f>_xlfn.XLOOKUP(A385, LOCAL!A:A, LOCAL!B:B)</f>
        <v>-</v>
      </c>
      <c r="H385">
        <f>_xlfn.XLOOKUP(A385, PORTE!A:A, PORTE!B:B)</f>
        <v>0</v>
      </c>
      <c r="I385">
        <f>_xlfn.XLOOKUP(A385, OBJETIVO!A:A, OBJETIVO!B:B)</f>
        <v>0</v>
      </c>
      <c r="J385">
        <f t="shared" si="5"/>
        <v>0</v>
      </c>
    </row>
    <row r="386" spans="1:10" x14ac:dyDescent="0.25">
      <c r="A386">
        <v>11899637</v>
      </c>
      <c r="B386" s="1">
        <v>45754.566608796296</v>
      </c>
      <c r="C386" t="s">
        <v>0</v>
      </c>
      <c r="D386" t="str">
        <f>VLOOKUP(A386,MERCADO!A:B,2,0)</f>
        <v>Servicos</v>
      </c>
      <c r="E386" t="str">
        <f>_xlfn.XLOOKUP(A386, ORIGEM!A:A, ORIGEM!B:B)</f>
        <v>Prospecção Ativa</v>
      </c>
      <c r="F386" t="str">
        <f>_xlfn.XLOOKUP(A386, ORIGEM!A:A, ORIGEM!C:C)</f>
        <v>Sales Navigator</v>
      </c>
      <c r="G386" t="str">
        <f>_xlfn.XLOOKUP(A386, LOCAL!A:A, LOCAL!B:B)</f>
        <v>-</v>
      </c>
      <c r="H386">
        <f>_xlfn.XLOOKUP(A386, PORTE!A:A, PORTE!B:B)</f>
        <v>0</v>
      </c>
      <c r="I386">
        <f>_xlfn.XLOOKUP(A386, OBJETIVO!A:A, OBJETIVO!B:B)</f>
        <v>0</v>
      </c>
      <c r="J386">
        <f t="shared" si="5"/>
        <v>0</v>
      </c>
    </row>
    <row r="387" spans="1:10" x14ac:dyDescent="0.25">
      <c r="A387">
        <v>12011806</v>
      </c>
      <c r="B387" s="1">
        <v>45763.461226851854</v>
      </c>
      <c r="C387" t="s">
        <v>0</v>
      </c>
      <c r="D387" t="str">
        <f>VLOOKUP(A387,MERCADO!A:B,2,0)</f>
        <v>Servicos</v>
      </c>
      <c r="E387" t="str">
        <f>_xlfn.XLOOKUP(A387, ORIGEM!A:A, ORIGEM!B:B)</f>
        <v>Prospecção Ativa</v>
      </c>
      <c r="F387" t="str">
        <f>_xlfn.XLOOKUP(A387, ORIGEM!A:A, ORIGEM!C:C)</f>
        <v>Sales Navigator</v>
      </c>
      <c r="G387" t="str">
        <f>_xlfn.XLOOKUP(A387, LOCAL!A:A, LOCAL!B:B)</f>
        <v>-</v>
      </c>
      <c r="H387">
        <f>_xlfn.XLOOKUP(A387, PORTE!A:A, PORTE!B:B)</f>
        <v>0</v>
      </c>
      <c r="I387">
        <f>_xlfn.XLOOKUP(A387, OBJETIVO!A:A, OBJETIVO!B:B)</f>
        <v>0</v>
      </c>
      <c r="J387">
        <f t="shared" ref="J387:J450" si="6">IF(C387="SIM",1,0)</f>
        <v>0</v>
      </c>
    </row>
    <row r="388" spans="1:10" x14ac:dyDescent="0.25">
      <c r="A388">
        <v>12012359</v>
      </c>
      <c r="B388" s="1">
        <v>45763.472743055558</v>
      </c>
      <c r="C388" t="s">
        <v>0</v>
      </c>
      <c r="D388" t="str">
        <f>VLOOKUP(A388,MERCADO!A:B,2,0)</f>
        <v>Servicos</v>
      </c>
      <c r="E388" t="str">
        <f>_xlfn.XLOOKUP(A388, ORIGEM!A:A, ORIGEM!B:B)</f>
        <v>Prospecção Ativa</v>
      </c>
      <c r="F388" t="str">
        <f>_xlfn.XLOOKUP(A388, ORIGEM!A:A, ORIGEM!C:C)</f>
        <v>Sales Navigator</v>
      </c>
      <c r="G388" t="str">
        <f>_xlfn.XLOOKUP(A388, LOCAL!A:A, LOCAL!B:B)</f>
        <v>-</v>
      </c>
      <c r="H388">
        <f>_xlfn.XLOOKUP(A388, PORTE!A:A, PORTE!B:B)</f>
        <v>0</v>
      </c>
      <c r="I388">
        <f>_xlfn.XLOOKUP(A388, OBJETIVO!A:A, OBJETIVO!B:B)</f>
        <v>0</v>
      </c>
      <c r="J388">
        <f t="shared" si="6"/>
        <v>0</v>
      </c>
    </row>
    <row r="389" spans="1:10" x14ac:dyDescent="0.25">
      <c r="A389">
        <v>11067204</v>
      </c>
      <c r="B389" s="1">
        <v>45678.412048611113</v>
      </c>
      <c r="C389" t="s">
        <v>0</v>
      </c>
      <c r="D389" t="str">
        <f>VLOOKUP(A389,MERCADO!A:B,2,0)</f>
        <v>Industria</v>
      </c>
      <c r="E389" t="str">
        <f>_xlfn.XLOOKUP(A389, ORIGEM!A:A, ORIGEM!B:B)</f>
        <v>Prospecção Ativa</v>
      </c>
      <c r="F389">
        <f>_xlfn.XLOOKUP(A389, ORIGEM!A:A, ORIGEM!C:C)</f>
        <v>0</v>
      </c>
      <c r="G389" t="str">
        <f>_xlfn.XLOOKUP(A389, LOCAL!A:A, LOCAL!B:B)</f>
        <v>-</v>
      </c>
      <c r="H389">
        <f>_xlfn.XLOOKUP(A389, PORTE!A:A, PORTE!B:B)</f>
        <v>0</v>
      </c>
      <c r="I389">
        <f>_xlfn.XLOOKUP(A389, OBJETIVO!A:A, OBJETIVO!B:B)</f>
        <v>0</v>
      </c>
      <c r="J389">
        <f t="shared" si="6"/>
        <v>0</v>
      </c>
    </row>
    <row r="390" spans="1:10" x14ac:dyDescent="0.25">
      <c r="A390">
        <v>12013259</v>
      </c>
      <c r="B390" s="1">
        <v>45763.50953703704</v>
      </c>
      <c r="C390" t="s">
        <v>0</v>
      </c>
      <c r="D390" t="str">
        <f>VLOOKUP(A390,MERCADO!A:B,2,0)</f>
        <v>Industria</v>
      </c>
      <c r="E390" t="str">
        <f>_xlfn.XLOOKUP(A390, ORIGEM!A:A, ORIGEM!B:B)</f>
        <v>Prospecção Ativa</v>
      </c>
      <c r="F390" t="str">
        <f>_xlfn.XLOOKUP(A390, ORIGEM!A:A, ORIGEM!C:C)</f>
        <v>Sales Navigator</v>
      </c>
      <c r="G390" t="str">
        <f>_xlfn.XLOOKUP(A390, LOCAL!A:A, LOCAL!B:B)</f>
        <v>-</v>
      </c>
      <c r="H390">
        <f>_xlfn.XLOOKUP(A390, PORTE!A:A, PORTE!B:B)</f>
        <v>0</v>
      </c>
      <c r="I390">
        <f>_xlfn.XLOOKUP(A390, OBJETIVO!A:A, OBJETIVO!B:B)</f>
        <v>0</v>
      </c>
      <c r="J390">
        <f t="shared" si="6"/>
        <v>0</v>
      </c>
    </row>
    <row r="391" spans="1:10" x14ac:dyDescent="0.25">
      <c r="A391">
        <v>12013280</v>
      </c>
      <c r="B391" s="1">
        <v>45763.511145833334</v>
      </c>
      <c r="C391" t="s">
        <v>0</v>
      </c>
      <c r="D391" t="str">
        <f>VLOOKUP(A391,MERCADO!A:B,2,0)</f>
        <v>Industria</v>
      </c>
      <c r="E391" t="str">
        <f>_xlfn.XLOOKUP(A391, ORIGEM!A:A, ORIGEM!B:B)</f>
        <v>Prospecção Ativa</v>
      </c>
      <c r="F391" t="str">
        <f>_xlfn.XLOOKUP(A391, ORIGEM!A:A, ORIGEM!C:C)</f>
        <v>Sales Navigator</v>
      </c>
      <c r="G391" t="str">
        <f>_xlfn.XLOOKUP(A391, LOCAL!A:A, LOCAL!B:B)</f>
        <v>-</v>
      </c>
      <c r="H391">
        <f>_xlfn.XLOOKUP(A391, PORTE!A:A, PORTE!B:B)</f>
        <v>0</v>
      </c>
      <c r="I391">
        <f>_xlfn.XLOOKUP(A391, OBJETIVO!A:A, OBJETIVO!B:B)</f>
        <v>0</v>
      </c>
      <c r="J391">
        <f t="shared" si="6"/>
        <v>0</v>
      </c>
    </row>
    <row r="392" spans="1:10" x14ac:dyDescent="0.25">
      <c r="A392">
        <v>11757420</v>
      </c>
      <c r="B392" s="1">
        <v>45741.566388888888</v>
      </c>
      <c r="C392" t="s">
        <v>0</v>
      </c>
      <c r="D392" t="str">
        <f>VLOOKUP(A392,MERCADO!A:B,2,0)</f>
        <v>Industria</v>
      </c>
      <c r="E392" t="str">
        <f>_xlfn.XLOOKUP(A392, ORIGEM!A:A, ORIGEM!B:B)</f>
        <v>Prospecção Ativa</v>
      </c>
      <c r="F392" t="str">
        <f>_xlfn.XLOOKUP(A392, ORIGEM!A:A, ORIGEM!C:C)</f>
        <v>Sales Navigator</v>
      </c>
      <c r="G392" t="str">
        <f>_xlfn.XLOOKUP(A392, LOCAL!A:A, LOCAL!B:B)</f>
        <v>-</v>
      </c>
      <c r="H392">
        <f>_xlfn.XLOOKUP(A392, PORTE!A:A, PORTE!B:B)</f>
        <v>0</v>
      </c>
      <c r="I392">
        <f>_xlfn.XLOOKUP(A392, OBJETIVO!A:A, OBJETIVO!B:B)</f>
        <v>0</v>
      </c>
      <c r="J392">
        <f t="shared" si="6"/>
        <v>0</v>
      </c>
    </row>
    <row r="393" spans="1:10" x14ac:dyDescent="0.25">
      <c r="A393">
        <v>11831938</v>
      </c>
      <c r="B393" s="1">
        <v>45747.501250000001</v>
      </c>
      <c r="C393" t="s">
        <v>0</v>
      </c>
      <c r="D393" t="str">
        <f>VLOOKUP(A393,MERCADO!A:B,2,0)</f>
        <v>Marketing/Publicidade/Consultoria</v>
      </c>
      <c r="E393" t="str">
        <f>_xlfn.XLOOKUP(A393, ORIGEM!A:A, ORIGEM!B:B)</f>
        <v>Prospecção Ativa</v>
      </c>
      <c r="F393" t="str">
        <f>_xlfn.XLOOKUP(A393, ORIGEM!A:A, ORIGEM!C:C)</f>
        <v>Sales Navigator</v>
      </c>
      <c r="G393" t="str">
        <f>_xlfn.XLOOKUP(A393, LOCAL!A:A, LOCAL!B:B)</f>
        <v>-</v>
      </c>
      <c r="H393">
        <f>_xlfn.XLOOKUP(A393, PORTE!A:A, PORTE!B:B)</f>
        <v>0</v>
      </c>
      <c r="I393">
        <f>_xlfn.XLOOKUP(A393, OBJETIVO!A:A, OBJETIVO!B:B)</f>
        <v>0</v>
      </c>
      <c r="J393">
        <f t="shared" si="6"/>
        <v>0</v>
      </c>
    </row>
    <row r="394" spans="1:10" x14ac:dyDescent="0.25">
      <c r="A394">
        <v>11773509</v>
      </c>
      <c r="B394" s="1">
        <v>45742.445671296293</v>
      </c>
      <c r="C394" t="s">
        <v>0</v>
      </c>
      <c r="D394" t="str">
        <f>VLOOKUP(A394,MERCADO!A:B,2,0)</f>
        <v>Industria</v>
      </c>
      <c r="E394" t="str">
        <f>_xlfn.XLOOKUP(A394, ORIGEM!A:A, ORIGEM!B:B)</f>
        <v>Prospecção Ativa</v>
      </c>
      <c r="F394" t="str">
        <f>_xlfn.XLOOKUP(A394, ORIGEM!A:A, ORIGEM!C:C)</f>
        <v>Sales Navigator</v>
      </c>
      <c r="G394" t="str">
        <f>_xlfn.XLOOKUP(A394, LOCAL!A:A, LOCAL!B:B)</f>
        <v>-</v>
      </c>
      <c r="H394">
        <f>_xlfn.XLOOKUP(A394, PORTE!A:A, PORTE!B:B)</f>
        <v>0</v>
      </c>
      <c r="I394">
        <f>_xlfn.XLOOKUP(A394, OBJETIVO!A:A, OBJETIVO!B:B)</f>
        <v>0</v>
      </c>
      <c r="J394">
        <f t="shared" si="6"/>
        <v>0</v>
      </c>
    </row>
    <row r="395" spans="1:10" x14ac:dyDescent="0.25">
      <c r="A395">
        <v>12011842</v>
      </c>
      <c r="B395" s="1">
        <v>45763.463182870371</v>
      </c>
      <c r="C395" t="s">
        <v>0</v>
      </c>
      <c r="D395" t="str">
        <f>VLOOKUP(A395,MERCADO!A:B,2,0)</f>
        <v>Industria</v>
      </c>
      <c r="E395" t="str">
        <f>_xlfn.XLOOKUP(A395, ORIGEM!A:A, ORIGEM!B:B)</f>
        <v>Prospecção Ativa</v>
      </c>
      <c r="F395" t="str">
        <f>_xlfn.XLOOKUP(A395, ORIGEM!A:A, ORIGEM!C:C)</f>
        <v>Sales Navigator</v>
      </c>
      <c r="G395" t="str">
        <f>_xlfn.XLOOKUP(A395, LOCAL!A:A, LOCAL!B:B)</f>
        <v>-</v>
      </c>
      <c r="H395">
        <f>_xlfn.XLOOKUP(A395, PORTE!A:A, PORTE!B:B)</f>
        <v>0</v>
      </c>
      <c r="I395">
        <f>_xlfn.XLOOKUP(A395, OBJETIVO!A:A, OBJETIVO!B:B)</f>
        <v>0</v>
      </c>
      <c r="J395">
        <f t="shared" si="6"/>
        <v>0</v>
      </c>
    </row>
    <row r="396" spans="1:10" x14ac:dyDescent="0.25">
      <c r="A396">
        <v>11817106</v>
      </c>
      <c r="B396" s="1">
        <v>45746.390185185184</v>
      </c>
      <c r="C396" t="s">
        <v>0</v>
      </c>
      <c r="D396" t="str">
        <f>VLOOKUP(A396,MERCADO!A:B,2,0)</f>
        <v>Servicos</v>
      </c>
      <c r="E396" t="str">
        <f>_xlfn.XLOOKUP(A396, ORIGEM!A:A, ORIGEM!B:B)</f>
        <v>Prospecção Ativa</v>
      </c>
      <c r="F396" t="str">
        <f>_xlfn.XLOOKUP(A396, ORIGEM!A:A, ORIGEM!C:C)</f>
        <v>Sales Navigator</v>
      </c>
      <c r="G396" t="str">
        <f>_xlfn.XLOOKUP(A396, LOCAL!A:A, LOCAL!B:B)</f>
        <v>-</v>
      </c>
      <c r="H396">
        <f>_xlfn.XLOOKUP(A396, PORTE!A:A, PORTE!B:B)</f>
        <v>0</v>
      </c>
      <c r="I396">
        <f>_xlfn.XLOOKUP(A396, OBJETIVO!A:A, OBJETIVO!B:B)</f>
        <v>0</v>
      </c>
      <c r="J396">
        <f t="shared" si="6"/>
        <v>0</v>
      </c>
    </row>
    <row r="397" spans="1:10" x14ac:dyDescent="0.25">
      <c r="A397">
        <v>11817284</v>
      </c>
      <c r="B397" s="1">
        <v>45746.401782407411</v>
      </c>
      <c r="C397" t="s">
        <v>0</v>
      </c>
      <c r="D397" t="str">
        <f>VLOOKUP(A397,MERCADO!A:B,2,0)</f>
        <v>Servicos</v>
      </c>
      <c r="E397" t="str">
        <f>_xlfn.XLOOKUP(A397, ORIGEM!A:A, ORIGEM!B:B)</f>
        <v>Prospecção Ativa</v>
      </c>
      <c r="F397" t="str">
        <f>_xlfn.XLOOKUP(A397, ORIGEM!A:A, ORIGEM!C:C)</f>
        <v>Sales Navigator</v>
      </c>
      <c r="G397" t="str">
        <f>_xlfn.XLOOKUP(A397, LOCAL!A:A, LOCAL!B:B)</f>
        <v>-</v>
      </c>
      <c r="H397">
        <f>_xlfn.XLOOKUP(A397, PORTE!A:A, PORTE!B:B)</f>
        <v>0</v>
      </c>
      <c r="I397">
        <f>_xlfn.XLOOKUP(A397, OBJETIVO!A:A, OBJETIVO!B:B)</f>
        <v>0</v>
      </c>
      <c r="J397">
        <f t="shared" si="6"/>
        <v>0</v>
      </c>
    </row>
    <row r="398" spans="1:10" x14ac:dyDescent="0.25">
      <c r="A398">
        <v>11817507</v>
      </c>
      <c r="B398" s="1">
        <v>45746.406238425923</v>
      </c>
      <c r="C398" t="s">
        <v>0</v>
      </c>
      <c r="D398" t="str">
        <f>VLOOKUP(A398,MERCADO!A:B,2,0)</f>
        <v>Servicos</v>
      </c>
      <c r="E398" t="str">
        <f>_xlfn.XLOOKUP(A398, ORIGEM!A:A, ORIGEM!B:B)</f>
        <v>Prospecção Ativa</v>
      </c>
      <c r="F398" t="str">
        <f>_xlfn.XLOOKUP(A398, ORIGEM!A:A, ORIGEM!C:C)</f>
        <v>Sales Navigator</v>
      </c>
      <c r="G398" t="str">
        <f>_xlfn.XLOOKUP(A398, LOCAL!A:A, LOCAL!B:B)</f>
        <v>-</v>
      </c>
      <c r="H398">
        <f>_xlfn.XLOOKUP(A398, PORTE!A:A, PORTE!B:B)</f>
        <v>0</v>
      </c>
      <c r="I398">
        <f>_xlfn.XLOOKUP(A398, OBJETIVO!A:A, OBJETIVO!B:B)</f>
        <v>0</v>
      </c>
      <c r="J398">
        <f t="shared" si="6"/>
        <v>0</v>
      </c>
    </row>
    <row r="399" spans="1:10" x14ac:dyDescent="0.25">
      <c r="A399">
        <v>11817540</v>
      </c>
      <c r="B399" s="1">
        <v>45746.408333333333</v>
      </c>
      <c r="C399" t="s">
        <v>0</v>
      </c>
      <c r="D399" t="str">
        <f>VLOOKUP(A399,MERCADO!A:B,2,0)</f>
        <v>Servicos</v>
      </c>
      <c r="E399" t="str">
        <f>_xlfn.XLOOKUP(A399, ORIGEM!A:A, ORIGEM!B:B)</f>
        <v>Prospecção Ativa</v>
      </c>
      <c r="F399" t="str">
        <f>_xlfn.XLOOKUP(A399, ORIGEM!A:A, ORIGEM!C:C)</f>
        <v>Sales Navigator</v>
      </c>
      <c r="G399" t="str">
        <f>_xlfn.XLOOKUP(A399, LOCAL!A:A, LOCAL!B:B)</f>
        <v>-</v>
      </c>
      <c r="H399">
        <f>_xlfn.XLOOKUP(A399, PORTE!A:A, PORTE!B:B)</f>
        <v>0</v>
      </c>
      <c r="I399">
        <f>_xlfn.XLOOKUP(A399, OBJETIVO!A:A, OBJETIVO!B:B)</f>
        <v>0</v>
      </c>
      <c r="J399">
        <f t="shared" si="6"/>
        <v>0</v>
      </c>
    </row>
    <row r="400" spans="1:10" x14ac:dyDescent="0.25">
      <c r="A400">
        <v>11817728</v>
      </c>
      <c r="B400" s="1">
        <v>45746.413229166668</v>
      </c>
      <c r="C400" t="s">
        <v>0</v>
      </c>
      <c r="D400" t="str">
        <f>VLOOKUP(A400,MERCADO!A:B,2,0)</f>
        <v>Servicos</v>
      </c>
      <c r="E400" t="str">
        <f>_xlfn.XLOOKUP(A400, ORIGEM!A:A, ORIGEM!B:B)</f>
        <v>Prospecção Ativa</v>
      </c>
      <c r="F400" t="str">
        <f>_xlfn.XLOOKUP(A400, ORIGEM!A:A, ORIGEM!C:C)</f>
        <v>Sales Navigator</v>
      </c>
      <c r="G400" t="str">
        <f>_xlfn.XLOOKUP(A400, LOCAL!A:A, LOCAL!B:B)</f>
        <v>-</v>
      </c>
      <c r="H400">
        <f>_xlfn.XLOOKUP(A400, PORTE!A:A, PORTE!B:B)</f>
        <v>0</v>
      </c>
      <c r="I400">
        <f>_xlfn.XLOOKUP(A400, OBJETIVO!A:A, OBJETIVO!B:B)</f>
        <v>0</v>
      </c>
      <c r="J400">
        <f t="shared" si="6"/>
        <v>0</v>
      </c>
    </row>
    <row r="401" spans="1:10" x14ac:dyDescent="0.25">
      <c r="A401">
        <v>11817779</v>
      </c>
      <c r="B401" s="1">
        <v>45746.415752314817</v>
      </c>
      <c r="C401" t="s">
        <v>0</v>
      </c>
      <c r="D401" t="str">
        <f>VLOOKUP(A401,MERCADO!A:B,2,0)</f>
        <v>Servicos</v>
      </c>
      <c r="E401" t="str">
        <f>_xlfn.XLOOKUP(A401, ORIGEM!A:A, ORIGEM!B:B)</f>
        <v>Prospecção Ativa</v>
      </c>
      <c r="F401" t="str">
        <f>_xlfn.XLOOKUP(A401, ORIGEM!A:A, ORIGEM!C:C)</f>
        <v>Sales Navigator</v>
      </c>
      <c r="G401" t="str">
        <f>_xlfn.XLOOKUP(A401, LOCAL!A:A, LOCAL!B:B)</f>
        <v>-</v>
      </c>
      <c r="H401">
        <f>_xlfn.XLOOKUP(A401, PORTE!A:A, PORTE!B:B)</f>
        <v>0</v>
      </c>
      <c r="I401">
        <f>_xlfn.XLOOKUP(A401, OBJETIVO!A:A, OBJETIVO!B:B)</f>
        <v>0</v>
      </c>
      <c r="J401">
        <f t="shared" si="6"/>
        <v>0</v>
      </c>
    </row>
    <row r="402" spans="1:10" x14ac:dyDescent="0.25">
      <c r="A402">
        <v>11817943</v>
      </c>
      <c r="B402" s="1">
        <v>45746.423506944448</v>
      </c>
      <c r="C402" t="s">
        <v>0</v>
      </c>
      <c r="D402" t="str">
        <f>VLOOKUP(A402,MERCADO!A:B,2,0)</f>
        <v>Servicos</v>
      </c>
      <c r="E402" t="str">
        <f>_xlfn.XLOOKUP(A402, ORIGEM!A:A, ORIGEM!B:B)</f>
        <v>Prospecção Ativa</v>
      </c>
      <c r="F402" t="str">
        <f>_xlfn.XLOOKUP(A402, ORIGEM!A:A, ORIGEM!C:C)</f>
        <v>Sales Navigator</v>
      </c>
      <c r="G402" t="str">
        <f>_xlfn.XLOOKUP(A402, LOCAL!A:A, LOCAL!B:B)</f>
        <v>-</v>
      </c>
      <c r="H402">
        <f>_xlfn.XLOOKUP(A402, PORTE!A:A, PORTE!B:B)</f>
        <v>0</v>
      </c>
      <c r="I402">
        <f>_xlfn.XLOOKUP(A402, OBJETIVO!A:A, OBJETIVO!B:B)</f>
        <v>0</v>
      </c>
      <c r="J402">
        <f t="shared" si="6"/>
        <v>0</v>
      </c>
    </row>
    <row r="403" spans="1:10" x14ac:dyDescent="0.25">
      <c r="A403">
        <v>11817970</v>
      </c>
      <c r="B403" s="1">
        <v>45746.425312500003</v>
      </c>
      <c r="C403" t="s">
        <v>0</v>
      </c>
      <c r="D403" t="str">
        <f>VLOOKUP(A403,MERCADO!A:B,2,0)</f>
        <v>Servicos</v>
      </c>
      <c r="E403" t="str">
        <f>_xlfn.XLOOKUP(A403, ORIGEM!A:A, ORIGEM!B:B)</f>
        <v>Prospecção Ativa</v>
      </c>
      <c r="F403" t="str">
        <f>_xlfn.XLOOKUP(A403, ORIGEM!A:A, ORIGEM!C:C)</f>
        <v>Sales Navigator</v>
      </c>
      <c r="G403" t="str">
        <f>_xlfn.XLOOKUP(A403, LOCAL!A:A, LOCAL!B:B)</f>
        <v>-</v>
      </c>
      <c r="H403">
        <f>_xlfn.XLOOKUP(A403, PORTE!A:A, PORTE!B:B)</f>
        <v>0</v>
      </c>
      <c r="I403">
        <f>_xlfn.XLOOKUP(A403, OBJETIVO!A:A, OBJETIVO!B:B)</f>
        <v>0</v>
      </c>
      <c r="J403">
        <f t="shared" si="6"/>
        <v>0</v>
      </c>
    </row>
    <row r="404" spans="1:10" x14ac:dyDescent="0.25">
      <c r="A404">
        <v>11817857</v>
      </c>
      <c r="B404" s="1">
        <v>45746.419120370374</v>
      </c>
      <c r="C404" t="s">
        <v>0</v>
      </c>
      <c r="D404" t="str">
        <f>VLOOKUP(A404,MERCADO!A:B,2,0)</f>
        <v>Varejo</v>
      </c>
      <c r="E404" t="str">
        <f>_xlfn.XLOOKUP(A404, ORIGEM!A:A, ORIGEM!B:B)</f>
        <v>Prospecção Ativa</v>
      </c>
      <c r="F404" t="str">
        <f>_xlfn.XLOOKUP(A404, ORIGEM!A:A, ORIGEM!C:C)</f>
        <v>Sales Navigator</v>
      </c>
      <c r="G404" t="str">
        <f>_xlfn.XLOOKUP(A404, LOCAL!A:A, LOCAL!B:B)</f>
        <v>-</v>
      </c>
      <c r="H404">
        <f>_xlfn.XLOOKUP(A404, PORTE!A:A, PORTE!B:B)</f>
        <v>0</v>
      </c>
      <c r="I404">
        <f>_xlfn.XLOOKUP(A404, OBJETIVO!A:A, OBJETIVO!B:B)</f>
        <v>0</v>
      </c>
      <c r="J404">
        <f t="shared" si="6"/>
        <v>0</v>
      </c>
    </row>
    <row r="405" spans="1:10" x14ac:dyDescent="0.25">
      <c r="A405">
        <v>10630317</v>
      </c>
      <c r="B405" s="1">
        <v>45633.469675925924</v>
      </c>
      <c r="C405" t="s">
        <v>0</v>
      </c>
      <c r="D405" t="str">
        <f>VLOOKUP(A405,MERCADO!A:B,2,0)</f>
        <v>Varejo</v>
      </c>
      <c r="E405" t="str">
        <f>_xlfn.XLOOKUP(A405, ORIGEM!A:A, ORIGEM!B:B)</f>
        <v>Orgânico</v>
      </c>
      <c r="F405">
        <f>_xlfn.XLOOKUP(A405, ORIGEM!A:A, ORIGEM!C:C)</f>
        <v>0</v>
      </c>
      <c r="G405" t="str">
        <f>_xlfn.XLOOKUP(A405, LOCAL!A:A, LOCAL!B:B)</f>
        <v>São Paulo - SP</v>
      </c>
      <c r="H405" t="str">
        <f>_xlfn.XLOOKUP(A405, PORTE!A:A, PORTE!B:B)</f>
        <v>11-50</v>
      </c>
      <c r="I405" t="str">
        <f>_xlfn.XLOOKUP(A405, OBJETIVO!A:A, OBJETIVO!B:B)</f>
        <v>Ações de marketing/vendas</v>
      </c>
      <c r="J405">
        <f t="shared" si="6"/>
        <v>0</v>
      </c>
    </row>
    <row r="406" spans="1:10" x14ac:dyDescent="0.25">
      <c r="A406">
        <v>11096675</v>
      </c>
      <c r="B406" s="1">
        <v>45681.943043981482</v>
      </c>
      <c r="C406" t="s">
        <v>0</v>
      </c>
      <c r="D406" t="str">
        <f>VLOOKUP(A406,MERCADO!A:B,2,0)</f>
        <v>Industria</v>
      </c>
      <c r="E406" t="str">
        <f>_xlfn.XLOOKUP(A406, ORIGEM!A:A, ORIGEM!B:B)</f>
        <v>Orgânico</v>
      </c>
      <c r="F406">
        <f>_xlfn.XLOOKUP(A406, ORIGEM!A:A, ORIGEM!C:C)</f>
        <v>0</v>
      </c>
      <c r="G406" t="str">
        <f>_xlfn.XLOOKUP(A406, LOCAL!A:A, LOCAL!B:B)</f>
        <v>São Paulo - SP</v>
      </c>
      <c r="H406" t="str">
        <f>_xlfn.XLOOKUP(A406, PORTE!A:A, PORTE!B:B)</f>
        <v>11-50</v>
      </c>
      <c r="I406" t="str">
        <f>_xlfn.XLOOKUP(A406, OBJETIVO!A:A, OBJETIVO!B:B)</f>
        <v>Geração de leads b2b</v>
      </c>
      <c r="J406">
        <f t="shared" si="6"/>
        <v>0</v>
      </c>
    </row>
    <row r="407" spans="1:10" x14ac:dyDescent="0.25">
      <c r="A407">
        <v>10697418</v>
      </c>
      <c r="B407" s="1">
        <v>45637.624293981484</v>
      </c>
      <c r="C407" t="s">
        <v>0</v>
      </c>
      <c r="D407" t="str">
        <f>VLOOKUP(A407,MERCADO!A:B,2,0)</f>
        <v>Servicos</v>
      </c>
      <c r="E407" t="str">
        <f>_xlfn.XLOOKUP(A407, ORIGEM!A:A, ORIGEM!B:B)</f>
        <v>Orgânico</v>
      </c>
      <c r="F407">
        <f>_xlfn.XLOOKUP(A407, ORIGEM!A:A, ORIGEM!C:C)</f>
        <v>0</v>
      </c>
      <c r="G407" t="str">
        <f>_xlfn.XLOOKUP(A407, LOCAL!A:A, LOCAL!B:B)</f>
        <v>Jales - SP</v>
      </c>
      <c r="H407" t="str">
        <f>_xlfn.XLOOKUP(A407, PORTE!A:A, PORTE!B:B)</f>
        <v>1-10</v>
      </c>
      <c r="I407" t="str">
        <f>_xlfn.XLOOKUP(A407, OBJETIVO!A:A, OBJETIVO!B:B)</f>
        <v>Abertura/Expansão</v>
      </c>
      <c r="J407">
        <f t="shared" si="6"/>
        <v>0</v>
      </c>
    </row>
    <row r="408" spans="1:10" x14ac:dyDescent="0.25">
      <c r="A408">
        <v>11507173</v>
      </c>
      <c r="B408" s="1">
        <v>45718.616539351853</v>
      </c>
      <c r="C408" t="s">
        <v>0</v>
      </c>
      <c r="D408" t="str">
        <f>VLOOKUP(A408,MERCADO!A:B,2,0)</f>
        <v>Franqueadora</v>
      </c>
      <c r="E408" t="str">
        <f>_xlfn.XLOOKUP(A408, ORIGEM!A:A, ORIGEM!B:B)</f>
        <v>Orgânico</v>
      </c>
      <c r="F408">
        <f>_xlfn.XLOOKUP(A408, ORIGEM!A:A, ORIGEM!C:C)</f>
        <v>0</v>
      </c>
      <c r="G408" t="str">
        <f>_xlfn.XLOOKUP(A408, LOCAL!A:A, LOCAL!B:B)</f>
        <v>Santo André - SP</v>
      </c>
      <c r="H408" t="str">
        <f>_xlfn.XLOOKUP(A408, PORTE!A:A, PORTE!B:B)</f>
        <v>1-10</v>
      </c>
      <c r="I408" t="str">
        <f>_xlfn.XLOOKUP(A408, OBJETIVO!A:A, OBJETIVO!B:B)</f>
        <v>Abertura/Expansão</v>
      </c>
      <c r="J408">
        <f t="shared" si="6"/>
        <v>0</v>
      </c>
    </row>
    <row r="409" spans="1:10" x14ac:dyDescent="0.25">
      <c r="A409">
        <v>11508459</v>
      </c>
      <c r="B409" s="1">
        <v>45718.661192129628</v>
      </c>
      <c r="C409" t="s">
        <v>0</v>
      </c>
      <c r="D409" t="str">
        <f>VLOOKUP(A409,MERCADO!A:B,2,0)</f>
        <v>Franqueadora</v>
      </c>
      <c r="E409" t="str">
        <f>_xlfn.XLOOKUP(A409, ORIGEM!A:A, ORIGEM!B:B)</f>
        <v>Orgânico</v>
      </c>
      <c r="F409">
        <f>_xlfn.XLOOKUP(A409, ORIGEM!A:A, ORIGEM!C:C)</f>
        <v>0</v>
      </c>
      <c r="G409" t="str">
        <f>_xlfn.XLOOKUP(A409, LOCAL!A:A, LOCAL!B:B)</f>
        <v>São Paulo - SP</v>
      </c>
      <c r="H409" t="str">
        <f>_xlfn.XLOOKUP(A409, PORTE!A:A, PORTE!B:B)</f>
        <v>1-10</v>
      </c>
      <c r="I409" t="str">
        <f>_xlfn.XLOOKUP(A409, OBJETIVO!A:A, OBJETIVO!B:B)</f>
        <v>Abertura/Expansão</v>
      </c>
      <c r="J409">
        <f t="shared" si="6"/>
        <v>0</v>
      </c>
    </row>
    <row r="410" spans="1:10" x14ac:dyDescent="0.25">
      <c r="A410">
        <v>10583824</v>
      </c>
      <c r="B410" s="1">
        <v>45628.299780092595</v>
      </c>
      <c r="C410" t="s">
        <v>0</v>
      </c>
      <c r="D410" t="str">
        <f>VLOOKUP(A410,MERCADO!A:B,2,0)</f>
        <v>Marketing/Publicidade/Consultoria</v>
      </c>
      <c r="E410" t="str">
        <f>_xlfn.XLOOKUP(A410, ORIGEM!A:A, ORIGEM!B:B)</f>
        <v>rep</v>
      </c>
      <c r="F410" t="str">
        <f>_xlfn.XLOOKUP(A410, ORIGEM!A:A, ORIGEM!C:C)</f>
        <v>rep - juliana-gomes</v>
      </c>
      <c r="G410" t="str">
        <f>_xlfn.XLOOKUP(A410, LOCAL!A:A, LOCAL!B:B)</f>
        <v>Campinas - SP</v>
      </c>
      <c r="H410" t="str">
        <f>_xlfn.XLOOKUP(A410, PORTE!A:A, PORTE!B:B)</f>
        <v>1-10</v>
      </c>
      <c r="I410" t="str">
        <f>_xlfn.XLOOKUP(A410, OBJETIVO!A:A, OBJETIVO!B:B)</f>
        <v>Consultoria</v>
      </c>
      <c r="J410">
        <f t="shared" si="6"/>
        <v>0</v>
      </c>
    </row>
    <row r="411" spans="1:10" x14ac:dyDescent="0.25">
      <c r="A411">
        <v>10873644</v>
      </c>
      <c r="B411" s="1">
        <v>45662.45076388889</v>
      </c>
      <c r="C411" t="s">
        <v>0</v>
      </c>
      <c r="D411" t="str">
        <f>VLOOKUP(A411,MERCADO!A:B,2,0)</f>
        <v>Industria</v>
      </c>
      <c r="E411" t="str">
        <f>_xlfn.XLOOKUP(A411, ORIGEM!A:A, ORIGEM!B:B)</f>
        <v>Google</v>
      </c>
      <c r="F411" t="str">
        <f>_xlfn.XLOOKUP(A411, ORIGEM!A:A, ORIGEM!C:C)</f>
        <v>google - cpc</v>
      </c>
      <c r="G411" t="str">
        <f>_xlfn.XLOOKUP(A411, LOCAL!A:A, LOCAL!B:B)</f>
        <v>São Paulo - SP</v>
      </c>
      <c r="H411" t="str">
        <f>_xlfn.XLOOKUP(A411, PORTE!A:A, PORTE!B:B)</f>
        <v>51-300</v>
      </c>
      <c r="I411" t="str">
        <f>_xlfn.XLOOKUP(A411, OBJETIVO!A:A, OBJETIVO!B:B)</f>
        <v>Planejamento estratégico</v>
      </c>
      <c r="J411">
        <f t="shared" si="6"/>
        <v>0</v>
      </c>
    </row>
    <row r="412" spans="1:10" x14ac:dyDescent="0.25">
      <c r="A412">
        <v>11544104</v>
      </c>
      <c r="B412" s="1">
        <v>45721.268865740742</v>
      </c>
      <c r="C412" t="s">
        <v>0</v>
      </c>
      <c r="D412" t="str">
        <f>VLOOKUP(A412,MERCADO!A:B,2,0)</f>
        <v>Varejo</v>
      </c>
      <c r="E412" t="str">
        <f>_xlfn.XLOOKUP(A412, ORIGEM!A:A, ORIGEM!B:B)</f>
        <v>Facebook</v>
      </c>
      <c r="F412" t="str">
        <f>_xlfn.XLOOKUP(A412, ORIGEM!A:A, ORIGEM!C:C)</f>
        <v>facebook - cpc</v>
      </c>
      <c r="G412" t="str">
        <f>_xlfn.XLOOKUP(A412, LOCAL!A:A, LOCAL!B:B)</f>
        <v>Guaruja - SP</v>
      </c>
      <c r="H412" t="str">
        <f>_xlfn.XLOOKUP(A412, PORTE!A:A, PORTE!B:B)</f>
        <v>1-10</v>
      </c>
      <c r="I412" t="str">
        <f>_xlfn.XLOOKUP(A412, OBJETIVO!A:A, OBJETIVO!B:B)</f>
        <v>Geração de leads b2b</v>
      </c>
      <c r="J412">
        <f t="shared" si="6"/>
        <v>0</v>
      </c>
    </row>
    <row r="413" spans="1:10" x14ac:dyDescent="0.25">
      <c r="A413">
        <v>10596858</v>
      </c>
      <c r="B413" s="1">
        <v>45629.389884259261</v>
      </c>
      <c r="C413" t="s">
        <v>0</v>
      </c>
      <c r="D413" t="str">
        <f>VLOOKUP(A413,MERCADO!A:B,2,0)</f>
        <v>Varejo</v>
      </c>
      <c r="E413" t="str">
        <f>_xlfn.XLOOKUP(A413, ORIGEM!A:A, ORIGEM!B:B)</f>
        <v>Google</v>
      </c>
      <c r="F413" t="str">
        <f>_xlfn.XLOOKUP(A413, ORIGEM!A:A, ORIGEM!C:C)</f>
        <v>google - cpc</v>
      </c>
      <c r="G413" t="str">
        <f>_xlfn.XLOOKUP(A413, LOCAL!A:A, LOCAL!B:B)</f>
        <v>São Paulo - SP</v>
      </c>
      <c r="H413" t="str">
        <f>_xlfn.XLOOKUP(A413, PORTE!A:A, PORTE!B:B)</f>
        <v>1-10</v>
      </c>
      <c r="I413" t="str">
        <f>_xlfn.XLOOKUP(A413, OBJETIVO!A:A, OBJETIVO!B:B)</f>
        <v>Abertura/Expansão</v>
      </c>
      <c r="J413">
        <f t="shared" si="6"/>
        <v>0</v>
      </c>
    </row>
    <row r="414" spans="1:10" x14ac:dyDescent="0.25">
      <c r="A414">
        <v>11843144</v>
      </c>
      <c r="B414" s="1">
        <v>45748.471377314818</v>
      </c>
      <c r="C414" t="s">
        <v>0</v>
      </c>
      <c r="D414" t="str">
        <f>VLOOKUP(A414,MERCADO!A:B,2,0)</f>
        <v>Varejo</v>
      </c>
      <c r="E414" t="str">
        <f>_xlfn.XLOOKUP(A414, ORIGEM!A:A, ORIGEM!B:B)</f>
        <v>Google</v>
      </c>
      <c r="F414" t="str">
        <f>_xlfn.XLOOKUP(A414, ORIGEM!A:A, ORIGEM!C:C)</f>
        <v>google - cpc</v>
      </c>
      <c r="G414" t="str">
        <f>_xlfn.XLOOKUP(A414, LOCAL!A:A, LOCAL!B:B)</f>
        <v>São Paulo - SP</v>
      </c>
      <c r="H414" t="str">
        <f>_xlfn.XLOOKUP(A414, PORTE!A:A, PORTE!B:B)</f>
        <v>0</v>
      </c>
      <c r="I414" t="str">
        <f>_xlfn.XLOOKUP(A414, OBJETIVO!A:A, OBJETIVO!B:B)</f>
        <v>Ações de marketing/vendas</v>
      </c>
      <c r="J414">
        <f t="shared" si="6"/>
        <v>0</v>
      </c>
    </row>
    <row r="415" spans="1:10" x14ac:dyDescent="0.25">
      <c r="A415">
        <v>11906028</v>
      </c>
      <c r="B415" s="1">
        <v>45754.785902777781</v>
      </c>
      <c r="C415" t="s">
        <v>0</v>
      </c>
      <c r="D415" t="str">
        <f>VLOOKUP(A415,MERCADO!A:B,2,0)</f>
        <v>Varejo</v>
      </c>
      <c r="E415" t="str">
        <f>_xlfn.XLOOKUP(A415, ORIGEM!A:A, ORIGEM!B:B)</f>
        <v>Google</v>
      </c>
      <c r="F415" t="str">
        <f>_xlfn.XLOOKUP(A415, ORIGEM!A:A, ORIGEM!C:C)</f>
        <v>google - cpc</v>
      </c>
      <c r="G415" t="str">
        <f>_xlfn.XLOOKUP(A415, LOCAL!A:A, LOCAL!B:B)</f>
        <v>São Paulo - SP</v>
      </c>
      <c r="H415" t="str">
        <f>_xlfn.XLOOKUP(A415, PORTE!A:A, PORTE!B:B)</f>
        <v>1-10</v>
      </c>
      <c r="I415" t="str">
        <f>_xlfn.XLOOKUP(A415, OBJETIVO!A:A, OBJETIVO!B:B)</f>
        <v>Abertura/Expansão</v>
      </c>
      <c r="J415">
        <f t="shared" si="6"/>
        <v>0</v>
      </c>
    </row>
    <row r="416" spans="1:10" x14ac:dyDescent="0.25">
      <c r="A416">
        <v>10973405</v>
      </c>
      <c r="B416" s="1">
        <v>45671.410995370374</v>
      </c>
      <c r="C416" t="s">
        <v>0</v>
      </c>
      <c r="D416" t="str">
        <f>VLOOKUP(A416,MERCADO!A:B,2,0)</f>
        <v>Servicos</v>
      </c>
      <c r="E416" t="str">
        <f>_xlfn.XLOOKUP(A416, ORIGEM!A:A, ORIGEM!B:B)</f>
        <v>Orgânico</v>
      </c>
      <c r="F416">
        <f>_xlfn.XLOOKUP(A416, ORIGEM!A:A, ORIGEM!C:C)</f>
        <v>0</v>
      </c>
      <c r="G416" t="str">
        <f>_xlfn.XLOOKUP(A416, LOCAL!A:A, LOCAL!B:B)</f>
        <v>São Paulo, SP</v>
      </c>
      <c r="H416" t="str">
        <f>_xlfn.XLOOKUP(A416, PORTE!A:A, PORTE!B:B)</f>
        <v>11-50</v>
      </c>
      <c r="I416">
        <f>_xlfn.XLOOKUP(A416, OBJETIVO!A:A, OBJETIVO!B:B)</f>
        <v>0</v>
      </c>
      <c r="J416">
        <f t="shared" si="6"/>
        <v>0</v>
      </c>
    </row>
    <row r="417" spans="1:10" x14ac:dyDescent="0.25">
      <c r="A417">
        <v>11381359</v>
      </c>
      <c r="B417" s="1">
        <v>45705.751203703701</v>
      </c>
      <c r="C417" t="s">
        <v>0</v>
      </c>
      <c r="D417" t="str">
        <f>VLOOKUP(A417,MERCADO!A:B,2,0)</f>
        <v>Servicos</v>
      </c>
      <c r="E417" t="str">
        <f>_xlfn.XLOOKUP(A417, ORIGEM!A:A, ORIGEM!B:B)</f>
        <v>Orgânico</v>
      </c>
      <c r="F417">
        <f>_xlfn.XLOOKUP(A417, ORIGEM!A:A, ORIGEM!C:C)</f>
        <v>0</v>
      </c>
      <c r="G417" t="str">
        <f>_xlfn.XLOOKUP(A417, LOCAL!A:A, LOCAL!B:B)</f>
        <v>São Paulo, SP</v>
      </c>
      <c r="H417" t="str">
        <f>_xlfn.XLOOKUP(A417, PORTE!A:A, PORTE!B:B)</f>
        <v>11-50</v>
      </c>
      <c r="I417" t="str">
        <f>_xlfn.XLOOKUP(A417, OBJETIVO!A:A, OBJETIVO!B:B)</f>
        <v>Abertura/Expansão</v>
      </c>
      <c r="J417">
        <f t="shared" si="6"/>
        <v>0</v>
      </c>
    </row>
    <row r="418" spans="1:10" x14ac:dyDescent="0.25">
      <c r="A418">
        <v>11089424</v>
      </c>
      <c r="B418" s="1">
        <v>45679.723460648151</v>
      </c>
      <c r="C418" t="s">
        <v>0</v>
      </c>
      <c r="D418" t="str">
        <f>VLOOKUP(A418,MERCADO!A:B,2,0)</f>
        <v>Servicos</v>
      </c>
      <c r="E418" t="str">
        <f>_xlfn.XLOOKUP(A418, ORIGEM!A:A, ORIGEM!B:B)</f>
        <v>Orgânico</v>
      </c>
      <c r="F418">
        <f>_xlfn.XLOOKUP(A418, ORIGEM!A:A, ORIGEM!C:C)</f>
        <v>0</v>
      </c>
      <c r="G418" t="str">
        <f>_xlfn.XLOOKUP(A418, LOCAL!A:A, LOCAL!B:B)</f>
        <v>Niterói - RJ</v>
      </c>
      <c r="H418" t="str">
        <f>_xlfn.XLOOKUP(A418, PORTE!A:A, PORTE!B:B)</f>
        <v>51-300</v>
      </c>
      <c r="I418" t="str">
        <f>_xlfn.XLOOKUP(A418, OBJETIVO!A:A, OBJETIVO!B:B)</f>
        <v>Consultoria</v>
      </c>
      <c r="J418">
        <f t="shared" si="6"/>
        <v>0</v>
      </c>
    </row>
    <row r="419" spans="1:10" x14ac:dyDescent="0.25">
      <c r="A419">
        <v>11378172</v>
      </c>
      <c r="B419" s="1">
        <v>45705.617511574077</v>
      </c>
      <c r="C419" t="s">
        <v>0</v>
      </c>
      <c r="D419" t="str">
        <f>VLOOKUP(A419,MERCADO!A:B,2,0)</f>
        <v>Servicos</v>
      </c>
      <c r="E419" t="str">
        <f>_xlfn.XLOOKUP(A419, ORIGEM!A:A, ORIGEM!B:B)</f>
        <v>Orgânico</v>
      </c>
      <c r="F419">
        <f>_xlfn.XLOOKUP(A419, ORIGEM!A:A, ORIGEM!C:C)</f>
        <v>0</v>
      </c>
      <c r="G419" t="str">
        <f>_xlfn.XLOOKUP(A419, LOCAL!A:A, LOCAL!B:B)</f>
        <v>São Paulo, SP</v>
      </c>
      <c r="H419" t="str">
        <f>_xlfn.XLOOKUP(A419, PORTE!A:A, PORTE!B:B)</f>
        <v>1-10</v>
      </c>
      <c r="I419" t="str">
        <f>_xlfn.XLOOKUP(A419, OBJETIVO!A:A, OBJETIVO!B:B)</f>
        <v>Outro</v>
      </c>
      <c r="J419">
        <f t="shared" si="6"/>
        <v>0</v>
      </c>
    </row>
    <row r="420" spans="1:10" x14ac:dyDescent="0.25">
      <c r="A420">
        <v>10566317</v>
      </c>
      <c r="B420" s="1">
        <v>45627.320625</v>
      </c>
      <c r="C420" t="s">
        <v>0</v>
      </c>
      <c r="D420">
        <f>VLOOKUP(A420,MERCADO!A:B,2,0)</f>
        <v>0</v>
      </c>
      <c r="E420" t="str">
        <f>_xlfn.XLOOKUP(A420, ORIGEM!A:A, ORIGEM!B:B)</f>
        <v>Google</v>
      </c>
      <c r="F420" t="str">
        <f>_xlfn.XLOOKUP(A420, ORIGEM!A:A, ORIGEM!C:C)</f>
        <v>google - cpc</v>
      </c>
      <c r="G420" t="str">
        <f>_xlfn.XLOOKUP(A420, LOCAL!A:A, LOCAL!B:B)</f>
        <v>São Paulo - SP</v>
      </c>
      <c r="H420" t="str">
        <f>_xlfn.XLOOKUP(A420, PORTE!A:A, PORTE!B:B)</f>
        <v>1-10</v>
      </c>
      <c r="I420" t="str">
        <f>_xlfn.XLOOKUP(A420, OBJETIVO!A:A, OBJETIVO!B:B)</f>
        <v>Abertura/Expansão</v>
      </c>
      <c r="J420">
        <f t="shared" si="6"/>
        <v>0</v>
      </c>
    </row>
    <row r="421" spans="1:10" x14ac:dyDescent="0.25">
      <c r="A421">
        <v>11238517</v>
      </c>
      <c r="B421" s="1">
        <v>45691.624861111108</v>
      </c>
      <c r="C421" t="s">
        <v>0</v>
      </c>
      <c r="D421" t="str">
        <f>VLOOKUP(A421,MERCADO!A:B,2,0)</f>
        <v>Imobiliaria/Incorporadora/Construtora</v>
      </c>
      <c r="E421" t="str">
        <f>_xlfn.XLOOKUP(A421, ORIGEM!A:A, ORIGEM!B:B)</f>
        <v>Google</v>
      </c>
      <c r="F421" t="str">
        <f>_xlfn.XLOOKUP(A421, ORIGEM!A:A, ORIGEM!C:C)</f>
        <v>google - cpc</v>
      </c>
      <c r="G421" t="str">
        <f>_xlfn.XLOOKUP(A421, LOCAL!A:A, LOCAL!B:B)</f>
        <v>São Paulo - SP</v>
      </c>
      <c r="H421" t="str">
        <f>_xlfn.XLOOKUP(A421, PORTE!A:A, PORTE!B:B)</f>
        <v>51-300</v>
      </c>
      <c r="I421" t="str">
        <f>_xlfn.XLOOKUP(A421, OBJETIVO!A:A, OBJETIVO!B:B)</f>
        <v>Outro</v>
      </c>
      <c r="J421">
        <f t="shared" si="6"/>
        <v>0</v>
      </c>
    </row>
    <row r="422" spans="1:10" x14ac:dyDescent="0.25">
      <c r="A422">
        <v>10639628</v>
      </c>
      <c r="B422" s="1">
        <v>45633.713703703703</v>
      </c>
      <c r="C422" t="s">
        <v>0</v>
      </c>
      <c r="D422" t="str">
        <f>VLOOKUP(A422,MERCADO!A:B,2,0)</f>
        <v>Marketing/Publicidade/Consultoria</v>
      </c>
      <c r="E422" t="str">
        <f>_xlfn.XLOOKUP(A422, ORIGEM!A:A, ORIGEM!B:B)</f>
        <v>Indicação</v>
      </c>
      <c r="F422">
        <f>_xlfn.XLOOKUP(A422, ORIGEM!A:A, ORIGEM!C:C)</f>
        <v>0</v>
      </c>
      <c r="G422" t="str">
        <f>_xlfn.XLOOKUP(A422, LOCAL!A:A, LOCAL!B:B)</f>
        <v>-</v>
      </c>
      <c r="H422">
        <f>_xlfn.XLOOKUP(A422, PORTE!A:A, PORTE!B:B)</f>
        <v>0</v>
      </c>
      <c r="I422" t="str">
        <f>_xlfn.XLOOKUP(A422, OBJETIVO!A:A, OBJETIVO!B:B)</f>
        <v>Planejamento estratégico</v>
      </c>
      <c r="J422">
        <f t="shared" si="6"/>
        <v>0</v>
      </c>
    </row>
    <row r="423" spans="1:10" x14ac:dyDescent="0.25">
      <c r="A423">
        <v>11278708</v>
      </c>
      <c r="B423" s="1">
        <v>45696.482187499998</v>
      </c>
      <c r="C423" t="s">
        <v>0</v>
      </c>
      <c r="D423" t="str">
        <f>VLOOKUP(A423,MERCADO!A:B,2,0)</f>
        <v>Industria</v>
      </c>
      <c r="E423" t="str">
        <f>_xlfn.XLOOKUP(A423, ORIGEM!A:A, ORIGEM!B:B)</f>
        <v>Orgânico</v>
      </c>
      <c r="F423">
        <f>_xlfn.XLOOKUP(A423, ORIGEM!A:A, ORIGEM!C:C)</f>
        <v>0</v>
      </c>
      <c r="G423" t="str">
        <f>_xlfn.XLOOKUP(A423, LOCAL!A:A, LOCAL!B:B)</f>
        <v>São Paulo, SP</v>
      </c>
      <c r="H423" t="str">
        <f>_xlfn.XLOOKUP(A423, PORTE!A:A, PORTE!B:B)</f>
        <v>1-10</v>
      </c>
      <c r="I423" t="str">
        <f>_xlfn.XLOOKUP(A423, OBJETIVO!A:A, OBJETIVO!B:B)</f>
        <v>Ações de marketing/vendas</v>
      </c>
      <c r="J423">
        <f t="shared" si="6"/>
        <v>0</v>
      </c>
    </row>
    <row r="424" spans="1:10" x14ac:dyDescent="0.25">
      <c r="A424">
        <v>10831945</v>
      </c>
      <c r="B424" s="1">
        <v>45655.623182870368</v>
      </c>
      <c r="C424" t="s">
        <v>0</v>
      </c>
      <c r="D424" t="str">
        <f>VLOOKUP(A424,MERCADO!A:B,2,0)</f>
        <v>Empreendedor</v>
      </c>
      <c r="E424" t="str">
        <f>_xlfn.XLOOKUP(A424, ORIGEM!A:A, ORIGEM!B:B)</f>
        <v>Google</v>
      </c>
      <c r="F424" t="str">
        <f>_xlfn.XLOOKUP(A424, ORIGEM!A:A, ORIGEM!C:C)</f>
        <v>google - cpc</v>
      </c>
      <c r="G424" t="str">
        <f>_xlfn.XLOOKUP(A424, LOCAL!A:A, LOCAL!B:B)</f>
        <v>São Paulo - SP</v>
      </c>
      <c r="H424" t="str">
        <f>_xlfn.XLOOKUP(A424, PORTE!A:A, PORTE!B:B)</f>
        <v>0</v>
      </c>
      <c r="I424" t="str">
        <f>_xlfn.XLOOKUP(A424, OBJETIVO!A:A, OBJETIVO!B:B)</f>
        <v>Abertura/Expansão</v>
      </c>
      <c r="J424">
        <f t="shared" si="6"/>
        <v>0</v>
      </c>
    </row>
    <row r="425" spans="1:10" x14ac:dyDescent="0.25">
      <c r="A425">
        <v>10982578</v>
      </c>
      <c r="B425" s="1">
        <v>45671.662662037037</v>
      </c>
      <c r="C425" t="s">
        <v>0</v>
      </c>
      <c r="D425" t="str">
        <f>VLOOKUP(A425,MERCADO!A:B,2,0)</f>
        <v>Empreendedor</v>
      </c>
      <c r="E425" t="str">
        <f>_xlfn.XLOOKUP(A425, ORIGEM!A:A, ORIGEM!B:B)</f>
        <v>Orgânico</v>
      </c>
      <c r="F425">
        <f>_xlfn.XLOOKUP(A425, ORIGEM!A:A, ORIGEM!C:C)</f>
        <v>0</v>
      </c>
      <c r="G425" t="str">
        <f>_xlfn.XLOOKUP(A425, LOCAL!A:A, LOCAL!B:B)</f>
        <v>Rio de Janeiro - RJ</v>
      </c>
      <c r="H425" t="str">
        <f>_xlfn.XLOOKUP(A425, PORTE!A:A, PORTE!B:B)</f>
        <v>0</v>
      </c>
      <c r="I425" t="str">
        <f>_xlfn.XLOOKUP(A425, OBJETIVO!A:A, OBJETIVO!B:B)</f>
        <v>Consultoria</v>
      </c>
      <c r="J425">
        <f t="shared" si="6"/>
        <v>0</v>
      </c>
    </row>
    <row r="426" spans="1:10" x14ac:dyDescent="0.25">
      <c r="A426">
        <v>12024523</v>
      </c>
      <c r="B426" s="1">
        <v>45765.635798611111</v>
      </c>
      <c r="C426" t="s">
        <v>0</v>
      </c>
      <c r="D426" t="str">
        <f>VLOOKUP(A426,MERCADO!A:B,2,0)</f>
        <v>Empreendedor</v>
      </c>
      <c r="E426" t="str">
        <f>_xlfn.XLOOKUP(A426, ORIGEM!A:A, ORIGEM!B:B)</f>
        <v>Google</v>
      </c>
      <c r="F426" t="str">
        <f>_xlfn.XLOOKUP(A426, ORIGEM!A:A, ORIGEM!C:C)</f>
        <v>google - cpc</v>
      </c>
      <c r="G426" t="str">
        <f>_xlfn.XLOOKUP(A426, LOCAL!A:A, LOCAL!B:B)</f>
        <v>São Paulo - SP</v>
      </c>
      <c r="H426" t="str">
        <f>_xlfn.XLOOKUP(A426, PORTE!A:A, PORTE!B:B)</f>
        <v>1-10</v>
      </c>
      <c r="I426" t="str">
        <f>_xlfn.XLOOKUP(A426, OBJETIVO!A:A, OBJETIVO!B:B)</f>
        <v>Abertura/Expansão</v>
      </c>
      <c r="J426">
        <f t="shared" si="6"/>
        <v>0</v>
      </c>
    </row>
    <row r="427" spans="1:10" x14ac:dyDescent="0.25">
      <c r="A427">
        <v>10955140</v>
      </c>
      <c r="B427" s="1">
        <v>45669.997673611113</v>
      </c>
      <c r="C427" t="s">
        <v>0</v>
      </c>
      <c r="D427" t="str">
        <f>VLOOKUP(A427,MERCADO!A:B,2,0)</f>
        <v>Marketing/Publicidade/Consultoria</v>
      </c>
      <c r="E427" t="str">
        <f>_xlfn.XLOOKUP(A427, ORIGEM!A:A, ORIGEM!B:B)</f>
        <v>Google</v>
      </c>
      <c r="F427" t="str">
        <f>_xlfn.XLOOKUP(A427, ORIGEM!A:A, ORIGEM!C:C)</f>
        <v>google - cpc</v>
      </c>
      <c r="G427" t="str">
        <f>_xlfn.XLOOKUP(A427, LOCAL!A:A, LOCAL!B:B)</f>
        <v>Santana do Livramento - RS</v>
      </c>
      <c r="H427" t="str">
        <f>_xlfn.XLOOKUP(A427, PORTE!A:A, PORTE!B:B)</f>
        <v>1-10</v>
      </c>
      <c r="I427" t="str">
        <f>_xlfn.XLOOKUP(A427, OBJETIVO!A:A, OBJETIVO!B:B)</f>
        <v>Consultoria</v>
      </c>
      <c r="J427">
        <f t="shared" si="6"/>
        <v>0</v>
      </c>
    </row>
    <row r="428" spans="1:10" x14ac:dyDescent="0.25">
      <c r="A428">
        <v>11693180</v>
      </c>
      <c r="B428" s="1">
        <v>45734.716666666667</v>
      </c>
      <c r="C428" t="s">
        <v>0</v>
      </c>
      <c r="D428" t="str">
        <f>VLOOKUP(A428,MERCADO!A:B,2,0)</f>
        <v>Marketing/Publicidade/Consultoria</v>
      </c>
      <c r="E428" t="str">
        <f>_xlfn.XLOOKUP(A428, ORIGEM!A:A, ORIGEM!B:B)</f>
        <v>Orgânico</v>
      </c>
      <c r="F428">
        <f>_xlfn.XLOOKUP(A428, ORIGEM!A:A, ORIGEM!C:C)</f>
        <v>0</v>
      </c>
      <c r="G428" t="str">
        <f>_xlfn.XLOOKUP(A428, LOCAL!A:A, LOCAL!B:B)</f>
        <v>São Paulo - SP</v>
      </c>
      <c r="H428" t="str">
        <f>_xlfn.XLOOKUP(A428, PORTE!A:A, PORTE!B:B)</f>
        <v>11-50</v>
      </c>
      <c r="I428" t="str">
        <f>_xlfn.XLOOKUP(A428, OBJETIVO!A:A, OBJETIVO!B:B)</f>
        <v>Consultoria</v>
      </c>
      <c r="J428">
        <f t="shared" si="6"/>
        <v>0</v>
      </c>
    </row>
    <row r="429" spans="1:10" x14ac:dyDescent="0.25">
      <c r="A429">
        <v>10700751</v>
      </c>
      <c r="B429" s="1">
        <v>45637.755983796298</v>
      </c>
      <c r="C429" t="s">
        <v>0</v>
      </c>
      <c r="D429" t="str">
        <f>VLOOKUP(A429,MERCADO!A:B,2,0)</f>
        <v>Marketing/Publicidade/Consultoria</v>
      </c>
      <c r="E429" t="str">
        <f>_xlfn.XLOOKUP(A429, ORIGEM!A:A, ORIGEM!B:B)</f>
        <v>Google</v>
      </c>
      <c r="F429" t="str">
        <f>_xlfn.XLOOKUP(A429, ORIGEM!A:A, ORIGEM!C:C)</f>
        <v>google - cpc</v>
      </c>
      <c r="G429" t="str">
        <f>_xlfn.XLOOKUP(A429, LOCAL!A:A, LOCAL!B:B)</f>
        <v>São Paulo - SP</v>
      </c>
      <c r="H429" t="str">
        <f>_xlfn.XLOOKUP(A429, PORTE!A:A, PORTE!B:B)</f>
        <v>1-10</v>
      </c>
      <c r="I429" t="str">
        <f>_xlfn.XLOOKUP(A429, OBJETIVO!A:A, OBJETIVO!B:B)</f>
        <v>Geração de leads b2b</v>
      </c>
      <c r="J429">
        <f t="shared" si="6"/>
        <v>0</v>
      </c>
    </row>
    <row r="430" spans="1:10" x14ac:dyDescent="0.25">
      <c r="A430">
        <v>10741561</v>
      </c>
      <c r="B430" s="1">
        <v>45642.480069444442</v>
      </c>
      <c r="C430" t="s">
        <v>0</v>
      </c>
      <c r="D430" t="str">
        <f>VLOOKUP(A430,MERCADO!A:B,2,0)</f>
        <v>Imobiliaria/Incorporadora/Construtora</v>
      </c>
      <c r="E430" t="str">
        <f>_xlfn.XLOOKUP(A430, ORIGEM!A:A, ORIGEM!B:B)</f>
        <v>Orgânico</v>
      </c>
      <c r="F430">
        <f>_xlfn.XLOOKUP(A430, ORIGEM!A:A, ORIGEM!C:C)</f>
        <v>0</v>
      </c>
      <c r="G430" t="str">
        <f>_xlfn.XLOOKUP(A430, LOCAL!A:A, LOCAL!B:B)</f>
        <v>São Bernardo do Campo - SP</v>
      </c>
      <c r="H430" t="str">
        <f>_xlfn.XLOOKUP(A430, PORTE!A:A, PORTE!B:B)</f>
        <v>11-50</v>
      </c>
      <c r="I430" t="str">
        <f>_xlfn.XLOOKUP(A430, OBJETIVO!A:A, OBJETIVO!B:B)</f>
        <v>Planejamento estratégico</v>
      </c>
      <c r="J430">
        <f t="shared" si="6"/>
        <v>0</v>
      </c>
    </row>
    <row r="431" spans="1:10" x14ac:dyDescent="0.25">
      <c r="A431">
        <v>11063476</v>
      </c>
      <c r="B431" s="1">
        <v>45677.77039351852</v>
      </c>
      <c r="C431" t="s">
        <v>0</v>
      </c>
      <c r="D431" t="str">
        <f>VLOOKUP(A431,MERCADO!A:B,2,0)</f>
        <v>Imobiliaria/Incorporadora/Construtora</v>
      </c>
      <c r="E431" t="str">
        <f>_xlfn.XLOOKUP(A431, ORIGEM!A:A, ORIGEM!B:B)</f>
        <v>Orgânico</v>
      </c>
      <c r="F431">
        <f>_xlfn.XLOOKUP(A431, ORIGEM!A:A, ORIGEM!C:C)</f>
        <v>0</v>
      </c>
      <c r="G431" t="str">
        <f>_xlfn.XLOOKUP(A431, LOCAL!A:A, LOCAL!B:B)</f>
        <v>São Paulo - SP</v>
      </c>
      <c r="H431" t="str">
        <f>_xlfn.XLOOKUP(A431, PORTE!A:A, PORTE!B:B)</f>
        <v>1-10</v>
      </c>
      <c r="I431" t="str">
        <f>_xlfn.XLOOKUP(A431, OBJETIVO!A:A, OBJETIVO!B:B)</f>
        <v>Planejamento estratégico</v>
      </c>
      <c r="J431">
        <f t="shared" si="6"/>
        <v>0</v>
      </c>
    </row>
    <row r="432" spans="1:10" x14ac:dyDescent="0.25">
      <c r="A432">
        <v>11577253</v>
      </c>
      <c r="B432" s="1">
        <v>45724.796076388891</v>
      </c>
      <c r="C432" t="s">
        <v>0</v>
      </c>
      <c r="D432" t="str">
        <f>VLOOKUP(A432,MERCADO!A:B,2,0)</f>
        <v>Marketing/Publicidade/Consultoria</v>
      </c>
      <c r="E432" t="str">
        <f>_xlfn.XLOOKUP(A432, ORIGEM!A:A, ORIGEM!B:B)</f>
        <v>Orgânico</v>
      </c>
      <c r="F432">
        <f>_xlfn.XLOOKUP(A432, ORIGEM!A:A, ORIGEM!C:C)</f>
        <v>0</v>
      </c>
      <c r="G432" t="str">
        <f>_xlfn.XLOOKUP(A432, LOCAL!A:A, LOCAL!B:B)</f>
        <v>São Paulo - SP</v>
      </c>
      <c r="H432" t="str">
        <f>_xlfn.XLOOKUP(A432, PORTE!A:A, PORTE!B:B)</f>
        <v>1-10</v>
      </c>
      <c r="I432" t="str">
        <f>_xlfn.XLOOKUP(A432, OBJETIVO!A:A, OBJETIVO!B:B)</f>
        <v>Ações de marketing/vendas</v>
      </c>
      <c r="J432">
        <f t="shared" si="6"/>
        <v>0</v>
      </c>
    </row>
    <row r="433" spans="1:10" x14ac:dyDescent="0.25">
      <c r="A433">
        <v>11603854</v>
      </c>
      <c r="B433" s="1">
        <v>45726.680821759262</v>
      </c>
      <c r="C433" t="s">
        <v>0</v>
      </c>
      <c r="D433" t="str">
        <f>VLOOKUP(A433,MERCADO!A:B,2,0)</f>
        <v>Marketing/Publicidade/Consultoria</v>
      </c>
      <c r="E433" t="str">
        <f>_xlfn.XLOOKUP(A433, ORIGEM!A:A, ORIGEM!B:B)</f>
        <v>Orgânico</v>
      </c>
      <c r="F433">
        <f>_xlfn.XLOOKUP(A433, ORIGEM!A:A, ORIGEM!C:C)</f>
        <v>0</v>
      </c>
      <c r="G433" t="str">
        <f>_xlfn.XLOOKUP(A433, LOCAL!A:A, LOCAL!B:B)</f>
        <v>São Paulo - SP</v>
      </c>
      <c r="H433" t="str">
        <f>_xlfn.XLOOKUP(A433, PORTE!A:A, PORTE!B:B)</f>
        <v>11-50</v>
      </c>
      <c r="I433" t="str">
        <f>_xlfn.XLOOKUP(A433, OBJETIVO!A:A, OBJETIVO!B:B)</f>
        <v>Consultoria</v>
      </c>
      <c r="J433">
        <f t="shared" si="6"/>
        <v>0</v>
      </c>
    </row>
    <row r="434" spans="1:10" x14ac:dyDescent="0.25">
      <c r="A434">
        <v>10749012</v>
      </c>
      <c r="B434" s="1">
        <v>45642.728171296294</v>
      </c>
      <c r="C434" t="s">
        <v>0</v>
      </c>
      <c r="D434" t="str">
        <f>VLOOKUP(A434,MERCADO!A:B,2,0)</f>
        <v>Tecnologia</v>
      </c>
      <c r="E434" t="str">
        <f>_xlfn.XLOOKUP(A434, ORIGEM!A:A, ORIGEM!B:B)</f>
        <v>Orgânico</v>
      </c>
      <c r="F434">
        <f>_xlfn.XLOOKUP(A434, ORIGEM!A:A, ORIGEM!C:C)</f>
        <v>0</v>
      </c>
      <c r="G434" t="str">
        <f>_xlfn.XLOOKUP(A434, LOCAL!A:A, LOCAL!B:B)</f>
        <v>-</v>
      </c>
      <c r="H434" t="str">
        <f>_xlfn.XLOOKUP(A434, PORTE!A:A, PORTE!B:B)</f>
        <v>51-300</v>
      </c>
      <c r="I434" t="str">
        <f>_xlfn.XLOOKUP(A434, OBJETIVO!A:A, OBJETIVO!B:B)</f>
        <v>Geração de leads b2b</v>
      </c>
      <c r="J434">
        <f t="shared" si="6"/>
        <v>0</v>
      </c>
    </row>
    <row r="435" spans="1:10" x14ac:dyDescent="0.25">
      <c r="A435">
        <v>11559327</v>
      </c>
      <c r="B435" s="1">
        <v>45722.711400462962</v>
      </c>
      <c r="C435" t="s">
        <v>0</v>
      </c>
      <c r="D435" t="str">
        <f>VLOOKUP(A435,MERCADO!A:B,2,0)</f>
        <v>Imobiliaria/Incorporadora/Construtora</v>
      </c>
      <c r="E435" t="str">
        <f>_xlfn.XLOOKUP(A435, ORIGEM!A:A, ORIGEM!B:B)</f>
        <v>Facebook</v>
      </c>
      <c r="F435" t="str">
        <f>_xlfn.XLOOKUP(A435, ORIGEM!A:A, ORIGEM!C:C)</f>
        <v>facebook - cpc</v>
      </c>
      <c r="G435" t="str">
        <f>_xlfn.XLOOKUP(A435, LOCAL!A:A, LOCAL!B:B)</f>
        <v>São Paulo - SP</v>
      </c>
      <c r="H435" t="str">
        <f>_xlfn.XLOOKUP(A435, PORTE!A:A, PORTE!B:B)</f>
        <v>+ 1000</v>
      </c>
      <c r="I435" t="str">
        <f>_xlfn.XLOOKUP(A435, OBJETIVO!A:A, OBJETIVO!B:B)</f>
        <v>Geração de leads b2b</v>
      </c>
      <c r="J435">
        <f t="shared" si="6"/>
        <v>0</v>
      </c>
    </row>
    <row r="436" spans="1:10" x14ac:dyDescent="0.25">
      <c r="A436">
        <v>11361839</v>
      </c>
      <c r="B436" s="1">
        <v>45704.436053240737</v>
      </c>
      <c r="C436" t="s">
        <v>0</v>
      </c>
      <c r="D436" t="str">
        <f>VLOOKUP(A436,MERCADO!A:B,2,0)</f>
        <v>Imobiliaria/Incorporadora/Construtora</v>
      </c>
      <c r="E436" t="str">
        <f>_xlfn.XLOOKUP(A436, ORIGEM!A:A, ORIGEM!B:B)</f>
        <v>Google</v>
      </c>
      <c r="F436" t="str">
        <f>_xlfn.XLOOKUP(A436, ORIGEM!A:A, ORIGEM!C:C)</f>
        <v>google - cpc</v>
      </c>
      <c r="G436" t="str">
        <f>_xlfn.XLOOKUP(A436, LOCAL!A:A, LOCAL!B:B)</f>
        <v>São Paulo - SP</v>
      </c>
      <c r="H436" t="str">
        <f>_xlfn.XLOOKUP(A436, PORTE!A:A, PORTE!B:B)</f>
        <v>11-50</v>
      </c>
      <c r="I436" t="str">
        <f>_xlfn.XLOOKUP(A436, OBJETIVO!A:A, OBJETIVO!B:B)</f>
        <v>Abertura/Expansão</v>
      </c>
      <c r="J436">
        <f t="shared" si="6"/>
        <v>0</v>
      </c>
    </row>
    <row r="437" spans="1:10" x14ac:dyDescent="0.25">
      <c r="A437">
        <v>10681703</v>
      </c>
      <c r="B437" s="1">
        <v>45636.479872685188</v>
      </c>
      <c r="C437" t="s">
        <v>0</v>
      </c>
      <c r="D437" t="str">
        <f>VLOOKUP(A437,MERCADO!A:B,2,0)</f>
        <v>Imobiliaria/Incorporadora/Construtora</v>
      </c>
      <c r="E437" t="str">
        <f>_xlfn.XLOOKUP(A437, ORIGEM!A:A, ORIGEM!B:B)</f>
        <v>Bing</v>
      </c>
      <c r="F437" t="str">
        <f>_xlfn.XLOOKUP(A437, ORIGEM!A:A, ORIGEM!C:C)</f>
        <v>bing - cpc</v>
      </c>
      <c r="G437" t="str">
        <f>_xlfn.XLOOKUP(A437, LOCAL!A:A, LOCAL!B:B)</f>
        <v>São Paulo - SP</v>
      </c>
      <c r="H437" t="str">
        <f>_xlfn.XLOOKUP(A437, PORTE!A:A, PORTE!B:B)</f>
        <v>1-10</v>
      </c>
      <c r="I437" t="str">
        <f>_xlfn.XLOOKUP(A437, OBJETIVO!A:A, OBJETIVO!B:B)</f>
        <v>Ações de marketing/vendas</v>
      </c>
      <c r="J437">
        <f t="shared" si="6"/>
        <v>0</v>
      </c>
    </row>
    <row r="438" spans="1:10" x14ac:dyDescent="0.25">
      <c r="A438">
        <v>11552018</v>
      </c>
      <c r="B438" s="1">
        <v>45721.538043981483</v>
      </c>
      <c r="C438" t="s">
        <v>0</v>
      </c>
      <c r="D438" t="str">
        <f>VLOOKUP(A438,MERCADO!A:B,2,0)</f>
        <v>Tecnologia</v>
      </c>
      <c r="E438" t="str">
        <f>_xlfn.XLOOKUP(A438, ORIGEM!A:A, ORIGEM!B:B)</f>
        <v>Facebook</v>
      </c>
      <c r="F438" t="str">
        <f>_xlfn.XLOOKUP(A438, ORIGEM!A:A, ORIGEM!C:C)</f>
        <v>facebook - cpc</v>
      </c>
      <c r="G438" t="str">
        <f>_xlfn.XLOOKUP(A438, LOCAL!A:A, LOCAL!B:B)</f>
        <v>São Paulo - SP</v>
      </c>
      <c r="H438" t="str">
        <f>_xlfn.XLOOKUP(A438, PORTE!A:A, PORTE!B:B)</f>
        <v>0</v>
      </c>
      <c r="I438" t="str">
        <f>_xlfn.XLOOKUP(A438, OBJETIVO!A:A, OBJETIVO!B:B)</f>
        <v>Geração de leads b2b</v>
      </c>
      <c r="J438">
        <f t="shared" si="6"/>
        <v>0</v>
      </c>
    </row>
    <row r="439" spans="1:10" x14ac:dyDescent="0.25">
      <c r="A439">
        <v>11557819</v>
      </c>
      <c r="B439" s="1">
        <v>45721.978333333333</v>
      </c>
      <c r="C439" t="s">
        <v>0</v>
      </c>
      <c r="D439" t="str">
        <f>VLOOKUP(A439,MERCADO!A:B,2,0)</f>
        <v>Servicos</v>
      </c>
      <c r="E439" t="str">
        <f>_xlfn.XLOOKUP(A439, ORIGEM!A:A, ORIGEM!B:B)</f>
        <v>Facebook</v>
      </c>
      <c r="F439" t="str">
        <f>_xlfn.XLOOKUP(A439, ORIGEM!A:A, ORIGEM!C:C)</f>
        <v>facebook - cpc</v>
      </c>
      <c r="G439" t="str">
        <f>_xlfn.XLOOKUP(A439, LOCAL!A:A, LOCAL!B:B)</f>
        <v>Guarulhos - SP</v>
      </c>
      <c r="H439" t="str">
        <f>_xlfn.XLOOKUP(A439, PORTE!A:A, PORTE!B:B)</f>
        <v>1-10</v>
      </c>
      <c r="I439" t="str">
        <f>_xlfn.XLOOKUP(A439, OBJETIVO!A:A, OBJETIVO!B:B)</f>
        <v>Ações de marketing/vendas</v>
      </c>
      <c r="J439">
        <f t="shared" si="6"/>
        <v>0</v>
      </c>
    </row>
    <row r="440" spans="1:10" x14ac:dyDescent="0.25">
      <c r="A440">
        <v>11456879</v>
      </c>
      <c r="B440" s="1">
        <v>45713.409594907411</v>
      </c>
      <c r="C440" t="s">
        <v>0</v>
      </c>
      <c r="D440" t="str">
        <f>VLOOKUP(A440,MERCADO!A:B,2,0)</f>
        <v>Servicos</v>
      </c>
      <c r="E440" t="str">
        <f>_xlfn.XLOOKUP(A440, ORIGEM!A:A, ORIGEM!B:B)</f>
        <v>Google</v>
      </c>
      <c r="F440" t="str">
        <f>_xlfn.XLOOKUP(A440, ORIGEM!A:A, ORIGEM!C:C)</f>
        <v>google - cpc</v>
      </c>
      <c r="G440" t="str">
        <f>_xlfn.XLOOKUP(A440, LOCAL!A:A, LOCAL!B:B)</f>
        <v>São Paulo - SP</v>
      </c>
      <c r="H440" t="str">
        <f>_xlfn.XLOOKUP(A440, PORTE!A:A, PORTE!B:B)</f>
        <v>1-10</v>
      </c>
      <c r="I440" t="str">
        <f>_xlfn.XLOOKUP(A440, OBJETIVO!A:A, OBJETIVO!B:B)</f>
        <v>Abertura/Expansão</v>
      </c>
      <c r="J440">
        <f t="shared" si="6"/>
        <v>0</v>
      </c>
    </row>
    <row r="441" spans="1:10" x14ac:dyDescent="0.25">
      <c r="A441">
        <v>11354531</v>
      </c>
      <c r="B441" s="1">
        <v>45703.598217592589</v>
      </c>
      <c r="C441" t="s">
        <v>0</v>
      </c>
      <c r="D441" t="str">
        <f>VLOOKUP(A441,MERCADO!A:B,2,0)</f>
        <v>Tecnologia</v>
      </c>
      <c r="E441" t="str">
        <f>_xlfn.XLOOKUP(A441, ORIGEM!A:A, ORIGEM!B:B)</f>
        <v>Orgânico</v>
      </c>
      <c r="F441">
        <f>_xlfn.XLOOKUP(A441, ORIGEM!A:A, ORIGEM!C:C)</f>
        <v>0</v>
      </c>
      <c r="G441" t="str">
        <f>_xlfn.XLOOKUP(A441, LOCAL!A:A, LOCAL!B:B)</f>
        <v>São Paulo - SP</v>
      </c>
      <c r="H441" t="str">
        <f>_xlfn.XLOOKUP(A441, PORTE!A:A, PORTE!B:B)</f>
        <v>11-50</v>
      </c>
      <c r="I441" t="str">
        <f>_xlfn.XLOOKUP(A441, OBJETIVO!A:A, OBJETIVO!B:B)</f>
        <v>Ações de marketing/vendas</v>
      </c>
      <c r="J441">
        <f t="shared" si="6"/>
        <v>0</v>
      </c>
    </row>
    <row r="442" spans="1:10" x14ac:dyDescent="0.25">
      <c r="A442">
        <v>11451537</v>
      </c>
      <c r="B442" s="1">
        <v>45712.711516203701</v>
      </c>
      <c r="C442" t="s">
        <v>0</v>
      </c>
      <c r="D442" t="str">
        <f>VLOOKUP(A442,MERCADO!A:B,2,0)</f>
        <v>Tecnologia</v>
      </c>
      <c r="E442" t="str">
        <f>_xlfn.XLOOKUP(A442, ORIGEM!A:A, ORIGEM!B:B)</f>
        <v>email</v>
      </c>
      <c r="F442" t="str">
        <f>_xlfn.XLOOKUP(A442, ORIGEM!A:A, ORIGEM!C:C)</f>
        <v>email - economapas</v>
      </c>
      <c r="G442" t="str">
        <f>_xlfn.XLOOKUP(A442, LOCAL!A:A, LOCAL!B:B)</f>
        <v>São Paulo, SP</v>
      </c>
      <c r="H442" t="str">
        <f>_xlfn.XLOOKUP(A442, PORTE!A:A, PORTE!B:B)</f>
        <v>51-300</v>
      </c>
      <c r="I442" t="str">
        <f>_xlfn.XLOOKUP(A442, OBJETIVO!A:A, OBJETIVO!B:B)</f>
        <v>Planejamento estratégico</v>
      </c>
      <c r="J442">
        <f t="shared" si="6"/>
        <v>0</v>
      </c>
    </row>
    <row r="443" spans="1:10" x14ac:dyDescent="0.25">
      <c r="A443">
        <v>11604211</v>
      </c>
      <c r="B443" s="1">
        <v>45726.70484953704</v>
      </c>
      <c r="C443" t="s">
        <v>0</v>
      </c>
      <c r="D443" t="str">
        <f>VLOOKUP(A443,MERCADO!A:B,2,0)</f>
        <v>Tecnologia</v>
      </c>
      <c r="E443" t="str">
        <f>_xlfn.XLOOKUP(A443, ORIGEM!A:A, ORIGEM!B:B)</f>
        <v>Leads</v>
      </c>
      <c r="F443" t="str">
        <f>_xlfn.XLOOKUP(A443, ORIGEM!A:A, ORIGEM!C:C)</f>
        <v>leads - email</v>
      </c>
      <c r="G443" t="str">
        <f>_xlfn.XLOOKUP(A443, LOCAL!A:A, LOCAL!B:B)</f>
        <v>São Paulo - SP</v>
      </c>
      <c r="H443" t="str">
        <f>_xlfn.XLOOKUP(A443, PORTE!A:A, PORTE!B:B)</f>
        <v>1-10</v>
      </c>
      <c r="I443" t="str">
        <f>_xlfn.XLOOKUP(A443, OBJETIVO!A:A, OBJETIVO!B:B)</f>
        <v>Geração de leads b2b</v>
      </c>
      <c r="J443">
        <f t="shared" si="6"/>
        <v>0</v>
      </c>
    </row>
    <row r="444" spans="1:10" x14ac:dyDescent="0.25">
      <c r="A444">
        <v>11358865</v>
      </c>
      <c r="B444" s="1">
        <v>45704.007581018515</v>
      </c>
      <c r="C444" t="s">
        <v>0</v>
      </c>
      <c r="D444" t="str">
        <f>VLOOKUP(A444,MERCADO!A:B,2,0)</f>
        <v>Tecnologia</v>
      </c>
      <c r="E444" t="str">
        <f>_xlfn.XLOOKUP(A444, ORIGEM!A:A, ORIGEM!B:B)</f>
        <v>Facebook</v>
      </c>
      <c r="F444" t="str">
        <f>_xlfn.XLOOKUP(A444, ORIGEM!A:A, ORIGEM!C:C)</f>
        <v>facebook - cpc</v>
      </c>
      <c r="G444" t="str">
        <f>_xlfn.XLOOKUP(A444, LOCAL!A:A, LOCAL!B:B)</f>
        <v>Diadema - SP</v>
      </c>
      <c r="H444" t="str">
        <f>_xlfn.XLOOKUP(A444, PORTE!A:A, PORTE!B:B)</f>
        <v>11-50</v>
      </c>
      <c r="I444" t="str">
        <f>_xlfn.XLOOKUP(A444, OBJETIVO!A:A, OBJETIVO!B:B)</f>
        <v>Geração de leads b2b</v>
      </c>
      <c r="J444">
        <f t="shared" si="6"/>
        <v>0</v>
      </c>
    </row>
    <row r="445" spans="1:10" x14ac:dyDescent="0.25">
      <c r="A445">
        <v>11629274</v>
      </c>
      <c r="B445" s="1">
        <v>45728.721030092594</v>
      </c>
      <c r="C445" t="s">
        <v>0</v>
      </c>
      <c r="D445" t="str">
        <f>VLOOKUP(A445,MERCADO!A:B,2,0)</f>
        <v>Marketing/Publicidade/Consultoria</v>
      </c>
      <c r="E445" t="str">
        <f>_xlfn.XLOOKUP(A445, ORIGEM!A:A, ORIGEM!B:B)</f>
        <v>Google</v>
      </c>
      <c r="F445" t="str">
        <f>_xlfn.XLOOKUP(A445, ORIGEM!A:A, ORIGEM!C:C)</f>
        <v>google - cpc</v>
      </c>
      <c r="G445" t="str">
        <f>_xlfn.XLOOKUP(A445, LOCAL!A:A, LOCAL!B:B)</f>
        <v>São Carlos - SP</v>
      </c>
      <c r="H445" t="str">
        <f>_xlfn.XLOOKUP(A445, PORTE!A:A, PORTE!B:B)</f>
        <v>1-10</v>
      </c>
      <c r="I445" t="str">
        <f>_xlfn.XLOOKUP(A445, OBJETIVO!A:A, OBJETIVO!B:B)</f>
        <v>Consultoria</v>
      </c>
      <c r="J445">
        <f t="shared" si="6"/>
        <v>0</v>
      </c>
    </row>
    <row r="446" spans="1:10" x14ac:dyDescent="0.25">
      <c r="A446">
        <v>10626886</v>
      </c>
      <c r="B446" s="1">
        <v>45633.411168981482</v>
      </c>
      <c r="C446" t="s">
        <v>0</v>
      </c>
      <c r="D446">
        <f>VLOOKUP(A446,MERCADO!A:B,2,0)</f>
        <v>0</v>
      </c>
      <c r="E446" t="str">
        <f>_xlfn.XLOOKUP(A446, ORIGEM!A:A, ORIGEM!B:B)</f>
        <v>Orgânico</v>
      </c>
      <c r="F446">
        <f>_xlfn.XLOOKUP(A446, ORIGEM!A:A, ORIGEM!C:C)</f>
        <v>0</v>
      </c>
      <c r="G446" t="str">
        <f>_xlfn.XLOOKUP(A446, LOCAL!A:A, LOCAL!B:B)</f>
        <v>-</v>
      </c>
      <c r="H446" t="str">
        <f>_xlfn.XLOOKUP(A446, PORTE!A:A, PORTE!B:B)</f>
        <v>1-10</v>
      </c>
      <c r="I446" t="str">
        <f>_xlfn.XLOOKUP(A446, OBJETIVO!A:A, OBJETIVO!B:B)</f>
        <v>Geração de leads b2b</v>
      </c>
      <c r="J446">
        <f t="shared" si="6"/>
        <v>0</v>
      </c>
    </row>
    <row r="447" spans="1:10" x14ac:dyDescent="0.25">
      <c r="A447">
        <v>11573016</v>
      </c>
      <c r="B447" s="1">
        <v>45724.66265046296</v>
      </c>
      <c r="C447" t="s">
        <v>0</v>
      </c>
      <c r="D447" t="str">
        <f>VLOOKUP(A447,MERCADO!A:B,2,0)</f>
        <v>Tecnologia</v>
      </c>
      <c r="E447" t="str">
        <f>_xlfn.XLOOKUP(A447, ORIGEM!A:A, ORIGEM!B:B)</f>
        <v>Orgânico</v>
      </c>
      <c r="F447">
        <f>_xlfn.XLOOKUP(A447, ORIGEM!A:A, ORIGEM!C:C)</f>
        <v>0</v>
      </c>
      <c r="G447" t="str">
        <f>_xlfn.XLOOKUP(A447, LOCAL!A:A, LOCAL!B:B)</f>
        <v>Ribeirão Preto - SP</v>
      </c>
      <c r="H447" t="str">
        <f>_xlfn.XLOOKUP(A447, PORTE!A:A, PORTE!B:B)</f>
        <v>51-300</v>
      </c>
      <c r="I447" t="str">
        <f>_xlfn.XLOOKUP(A447, OBJETIVO!A:A, OBJETIVO!B:B)</f>
        <v>Outro</v>
      </c>
      <c r="J447">
        <f t="shared" si="6"/>
        <v>0</v>
      </c>
    </row>
    <row r="448" spans="1:10" x14ac:dyDescent="0.25">
      <c r="A448">
        <v>11705265</v>
      </c>
      <c r="B448" s="1">
        <v>45735.852210648147</v>
      </c>
      <c r="C448" t="s">
        <v>0</v>
      </c>
      <c r="D448" t="str">
        <f>VLOOKUP(A448,MERCADO!A:B,2,0)</f>
        <v>Empreendedor</v>
      </c>
      <c r="E448" t="str">
        <f>_xlfn.XLOOKUP(A448, ORIGEM!A:A, ORIGEM!B:B)</f>
        <v>Google</v>
      </c>
      <c r="F448" t="str">
        <f>_xlfn.XLOOKUP(A448, ORIGEM!A:A, ORIGEM!C:C)</f>
        <v>google - cpc</v>
      </c>
      <c r="G448" t="str">
        <f>_xlfn.XLOOKUP(A448, LOCAL!A:A, LOCAL!B:B)</f>
        <v>São Paulo - SP</v>
      </c>
      <c r="H448" t="str">
        <f>_xlfn.XLOOKUP(A448, PORTE!A:A, PORTE!B:B)</f>
        <v>0</v>
      </c>
      <c r="I448" t="str">
        <f>_xlfn.XLOOKUP(A448, OBJETIVO!A:A, OBJETIVO!B:B)</f>
        <v>Consultoria</v>
      </c>
      <c r="J448">
        <f t="shared" si="6"/>
        <v>0</v>
      </c>
    </row>
    <row r="449" spans="1:10" x14ac:dyDescent="0.25">
      <c r="A449">
        <v>10700341</v>
      </c>
      <c r="B449" s="1">
        <v>45637.730810185189</v>
      </c>
      <c r="C449" t="s">
        <v>0</v>
      </c>
      <c r="D449" t="str">
        <f>VLOOKUP(A449,MERCADO!A:B,2,0)</f>
        <v>Marketing/Publicidade/Consultoria</v>
      </c>
      <c r="E449" t="str">
        <f>_xlfn.XLOOKUP(A449, ORIGEM!A:A, ORIGEM!B:B)</f>
        <v>Google</v>
      </c>
      <c r="F449" t="str">
        <f>_xlfn.XLOOKUP(A449, ORIGEM!A:A, ORIGEM!C:C)</f>
        <v>google - cpc</v>
      </c>
      <c r="G449" t="str">
        <f>_xlfn.XLOOKUP(A449, LOCAL!A:A, LOCAL!B:B)</f>
        <v>São Caetano do Sul - SP</v>
      </c>
      <c r="H449" t="str">
        <f>_xlfn.XLOOKUP(A449, PORTE!A:A, PORTE!B:B)</f>
        <v>11-50</v>
      </c>
      <c r="I449" t="str">
        <f>_xlfn.XLOOKUP(A449, OBJETIVO!A:A, OBJETIVO!B:B)</f>
        <v>Ações de marketing/vendas</v>
      </c>
      <c r="J449">
        <f t="shared" si="6"/>
        <v>0</v>
      </c>
    </row>
    <row r="450" spans="1:10" x14ac:dyDescent="0.25">
      <c r="A450">
        <v>11899897</v>
      </c>
      <c r="B450" s="1">
        <v>45754.572025462963</v>
      </c>
      <c r="C450" t="s">
        <v>0</v>
      </c>
      <c r="D450" t="str">
        <f>VLOOKUP(A450,MERCADO!A:B,2,0)</f>
        <v>Imobiliaria/Incorporadora/Construtora</v>
      </c>
      <c r="E450" t="str">
        <f>_xlfn.XLOOKUP(A450, ORIGEM!A:A, ORIGEM!B:B)</f>
        <v>Google</v>
      </c>
      <c r="F450" t="str">
        <f>_xlfn.XLOOKUP(A450, ORIGEM!A:A, ORIGEM!C:C)</f>
        <v>google - cpc</v>
      </c>
      <c r="G450" t="str">
        <f>_xlfn.XLOOKUP(A450, LOCAL!A:A, LOCAL!B:B)</f>
        <v>São Luís - MA</v>
      </c>
      <c r="H450" t="str">
        <f>_xlfn.XLOOKUP(A450, PORTE!A:A, PORTE!B:B)</f>
        <v>0</v>
      </c>
      <c r="I450" t="str">
        <f>_xlfn.XLOOKUP(A450, OBJETIVO!A:A, OBJETIVO!B:B)</f>
        <v>Outro</v>
      </c>
      <c r="J450">
        <f t="shared" si="6"/>
        <v>0</v>
      </c>
    </row>
    <row r="451" spans="1:10" x14ac:dyDescent="0.25">
      <c r="A451">
        <v>10691985</v>
      </c>
      <c r="B451" s="1">
        <v>45637.322523148148</v>
      </c>
      <c r="C451" t="s">
        <v>0</v>
      </c>
      <c r="D451" t="str">
        <f>VLOOKUP(A451,MERCADO!A:B,2,0)</f>
        <v>Servicos</v>
      </c>
      <c r="E451" t="str">
        <f>_xlfn.XLOOKUP(A451, ORIGEM!A:A, ORIGEM!B:B)</f>
        <v>Google</v>
      </c>
      <c r="F451" t="str">
        <f>_xlfn.XLOOKUP(A451, ORIGEM!A:A, ORIGEM!C:C)</f>
        <v>google - cpc</v>
      </c>
      <c r="G451" t="str">
        <f>_xlfn.XLOOKUP(A451, LOCAL!A:A, LOCAL!B:B)</f>
        <v>São Paulo - SP</v>
      </c>
      <c r="H451" t="str">
        <f>_xlfn.XLOOKUP(A451, PORTE!A:A, PORTE!B:B)</f>
        <v>1-10</v>
      </c>
      <c r="I451" t="str">
        <f>_xlfn.XLOOKUP(A451, OBJETIVO!A:A, OBJETIVO!B:B)</f>
        <v>Abertura/Expansão</v>
      </c>
      <c r="J451">
        <f t="shared" ref="J451:J514" si="7">IF(C451="SIM",1,0)</f>
        <v>0</v>
      </c>
    </row>
    <row r="452" spans="1:10" x14ac:dyDescent="0.25">
      <c r="A452">
        <v>11543442</v>
      </c>
      <c r="B452" s="1">
        <v>45720.914687500001</v>
      </c>
      <c r="C452" t="s">
        <v>0</v>
      </c>
      <c r="D452" t="str">
        <f>VLOOKUP(A452,MERCADO!A:B,2,0)</f>
        <v>Servicos</v>
      </c>
      <c r="E452" t="str">
        <f>_xlfn.XLOOKUP(A452, ORIGEM!A:A, ORIGEM!B:B)</f>
        <v>Facebook</v>
      </c>
      <c r="F452" t="str">
        <f>_xlfn.XLOOKUP(A452, ORIGEM!A:A, ORIGEM!C:C)</f>
        <v>facebook - cpc</v>
      </c>
      <c r="G452" t="str">
        <f>_xlfn.XLOOKUP(A452, LOCAL!A:A, LOCAL!B:B)</f>
        <v>São José dos Campos - SP</v>
      </c>
      <c r="H452" t="str">
        <f>_xlfn.XLOOKUP(A452, PORTE!A:A, PORTE!B:B)</f>
        <v>0</v>
      </c>
      <c r="I452" t="str">
        <f>_xlfn.XLOOKUP(A452, OBJETIVO!A:A, OBJETIVO!B:B)</f>
        <v>Geração de leads b2b</v>
      </c>
      <c r="J452">
        <f t="shared" si="7"/>
        <v>0</v>
      </c>
    </row>
    <row r="453" spans="1:10" x14ac:dyDescent="0.25">
      <c r="A453">
        <v>11497559</v>
      </c>
      <c r="B453" s="1">
        <v>45717.723634259259</v>
      </c>
      <c r="C453" t="s">
        <v>0</v>
      </c>
      <c r="D453" t="str">
        <f>VLOOKUP(A453,MERCADO!A:B,2,0)</f>
        <v>Franqueadora</v>
      </c>
      <c r="E453" t="str">
        <f>_xlfn.XLOOKUP(A453, ORIGEM!A:A, ORIGEM!B:B)</f>
        <v>Orgânico</v>
      </c>
      <c r="F453">
        <f>_xlfn.XLOOKUP(A453, ORIGEM!A:A, ORIGEM!C:C)</f>
        <v>0</v>
      </c>
      <c r="G453" t="str">
        <f>_xlfn.XLOOKUP(A453, LOCAL!A:A, LOCAL!B:B)</f>
        <v>Rio Preto - SP</v>
      </c>
      <c r="H453" t="str">
        <f>_xlfn.XLOOKUP(A453, PORTE!A:A, PORTE!B:B)</f>
        <v>0</v>
      </c>
      <c r="I453" t="str">
        <f>_xlfn.XLOOKUP(A453, OBJETIVO!A:A, OBJETIVO!B:B)</f>
        <v>Abertura/Expansão</v>
      </c>
      <c r="J453">
        <f t="shared" si="7"/>
        <v>0</v>
      </c>
    </row>
    <row r="454" spans="1:10" x14ac:dyDescent="0.25">
      <c r="A454">
        <v>11393874</v>
      </c>
      <c r="B454" s="1">
        <v>45706.729016203702</v>
      </c>
      <c r="C454" t="s">
        <v>0</v>
      </c>
      <c r="D454" t="str">
        <f>VLOOKUP(A454,MERCADO!A:B,2,0)</f>
        <v>Franqueadora</v>
      </c>
      <c r="E454" t="str">
        <f>_xlfn.XLOOKUP(A454, ORIGEM!A:A, ORIGEM!B:B)</f>
        <v>Google</v>
      </c>
      <c r="F454" t="str">
        <f>_xlfn.XLOOKUP(A454, ORIGEM!A:A, ORIGEM!C:C)</f>
        <v>google - cpc</v>
      </c>
      <c r="G454" t="str">
        <f>_xlfn.XLOOKUP(A454, LOCAL!A:A, LOCAL!B:B)</f>
        <v>Rio Preto - SP</v>
      </c>
      <c r="H454" t="str">
        <f>_xlfn.XLOOKUP(A454, PORTE!A:A, PORTE!B:B)</f>
        <v>0</v>
      </c>
      <c r="I454" t="str">
        <f>_xlfn.XLOOKUP(A454, OBJETIVO!A:A, OBJETIVO!B:B)</f>
        <v>Abertura/Expansão</v>
      </c>
      <c r="J454">
        <f t="shared" si="7"/>
        <v>0</v>
      </c>
    </row>
    <row r="455" spans="1:10" x14ac:dyDescent="0.25">
      <c r="A455">
        <v>10808173</v>
      </c>
      <c r="B455" s="1">
        <v>45649.51185185185</v>
      </c>
      <c r="C455" t="s">
        <v>0</v>
      </c>
      <c r="D455" t="str">
        <f>VLOOKUP(A455,MERCADO!A:B,2,0)</f>
        <v>Franqueadora</v>
      </c>
      <c r="E455" t="str">
        <f>_xlfn.XLOOKUP(A455, ORIGEM!A:A, ORIGEM!B:B)</f>
        <v>Google</v>
      </c>
      <c r="F455" t="str">
        <f>_xlfn.XLOOKUP(A455, ORIGEM!A:A, ORIGEM!C:C)</f>
        <v>google - cpc</v>
      </c>
      <c r="G455" t="str">
        <f>_xlfn.XLOOKUP(A455, LOCAL!A:A, LOCAL!B:B)</f>
        <v>Colatina - ES</v>
      </c>
      <c r="H455" t="str">
        <f>_xlfn.XLOOKUP(A455, PORTE!A:A, PORTE!B:B)</f>
        <v>51-300</v>
      </c>
      <c r="I455" t="str">
        <f>_xlfn.XLOOKUP(A455, OBJETIVO!A:A, OBJETIVO!B:B)</f>
        <v>Abertura/Expansão</v>
      </c>
      <c r="J455">
        <f t="shared" si="7"/>
        <v>0</v>
      </c>
    </row>
    <row r="456" spans="1:10" x14ac:dyDescent="0.25">
      <c r="A456">
        <v>10918335</v>
      </c>
      <c r="B456" s="1">
        <v>45665.703692129631</v>
      </c>
      <c r="C456" t="s">
        <v>0</v>
      </c>
      <c r="D456" t="str">
        <f>VLOOKUP(A456,MERCADO!A:B,2,0)</f>
        <v>Industria</v>
      </c>
      <c r="E456" t="str">
        <f>_xlfn.XLOOKUP(A456, ORIGEM!A:A, ORIGEM!B:B)</f>
        <v>Orgânico</v>
      </c>
      <c r="F456">
        <f>_xlfn.XLOOKUP(A456, ORIGEM!A:A, ORIGEM!C:C)</f>
        <v>0</v>
      </c>
      <c r="G456" t="str">
        <f>_xlfn.XLOOKUP(A456, LOCAL!A:A, LOCAL!B:B)</f>
        <v>Rio Preto - SP</v>
      </c>
      <c r="H456" t="str">
        <f>_xlfn.XLOOKUP(A456, PORTE!A:A, PORTE!B:B)</f>
        <v>51-300</v>
      </c>
      <c r="I456" t="str">
        <f>_xlfn.XLOOKUP(A456, OBJETIVO!A:A, OBJETIVO!B:B)</f>
        <v>Ações de marketing/vendas</v>
      </c>
      <c r="J456">
        <f t="shared" si="7"/>
        <v>0</v>
      </c>
    </row>
    <row r="457" spans="1:10" x14ac:dyDescent="0.25">
      <c r="A457">
        <v>11558932</v>
      </c>
      <c r="B457" s="1">
        <v>45722.539039351854</v>
      </c>
      <c r="C457" t="s">
        <v>0</v>
      </c>
      <c r="D457" t="str">
        <f>VLOOKUP(A457,MERCADO!A:B,2,0)</f>
        <v>Tecnologia</v>
      </c>
      <c r="E457" t="str">
        <f>_xlfn.XLOOKUP(A457, ORIGEM!A:A, ORIGEM!B:B)</f>
        <v>Orgânico</v>
      </c>
      <c r="F457">
        <f>_xlfn.XLOOKUP(A457, ORIGEM!A:A, ORIGEM!C:C)</f>
        <v>0</v>
      </c>
      <c r="G457" t="str">
        <f>_xlfn.XLOOKUP(A457, LOCAL!A:A, LOCAL!B:B)</f>
        <v>Santos - SP</v>
      </c>
      <c r="H457" t="str">
        <f>_xlfn.XLOOKUP(A457, PORTE!A:A, PORTE!B:B)</f>
        <v>1-10</v>
      </c>
      <c r="I457" t="str">
        <f>_xlfn.XLOOKUP(A457, OBJETIVO!A:A, OBJETIVO!B:B)</f>
        <v>Planejamento estratégico</v>
      </c>
      <c r="J457">
        <f t="shared" si="7"/>
        <v>0</v>
      </c>
    </row>
    <row r="458" spans="1:10" x14ac:dyDescent="0.25">
      <c r="A458">
        <v>11634655</v>
      </c>
      <c r="B458" s="1">
        <v>45730.606527777774</v>
      </c>
      <c r="C458" t="s">
        <v>0</v>
      </c>
      <c r="D458" t="str">
        <f>VLOOKUP(A458,MERCADO!A:B,2,0)</f>
        <v>Servicos</v>
      </c>
      <c r="E458" t="str">
        <f>_xlfn.XLOOKUP(A458, ORIGEM!A:A, ORIGEM!B:B)</f>
        <v>Google</v>
      </c>
      <c r="F458" t="str">
        <f>_xlfn.XLOOKUP(A458, ORIGEM!A:A, ORIGEM!C:C)</f>
        <v>google - cpc</v>
      </c>
      <c r="G458" t="str">
        <f>_xlfn.XLOOKUP(A458, LOCAL!A:A, LOCAL!B:B)</f>
        <v>São Paulo - SP</v>
      </c>
      <c r="H458" t="str">
        <f>_xlfn.XLOOKUP(A458, PORTE!A:A, PORTE!B:B)</f>
        <v>0</v>
      </c>
      <c r="I458" t="str">
        <f>_xlfn.XLOOKUP(A458, OBJETIVO!A:A, OBJETIVO!B:B)</f>
        <v>Planejamento estratégico</v>
      </c>
      <c r="J458">
        <f t="shared" si="7"/>
        <v>0</v>
      </c>
    </row>
    <row r="459" spans="1:10" x14ac:dyDescent="0.25">
      <c r="A459">
        <v>11606409</v>
      </c>
      <c r="B459" s="1">
        <v>45726.771215277775</v>
      </c>
      <c r="C459" t="s">
        <v>0</v>
      </c>
      <c r="D459" t="str">
        <f>VLOOKUP(A459,MERCADO!A:B,2,0)</f>
        <v>Servicos</v>
      </c>
      <c r="E459" t="str">
        <f>_xlfn.XLOOKUP(A459, ORIGEM!A:A, ORIGEM!B:B)</f>
        <v>Google</v>
      </c>
      <c r="F459" t="str">
        <f>_xlfn.XLOOKUP(A459, ORIGEM!A:A, ORIGEM!C:C)</f>
        <v>google - cpc</v>
      </c>
      <c r="G459" t="str">
        <f>_xlfn.XLOOKUP(A459, LOCAL!A:A, LOCAL!B:B)</f>
        <v>São Carlos - SP</v>
      </c>
      <c r="H459" t="str">
        <f>_xlfn.XLOOKUP(A459, PORTE!A:A, PORTE!B:B)</f>
        <v>1-10</v>
      </c>
      <c r="I459" t="str">
        <f>_xlfn.XLOOKUP(A459, OBJETIVO!A:A, OBJETIVO!B:B)</f>
        <v>Planejamento estratégico</v>
      </c>
      <c r="J459">
        <f t="shared" si="7"/>
        <v>0</v>
      </c>
    </row>
    <row r="460" spans="1:10" x14ac:dyDescent="0.25">
      <c r="A460">
        <v>10800533</v>
      </c>
      <c r="B460" s="1">
        <v>45648.620462962965</v>
      </c>
      <c r="C460" t="s">
        <v>0</v>
      </c>
      <c r="D460" t="str">
        <f>VLOOKUP(A460,MERCADO!A:B,2,0)</f>
        <v>Servicos</v>
      </c>
      <c r="E460" t="str">
        <f>_xlfn.XLOOKUP(A460, ORIGEM!A:A, ORIGEM!B:B)</f>
        <v>Google</v>
      </c>
      <c r="F460" t="str">
        <f>_xlfn.XLOOKUP(A460, ORIGEM!A:A, ORIGEM!C:C)</f>
        <v>google - cpc</v>
      </c>
      <c r="G460" t="str">
        <f>_xlfn.XLOOKUP(A460, LOCAL!A:A, LOCAL!B:B)</f>
        <v>São Paulo - SP</v>
      </c>
      <c r="H460" t="str">
        <f>_xlfn.XLOOKUP(A460, PORTE!A:A, PORTE!B:B)</f>
        <v>1-10</v>
      </c>
      <c r="I460" t="str">
        <f>_xlfn.XLOOKUP(A460, OBJETIVO!A:A, OBJETIVO!B:B)</f>
        <v>Geração de leads b2b</v>
      </c>
      <c r="J460">
        <f t="shared" si="7"/>
        <v>0</v>
      </c>
    </row>
    <row r="461" spans="1:10" x14ac:dyDescent="0.25">
      <c r="A461">
        <v>11419977</v>
      </c>
      <c r="B461" s="1">
        <v>45710.55269675926</v>
      </c>
      <c r="C461" t="s">
        <v>0</v>
      </c>
      <c r="D461" t="str">
        <f>VLOOKUP(A461,MERCADO!A:B,2,0)</f>
        <v>Servicos</v>
      </c>
      <c r="E461" t="str">
        <f>_xlfn.XLOOKUP(A461, ORIGEM!A:A, ORIGEM!B:B)</f>
        <v>Orgânico</v>
      </c>
      <c r="F461">
        <f>_xlfn.XLOOKUP(A461, ORIGEM!A:A, ORIGEM!C:C)</f>
        <v>0</v>
      </c>
      <c r="G461" t="str">
        <f>_xlfn.XLOOKUP(A461, LOCAL!A:A, LOCAL!B:B)</f>
        <v>Itabaiana - PB</v>
      </c>
      <c r="H461" t="str">
        <f>_xlfn.XLOOKUP(A461, PORTE!A:A, PORTE!B:B)</f>
        <v>1-10</v>
      </c>
      <c r="I461" t="str">
        <f>_xlfn.XLOOKUP(A461, OBJETIVO!A:A, OBJETIVO!B:B)</f>
        <v>Ações de marketing/vendas</v>
      </c>
      <c r="J461">
        <f t="shared" si="7"/>
        <v>0</v>
      </c>
    </row>
    <row r="462" spans="1:10" x14ac:dyDescent="0.25">
      <c r="A462">
        <v>11686300</v>
      </c>
      <c r="B462" s="1">
        <v>45734.484907407408</v>
      </c>
      <c r="C462" t="s">
        <v>0</v>
      </c>
      <c r="D462" t="str">
        <f>VLOOKUP(A462,MERCADO!A:B,2,0)</f>
        <v>Servicos</v>
      </c>
      <c r="E462" t="str">
        <f>_xlfn.XLOOKUP(A462, ORIGEM!A:A, ORIGEM!B:B)</f>
        <v>Orgânico</v>
      </c>
      <c r="F462">
        <f>_xlfn.XLOOKUP(A462, ORIGEM!A:A, ORIGEM!C:C)</f>
        <v>0</v>
      </c>
      <c r="G462" t="str">
        <f>_xlfn.XLOOKUP(A462, LOCAL!A:A, LOCAL!B:B)</f>
        <v>São Paulo - SP</v>
      </c>
      <c r="H462" t="str">
        <f>_xlfn.XLOOKUP(A462, PORTE!A:A, PORTE!B:B)</f>
        <v>1-10</v>
      </c>
      <c r="I462" t="str">
        <f>_xlfn.XLOOKUP(A462, OBJETIVO!A:A, OBJETIVO!B:B)</f>
        <v>Geração de leads b2b</v>
      </c>
      <c r="J462">
        <f t="shared" si="7"/>
        <v>0</v>
      </c>
    </row>
    <row r="463" spans="1:10" x14ac:dyDescent="0.25">
      <c r="A463">
        <v>11720665</v>
      </c>
      <c r="B463" s="1">
        <v>45738.630208333336</v>
      </c>
      <c r="C463" t="s">
        <v>0</v>
      </c>
      <c r="D463" t="str">
        <f>VLOOKUP(A463,MERCADO!A:B,2,0)</f>
        <v>Tecnologia</v>
      </c>
      <c r="E463" t="str">
        <f>_xlfn.XLOOKUP(A463, ORIGEM!A:A, ORIGEM!B:B)</f>
        <v>Google</v>
      </c>
      <c r="F463" t="str">
        <f>_xlfn.XLOOKUP(A463, ORIGEM!A:A, ORIGEM!C:C)</f>
        <v>google - cpc</v>
      </c>
      <c r="G463" t="str">
        <f>_xlfn.XLOOKUP(A463, LOCAL!A:A, LOCAL!B:B)</f>
        <v>São Paulo - SP</v>
      </c>
      <c r="H463" t="str">
        <f>_xlfn.XLOOKUP(A463, PORTE!A:A, PORTE!B:B)</f>
        <v>11-50</v>
      </c>
      <c r="I463" t="str">
        <f>_xlfn.XLOOKUP(A463, OBJETIVO!A:A, OBJETIVO!B:B)</f>
        <v>Ações de marketing/vendas</v>
      </c>
      <c r="J463">
        <f t="shared" si="7"/>
        <v>0</v>
      </c>
    </row>
    <row r="464" spans="1:10" x14ac:dyDescent="0.25">
      <c r="A464">
        <v>11016916</v>
      </c>
      <c r="B464" s="1">
        <v>45675.430474537039</v>
      </c>
      <c r="C464" t="s">
        <v>0</v>
      </c>
      <c r="D464" t="str">
        <f>VLOOKUP(A464,MERCADO!A:B,2,0)</f>
        <v>Tecnologia</v>
      </c>
      <c r="E464" t="str">
        <f>_xlfn.XLOOKUP(A464, ORIGEM!A:A, ORIGEM!B:B)</f>
        <v>Google</v>
      </c>
      <c r="F464" t="str">
        <f>_xlfn.XLOOKUP(A464, ORIGEM!A:A, ORIGEM!C:C)</f>
        <v>google - cpc</v>
      </c>
      <c r="G464" t="str">
        <f>_xlfn.XLOOKUP(A464, LOCAL!A:A, LOCAL!B:B)</f>
        <v>Curitiba - PR</v>
      </c>
      <c r="H464" t="str">
        <f>_xlfn.XLOOKUP(A464, PORTE!A:A, PORTE!B:B)</f>
        <v>1-10</v>
      </c>
      <c r="I464" t="str">
        <f>_xlfn.XLOOKUP(A464, OBJETIVO!A:A, OBJETIVO!B:B)</f>
        <v>Geração de leads b2b</v>
      </c>
      <c r="J464">
        <f t="shared" si="7"/>
        <v>0</v>
      </c>
    </row>
    <row r="465" spans="1:10" x14ac:dyDescent="0.25">
      <c r="A465">
        <v>10750150</v>
      </c>
      <c r="B465" s="1">
        <v>45642.844942129632</v>
      </c>
      <c r="C465" t="s">
        <v>0</v>
      </c>
      <c r="D465" t="str">
        <f>VLOOKUP(A465,MERCADO!A:B,2,0)</f>
        <v>Servicos</v>
      </c>
      <c r="E465" t="str">
        <f>_xlfn.XLOOKUP(A465, ORIGEM!A:A, ORIGEM!B:B)</f>
        <v>rep</v>
      </c>
      <c r="F465" t="str">
        <f>_xlfn.XLOOKUP(A465, ORIGEM!A:A, ORIGEM!C:C)</f>
        <v>rep - ximena-cubillos</v>
      </c>
      <c r="G465" t="str">
        <f>_xlfn.XLOOKUP(A465, LOCAL!A:A, LOCAL!B:B)</f>
        <v>São Paulo - SP</v>
      </c>
      <c r="H465" t="str">
        <f>_xlfn.XLOOKUP(A465, PORTE!A:A, PORTE!B:B)</f>
        <v>1-10</v>
      </c>
      <c r="I465" t="str">
        <f>_xlfn.XLOOKUP(A465, OBJETIVO!A:A, OBJETIVO!B:B)</f>
        <v>Planejamento estratégico</v>
      </c>
      <c r="J465">
        <f t="shared" si="7"/>
        <v>0</v>
      </c>
    </row>
    <row r="466" spans="1:10" x14ac:dyDescent="0.25">
      <c r="A466">
        <v>10884778</v>
      </c>
      <c r="B466" s="1">
        <v>45663.431828703702</v>
      </c>
      <c r="C466" t="s">
        <v>0</v>
      </c>
      <c r="D466" t="str">
        <f>VLOOKUP(A466,MERCADO!A:B,2,0)</f>
        <v>Franqueadora</v>
      </c>
      <c r="E466" t="str">
        <f>_xlfn.XLOOKUP(A466, ORIGEM!A:A, ORIGEM!B:B)</f>
        <v>Google</v>
      </c>
      <c r="F466" t="str">
        <f>_xlfn.XLOOKUP(A466, ORIGEM!A:A, ORIGEM!C:C)</f>
        <v>google - cpc</v>
      </c>
      <c r="G466" t="str">
        <f>_xlfn.XLOOKUP(A466, LOCAL!A:A, LOCAL!B:B)</f>
        <v>Taubate - SP</v>
      </c>
      <c r="H466" t="str">
        <f>_xlfn.XLOOKUP(A466, PORTE!A:A, PORTE!B:B)</f>
        <v>0</v>
      </c>
      <c r="I466" t="str">
        <f>_xlfn.XLOOKUP(A466, OBJETIVO!A:A, OBJETIVO!B:B)</f>
        <v>Abertura/Expansão</v>
      </c>
      <c r="J466">
        <f t="shared" si="7"/>
        <v>0</v>
      </c>
    </row>
    <row r="467" spans="1:10" x14ac:dyDescent="0.25">
      <c r="A467">
        <v>10939883</v>
      </c>
      <c r="B467" s="1">
        <v>45669.351076388892</v>
      </c>
      <c r="C467" t="s">
        <v>0</v>
      </c>
      <c r="D467" t="str">
        <f>VLOOKUP(A467,MERCADO!A:B,2,0)</f>
        <v>Tecnologia</v>
      </c>
      <c r="E467" t="str">
        <f>_xlfn.XLOOKUP(A467, ORIGEM!A:A, ORIGEM!B:B)</f>
        <v>Google</v>
      </c>
      <c r="F467" t="str">
        <f>_xlfn.XLOOKUP(A467, ORIGEM!A:A, ORIGEM!C:C)</f>
        <v>google - cpc</v>
      </c>
      <c r="G467" t="str">
        <f>_xlfn.XLOOKUP(A467, LOCAL!A:A, LOCAL!B:B)</f>
        <v>Sorocaba - SP</v>
      </c>
      <c r="H467" t="str">
        <f>_xlfn.XLOOKUP(A467, PORTE!A:A, PORTE!B:B)</f>
        <v>0</v>
      </c>
      <c r="I467" t="str">
        <f>_xlfn.XLOOKUP(A467, OBJETIVO!A:A, OBJETIVO!B:B)</f>
        <v>Planejamento estratégico</v>
      </c>
      <c r="J467">
        <f t="shared" si="7"/>
        <v>0</v>
      </c>
    </row>
    <row r="468" spans="1:10" x14ac:dyDescent="0.25">
      <c r="A468">
        <v>11424189</v>
      </c>
      <c r="B468" s="1">
        <v>45710.712314814817</v>
      </c>
      <c r="C468" t="s">
        <v>0</v>
      </c>
      <c r="D468" t="str">
        <f>VLOOKUP(A468,MERCADO!A:B,2,0)</f>
        <v>Imobiliaria/Incorporadora/Construtora</v>
      </c>
      <c r="E468" t="str">
        <f>_xlfn.XLOOKUP(A468, ORIGEM!A:A, ORIGEM!B:B)</f>
        <v>Orgânico</v>
      </c>
      <c r="F468">
        <f>_xlfn.XLOOKUP(A468, ORIGEM!A:A, ORIGEM!C:C)</f>
        <v>0</v>
      </c>
      <c r="G468" t="str">
        <f>_xlfn.XLOOKUP(A468, LOCAL!A:A, LOCAL!B:B)</f>
        <v>Campinas - SP</v>
      </c>
      <c r="H468" t="str">
        <f>_xlfn.XLOOKUP(A468, PORTE!A:A, PORTE!B:B)</f>
        <v>51-300</v>
      </c>
      <c r="I468" t="str">
        <f>_xlfn.XLOOKUP(A468, OBJETIVO!A:A, OBJETIVO!B:B)</f>
        <v>Abertura/Expansão</v>
      </c>
      <c r="J468">
        <f t="shared" si="7"/>
        <v>0</v>
      </c>
    </row>
    <row r="469" spans="1:10" x14ac:dyDescent="0.25">
      <c r="A469">
        <v>10699973</v>
      </c>
      <c r="B469" s="1">
        <v>45637.708587962959</v>
      </c>
      <c r="C469" t="s">
        <v>0</v>
      </c>
      <c r="D469" t="str">
        <f>VLOOKUP(A469,MERCADO!A:B,2,0)</f>
        <v>Servicos</v>
      </c>
      <c r="E469" t="str">
        <f>_xlfn.XLOOKUP(A469, ORIGEM!A:A, ORIGEM!B:B)</f>
        <v>Google</v>
      </c>
      <c r="F469" t="str">
        <f>_xlfn.XLOOKUP(A469, ORIGEM!A:A, ORIGEM!C:C)</f>
        <v>google - cpc</v>
      </c>
      <c r="G469" t="str">
        <f>_xlfn.XLOOKUP(A469, LOCAL!A:A, LOCAL!B:B)</f>
        <v>Tatuí - SP</v>
      </c>
      <c r="H469" t="str">
        <f>_xlfn.XLOOKUP(A469, PORTE!A:A, PORTE!B:B)</f>
        <v>51-300</v>
      </c>
      <c r="I469" t="str">
        <f>_xlfn.XLOOKUP(A469, OBJETIVO!A:A, OBJETIVO!B:B)</f>
        <v>Abertura/Expansão</v>
      </c>
      <c r="J469">
        <f t="shared" si="7"/>
        <v>0</v>
      </c>
    </row>
    <row r="470" spans="1:10" x14ac:dyDescent="0.25">
      <c r="A470">
        <v>10782637</v>
      </c>
      <c r="B470" s="1">
        <v>45646.943530092591</v>
      </c>
      <c r="C470" t="s">
        <v>0</v>
      </c>
      <c r="D470" t="str">
        <f>VLOOKUP(A470,MERCADO!A:B,2,0)</f>
        <v>Varejo</v>
      </c>
      <c r="E470" t="str">
        <f>_xlfn.XLOOKUP(A470, ORIGEM!A:A, ORIGEM!B:B)</f>
        <v>Orgânico</v>
      </c>
      <c r="F470">
        <f>_xlfn.XLOOKUP(A470, ORIGEM!A:A, ORIGEM!C:C)</f>
        <v>0</v>
      </c>
      <c r="G470" t="str">
        <f>_xlfn.XLOOKUP(A470, LOCAL!A:A, LOCAL!B:B)</f>
        <v>Sorocaba - SP</v>
      </c>
      <c r="H470" t="str">
        <f>_xlfn.XLOOKUP(A470, PORTE!A:A, PORTE!B:B)</f>
        <v>0</v>
      </c>
      <c r="I470" t="str">
        <f>_xlfn.XLOOKUP(A470, OBJETIVO!A:A, OBJETIVO!B:B)</f>
        <v>Abertura/Expansão</v>
      </c>
      <c r="J470">
        <f t="shared" si="7"/>
        <v>0</v>
      </c>
    </row>
    <row r="471" spans="1:10" x14ac:dyDescent="0.25">
      <c r="A471">
        <v>10623536</v>
      </c>
      <c r="B471" s="1">
        <v>45632.569791666669</v>
      </c>
      <c r="C471" t="s">
        <v>0</v>
      </c>
      <c r="D471" t="str">
        <f>VLOOKUP(A471,MERCADO!A:B,2,0)</f>
        <v>Industria</v>
      </c>
      <c r="E471" t="str">
        <f>_xlfn.XLOOKUP(A471, ORIGEM!A:A, ORIGEM!B:B)</f>
        <v>Orgânico</v>
      </c>
      <c r="F471">
        <f>_xlfn.XLOOKUP(A471, ORIGEM!A:A, ORIGEM!C:C)</f>
        <v>0</v>
      </c>
      <c r="G471" t="str">
        <f>_xlfn.XLOOKUP(A471, LOCAL!A:A, LOCAL!B:B)</f>
        <v>Uberlândia - MG</v>
      </c>
      <c r="H471" t="str">
        <f>_xlfn.XLOOKUP(A471, PORTE!A:A, PORTE!B:B)</f>
        <v>1-10</v>
      </c>
      <c r="I471" t="str">
        <f>_xlfn.XLOOKUP(A471, OBJETIVO!A:A, OBJETIVO!B:B)</f>
        <v>Ações de marketing/vendas</v>
      </c>
      <c r="J471">
        <f t="shared" si="7"/>
        <v>0</v>
      </c>
    </row>
    <row r="472" spans="1:10" x14ac:dyDescent="0.25">
      <c r="A472">
        <v>11580101</v>
      </c>
      <c r="B472" s="1">
        <v>45725.361134259256</v>
      </c>
      <c r="C472" t="s">
        <v>0</v>
      </c>
      <c r="D472" t="str">
        <f>VLOOKUP(A472,MERCADO!A:B,2,0)</f>
        <v>Varejo</v>
      </c>
      <c r="E472" t="str">
        <f>_xlfn.XLOOKUP(A472, ORIGEM!A:A, ORIGEM!B:B)</f>
        <v>Facebook</v>
      </c>
      <c r="F472" t="str">
        <f>_xlfn.XLOOKUP(A472, ORIGEM!A:A, ORIGEM!C:C)</f>
        <v>facebook - cpc</v>
      </c>
      <c r="G472" t="str">
        <f>_xlfn.XLOOKUP(A472, LOCAL!A:A, LOCAL!B:B)</f>
        <v>Guarulhos - SP</v>
      </c>
      <c r="H472" t="str">
        <f>_xlfn.XLOOKUP(A472, PORTE!A:A, PORTE!B:B)</f>
        <v>1-10</v>
      </c>
      <c r="I472" t="str">
        <f>_xlfn.XLOOKUP(A472, OBJETIVO!A:A, OBJETIVO!B:B)</f>
        <v>Ações de marketing/vendas</v>
      </c>
      <c r="J472">
        <f t="shared" si="7"/>
        <v>0</v>
      </c>
    </row>
    <row r="473" spans="1:10" x14ac:dyDescent="0.25">
      <c r="A473">
        <v>11205931</v>
      </c>
      <c r="B473" s="1">
        <v>45689.535439814812</v>
      </c>
      <c r="C473" t="s">
        <v>0</v>
      </c>
      <c r="D473" t="str">
        <f>VLOOKUP(A473,MERCADO!A:B,2,0)</f>
        <v>Servicos</v>
      </c>
      <c r="E473" t="str">
        <f>_xlfn.XLOOKUP(A473, ORIGEM!A:A, ORIGEM!B:B)</f>
        <v>Orgânico</v>
      </c>
      <c r="F473">
        <f>_xlfn.XLOOKUP(A473, ORIGEM!A:A, ORIGEM!C:C)</f>
        <v>0</v>
      </c>
      <c r="G473" t="str">
        <f>_xlfn.XLOOKUP(A473, LOCAL!A:A, LOCAL!B:B)</f>
        <v>Palmas - TO</v>
      </c>
      <c r="H473" t="str">
        <f>_xlfn.XLOOKUP(A473, PORTE!A:A, PORTE!B:B)</f>
        <v>0</v>
      </c>
      <c r="I473" t="str">
        <f>_xlfn.XLOOKUP(A473, OBJETIVO!A:A, OBJETIVO!B:B)</f>
        <v>Ações de marketing/vendas</v>
      </c>
      <c r="J473">
        <f t="shared" si="7"/>
        <v>0</v>
      </c>
    </row>
    <row r="474" spans="1:10" x14ac:dyDescent="0.25">
      <c r="A474">
        <v>11379021</v>
      </c>
      <c r="B474" s="1">
        <v>45705.649386574078</v>
      </c>
      <c r="C474" t="s">
        <v>0</v>
      </c>
      <c r="D474" t="str">
        <f>VLOOKUP(A474,MERCADO!A:B,2,0)</f>
        <v>Varejo</v>
      </c>
      <c r="E474" t="str">
        <f>_xlfn.XLOOKUP(A474, ORIGEM!A:A, ORIGEM!B:B)</f>
        <v>Facebook</v>
      </c>
      <c r="F474" t="str">
        <f>_xlfn.XLOOKUP(A474, ORIGEM!A:A, ORIGEM!C:C)</f>
        <v>facebook - cpc</v>
      </c>
      <c r="G474" t="str">
        <f>_xlfn.XLOOKUP(A474, LOCAL!A:A, LOCAL!B:B)</f>
        <v>Juiz de Fora - MG</v>
      </c>
      <c r="H474" t="str">
        <f>_xlfn.XLOOKUP(A474, PORTE!A:A, PORTE!B:B)</f>
        <v>1-10</v>
      </c>
      <c r="I474" t="str">
        <f>_xlfn.XLOOKUP(A474, OBJETIVO!A:A, OBJETIVO!B:B)</f>
        <v>Abertura/Expansão</v>
      </c>
      <c r="J474">
        <f t="shared" si="7"/>
        <v>0</v>
      </c>
    </row>
    <row r="475" spans="1:10" x14ac:dyDescent="0.25">
      <c r="A475">
        <v>11229198</v>
      </c>
      <c r="B475" s="1">
        <v>45690.79965277778</v>
      </c>
      <c r="C475" t="s">
        <v>0</v>
      </c>
      <c r="D475" t="str">
        <f>VLOOKUP(A475,MERCADO!A:B,2,0)</f>
        <v>Varejo</v>
      </c>
      <c r="E475" t="str">
        <f>_xlfn.XLOOKUP(A475, ORIGEM!A:A, ORIGEM!B:B)</f>
        <v>Orgânico</v>
      </c>
      <c r="F475">
        <f>_xlfn.XLOOKUP(A475, ORIGEM!A:A, ORIGEM!C:C)</f>
        <v>0</v>
      </c>
      <c r="G475" t="str">
        <f>_xlfn.XLOOKUP(A475, LOCAL!A:A, LOCAL!B:B)</f>
        <v>Limeira - SP</v>
      </c>
      <c r="H475" t="str">
        <f>_xlfn.XLOOKUP(A475, PORTE!A:A, PORTE!B:B)</f>
        <v>11-50</v>
      </c>
      <c r="I475" t="str">
        <f>_xlfn.XLOOKUP(A475, OBJETIVO!A:A, OBJETIVO!B:B)</f>
        <v>Ações de marketing/vendas</v>
      </c>
      <c r="J475">
        <f t="shared" si="7"/>
        <v>0</v>
      </c>
    </row>
    <row r="476" spans="1:10" x14ac:dyDescent="0.25">
      <c r="A476">
        <v>11792213</v>
      </c>
      <c r="B476" s="1">
        <v>45745.22828703704</v>
      </c>
      <c r="C476" t="s">
        <v>0</v>
      </c>
      <c r="D476" t="str">
        <f>VLOOKUP(A476,MERCADO!A:B,2,0)</f>
        <v>Industria</v>
      </c>
      <c r="E476" t="str">
        <f>_xlfn.XLOOKUP(A476, ORIGEM!A:A, ORIGEM!B:B)</f>
        <v>Google</v>
      </c>
      <c r="F476" t="str">
        <f>_xlfn.XLOOKUP(A476, ORIGEM!A:A, ORIGEM!C:C)</f>
        <v>google - cpc</v>
      </c>
      <c r="G476" t="str">
        <f>_xlfn.XLOOKUP(A476, LOCAL!A:A, LOCAL!B:B)</f>
        <v>Sorocaba - SP</v>
      </c>
      <c r="H476" t="str">
        <f>_xlfn.XLOOKUP(A476, PORTE!A:A, PORTE!B:B)</f>
        <v>+ 1000</v>
      </c>
      <c r="I476" t="str">
        <f>_xlfn.XLOOKUP(A476, OBJETIVO!A:A, OBJETIVO!B:B)</f>
        <v>Outro</v>
      </c>
      <c r="J476">
        <f t="shared" si="7"/>
        <v>0</v>
      </c>
    </row>
    <row r="477" spans="1:10" x14ac:dyDescent="0.25">
      <c r="A477">
        <v>11405987</v>
      </c>
      <c r="B477" s="1">
        <v>45707.992094907408</v>
      </c>
      <c r="C477" t="s">
        <v>0</v>
      </c>
      <c r="D477" t="str">
        <f>VLOOKUP(A477,MERCADO!A:B,2,0)</f>
        <v>Servicos</v>
      </c>
      <c r="E477" t="str">
        <f>_xlfn.XLOOKUP(A477, ORIGEM!A:A, ORIGEM!B:B)</f>
        <v>Facebook</v>
      </c>
      <c r="F477" t="str">
        <f>_xlfn.XLOOKUP(A477, ORIGEM!A:A, ORIGEM!C:C)</f>
        <v>facebook - cpc</v>
      </c>
      <c r="G477" t="str">
        <f>_xlfn.XLOOKUP(A477, LOCAL!A:A, LOCAL!B:B)</f>
        <v>São Paulo - SP</v>
      </c>
      <c r="H477" t="str">
        <f>_xlfn.XLOOKUP(A477, PORTE!A:A, PORTE!B:B)</f>
        <v>0</v>
      </c>
      <c r="I477" t="str">
        <f>_xlfn.XLOOKUP(A477, OBJETIVO!A:A, OBJETIVO!B:B)</f>
        <v>Ações de marketing/vendas</v>
      </c>
      <c r="J477">
        <f t="shared" si="7"/>
        <v>0</v>
      </c>
    </row>
    <row r="478" spans="1:10" x14ac:dyDescent="0.25">
      <c r="A478">
        <v>10714472</v>
      </c>
      <c r="B478" s="1">
        <v>45640.549988425926</v>
      </c>
      <c r="C478" t="s">
        <v>0</v>
      </c>
      <c r="D478" t="str">
        <f>VLOOKUP(A478,MERCADO!A:B,2,0)</f>
        <v>Tecnologia</v>
      </c>
      <c r="E478" t="str">
        <f>_xlfn.XLOOKUP(A478, ORIGEM!A:A, ORIGEM!B:B)</f>
        <v>Orgânico</v>
      </c>
      <c r="F478">
        <f>_xlfn.XLOOKUP(A478, ORIGEM!A:A, ORIGEM!C:C)</f>
        <v>0</v>
      </c>
      <c r="G478" t="str">
        <f>_xlfn.XLOOKUP(A478, LOCAL!A:A, LOCAL!B:B)</f>
        <v>-</v>
      </c>
      <c r="H478" t="str">
        <f>_xlfn.XLOOKUP(A478, PORTE!A:A, PORTE!B:B)</f>
        <v>1-10</v>
      </c>
      <c r="I478" t="str">
        <f>_xlfn.XLOOKUP(A478, OBJETIVO!A:A, OBJETIVO!B:B)</f>
        <v>Geração de leads b2b</v>
      </c>
      <c r="J478">
        <f t="shared" si="7"/>
        <v>0</v>
      </c>
    </row>
    <row r="479" spans="1:10" x14ac:dyDescent="0.25">
      <c r="A479">
        <v>10921075</v>
      </c>
      <c r="B479" s="1">
        <v>45666.638553240744</v>
      </c>
      <c r="C479" t="s">
        <v>0</v>
      </c>
      <c r="D479" t="str">
        <f>VLOOKUP(A479,MERCADO!A:B,2,0)</f>
        <v>Tecnologia</v>
      </c>
      <c r="E479" t="str">
        <f>_xlfn.XLOOKUP(A479, ORIGEM!A:A, ORIGEM!B:B)</f>
        <v>Google</v>
      </c>
      <c r="F479" t="str">
        <f>_xlfn.XLOOKUP(A479, ORIGEM!A:A, ORIGEM!C:C)</f>
        <v>google - cpc</v>
      </c>
      <c r="G479" t="str">
        <f>_xlfn.XLOOKUP(A479, LOCAL!A:A, LOCAL!B:B)</f>
        <v>Duque de Caxias - RJ</v>
      </c>
      <c r="H479" t="str">
        <f>_xlfn.XLOOKUP(A479, PORTE!A:A, PORTE!B:B)</f>
        <v>1-10</v>
      </c>
      <c r="I479" t="str">
        <f>_xlfn.XLOOKUP(A479, OBJETIVO!A:A, OBJETIVO!B:B)</f>
        <v>Planejamento estratégico</v>
      </c>
      <c r="J479">
        <f t="shared" si="7"/>
        <v>0</v>
      </c>
    </row>
    <row r="480" spans="1:10" x14ac:dyDescent="0.25">
      <c r="A480">
        <v>10596750</v>
      </c>
      <c r="B480" s="1">
        <v>45629.381180555552</v>
      </c>
      <c r="C480" t="s">
        <v>0</v>
      </c>
      <c r="D480">
        <f>VLOOKUP(A480,MERCADO!A:B,2,0)</f>
        <v>0</v>
      </c>
      <c r="E480" t="str">
        <f>_xlfn.XLOOKUP(A480, ORIGEM!A:A, ORIGEM!B:B)</f>
        <v>Bing</v>
      </c>
      <c r="F480" t="str">
        <f>_xlfn.XLOOKUP(A480, ORIGEM!A:A, ORIGEM!C:C)</f>
        <v>bing - cpc</v>
      </c>
      <c r="G480" t="str">
        <f>_xlfn.XLOOKUP(A480, LOCAL!A:A, LOCAL!B:B)</f>
        <v>Porto Ferreira - SP</v>
      </c>
      <c r="H480" t="str">
        <f>_xlfn.XLOOKUP(A480, PORTE!A:A, PORTE!B:B)</f>
        <v>11-50</v>
      </c>
      <c r="I480" t="str">
        <f>_xlfn.XLOOKUP(A480, OBJETIVO!A:A, OBJETIVO!B:B)</f>
        <v>Ações de marketing/vendas</v>
      </c>
      <c r="J480">
        <f t="shared" si="7"/>
        <v>0</v>
      </c>
    </row>
    <row r="481" spans="1:10" x14ac:dyDescent="0.25">
      <c r="A481">
        <v>10932494</v>
      </c>
      <c r="B481" s="1">
        <v>45668.533136574071</v>
      </c>
      <c r="C481" t="s">
        <v>0</v>
      </c>
      <c r="D481" t="str">
        <f>VLOOKUP(A481,MERCADO!A:B,2,0)</f>
        <v>Industria</v>
      </c>
      <c r="E481" t="str">
        <f>_xlfn.XLOOKUP(A481, ORIGEM!A:A, ORIGEM!B:B)</f>
        <v>Google</v>
      </c>
      <c r="F481" t="str">
        <f>_xlfn.XLOOKUP(A481, ORIGEM!A:A, ORIGEM!C:C)</f>
        <v>google - cpc</v>
      </c>
      <c r="G481" t="str">
        <f>_xlfn.XLOOKUP(A481, LOCAL!A:A, LOCAL!B:B)</f>
        <v>Sao Vicente - SP</v>
      </c>
      <c r="H481" t="str">
        <f>_xlfn.XLOOKUP(A481, PORTE!A:A, PORTE!B:B)</f>
        <v>11-50</v>
      </c>
      <c r="I481" t="str">
        <f>_xlfn.XLOOKUP(A481, OBJETIVO!A:A, OBJETIVO!B:B)</f>
        <v>Planejamento estratégico</v>
      </c>
      <c r="J481">
        <f t="shared" si="7"/>
        <v>0</v>
      </c>
    </row>
    <row r="482" spans="1:10" x14ac:dyDescent="0.25">
      <c r="A482">
        <v>11611681</v>
      </c>
      <c r="B482" s="1">
        <v>45727.496435185189</v>
      </c>
      <c r="C482" t="s">
        <v>0</v>
      </c>
      <c r="D482" t="str">
        <f>VLOOKUP(A482,MERCADO!A:B,2,0)</f>
        <v>Varejo</v>
      </c>
      <c r="E482" t="str">
        <f>_xlfn.XLOOKUP(A482, ORIGEM!A:A, ORIGEM!B:B)</f>
        <v>Google</v>
      </c>
      <c r="F482" t="str">
        <f>_xlfn.XLOOKUP(A482, ORIGEM!A:A, ORIGEM!C:C)</f>
        <v>google - cpc</v>
      </c>
      <c r="G482" t="str">
        <f>_xlfn.XLOOKUP(A482, LOCAL!A:A, LOCAL!B:B)</f>
        <v>Ribeirão Preto - SP</v>
      </c>
      <c r="H482" t="str">
        <f>_xlfn.XLOOKUP(A482, PORTE!A:A, PORTE!B:B)</f>
        <v>1-10</v>
      </c>
      <c r="I482" t="str">
        <f>_xlfn.XLOOKUP(A482, OBJETIVO!A:A, OBJETIVO!B:B)</f>
        <v>Ações de marketing/vendas</v>
      </c>
      <c r="J482">
        <f t="shared" si="7"/>
        <v>0</v>
      </c>
    </row>
    <row r="483" spans="1:10" x14ac:dyDescent="0.25">
      <c r="A483">
        <v>11131503</v>
      </c>
      <c r="B483" s="1">
        <v>45684.447118055556</v>
      </c>
      <c r="C483" t="s">
        <v>0</v>
      </c>
      <c r="D483" t="str">
        <f>VLOOKUP(A483,MERCADO!A:B,2,0)</f>
        <v>Marketing/Publicidade/Consultoria</v>
      </c>
      <c r="E483" t="str">
        <f>_xlfn.XLOOKUP(A483, ORIGEM!A:A, ORIGEM!B:B)</f>
        <v>Bing</v>
      </c>
      <c r="F483" t="str">
        <f>_xlfn.XLOOKUP(A483, ORIGEM!A:A, ORIGEM!C:C)</f>
        <v>bing - cpc</v>
      </c>
      <c r="G483" t="str">
        <f>_xlfn.XLOOKUP(A483, LOCAL!A:A, LOCAL!B:B)</f>
        <v>São Paulo - SP</v>
      </c>
      <c r="H483" t="str">
        <f>_xlfn.XLOOKUP(A483, PORTE!A:A, PORTE!B:B)</f>
        <v>1-10</v>
      </c>
      <c r="I483" t="str">
        <f>_xlfn.XLOOKUP(A483, OBJETIVO!A:A, OBJETIVO!B:B)</f>
        <v>Geração de leads b2b</v>
      </c>
      <c r="J483">
        <f t="shared" si="7"/>
        <v>0</v>
      </c>
    </row>
    <row r="484" spans="1:10" x14ac:dyDescent="0.25">
      <c r="A484">
        <v>10923434</v>
      </c>
      <c r="B484" s="1">
        <v>45667.772534722222</v>
      </c>
      <c r="C484" t="s">
        <v>0</v>
      </c>
      <c r="D484" t="str">
        <f>VLOOKUP(A484,MERCADO!A:B,2,0)</f>
        <v>Empreendedor</v>
      </c>
      <c r="E484" t="str">
        <f>_xlfn.XLOOKUP(A484, ORIGEM!A:A, ORIGEM!B:B)</f>
        <v>Orgânico</v>
      </c>
      <c r="F484">
        <f>_xlfn.XLOOKUP(A484, ORIGEM!A:A, ORIGEM!C:C)</f>
        <v>0</v>
      </c>
      <c r="G484" t="str">
        <f>_xlfn.XLOOKUP(A484, LOCAL!A:A, LOCAL!B:B)</f>
        <v>São Bernardo do Campo - SP</v>
      </c>
      <c r="H484" t="str">
        <f>_xlfn.XLOOKUP(A484, PORTE!A:A, PORTE!B:B)</f>
        <v>0</v>
      </c>
      <c r="I484" t="str">
        <f>_xlfn.XLOOKUP(A484, OBJETIVO!A:A, OBJETIVO!B:B)</f>
        <v>Abertura/Expansão</v>
      </c>
      <c r="J484">
        <f t="shared" si="7"/>
        <v>0</v>
      </c>
    </row>
    <row r="485" spans="1:10" x14ac:dyDescent="0.25">
      <c r="A485">
        <v>12025086</v>
      </c>
      <c r="B485" s="1">
        <v>45765.803946759261</v>
      </c>
      <c r="C485" t="s">
        <v>0</v>
      </c>
      <c r="D485" t="str">
        <f>VLOOKUP(A485,MERCADO!A:B,2,0)</f>
        <v>Empreendedor</v>
      </c>
      <c r="E485" t="str">
        <f>_xlfn.XLOOKUP(A485, ORIGEM!A:A, ORIGEM!B:B)</f>
        <v>Orgânico</v>
      </c>
      <c r="F485">
        <f>_xlfn.XLOOKUP(A485, ORIGEM!A:A, ORIGEM!C:C)</f>
        <v>0</v>
      </c>
      <c r="G485" t="str">
        <f>_xlfn.XLOOKUP(A485, LOCAL!A:A, LOCAL!B:B)</f>
        <v>Santo André - SP</v>
      </c>
      <c r="H485" t="str">
        <f>_xlfn.XLOOKUP(A485, PORTE!A:A, PORTE!B:B)</f>
        <v>0</v>
      </c>
      <c r="I485" t="str">
        <f>_xlfn.XLOOKUP(A485, OBJETIVO!A:A, OBJETIVO!B:B)</f>
        <v>Consultoria</v>
      </c>
      <c r="J485">
        <f t="shared" si="7"/>
        <v>0</v>
      </c>
    </row>
    <row r="486" spans="1:10" x14ac:dyDescent="0.25">
      <c r="A486">
        <v>10800572</v>
      </c>
      <c r="B486" s="1">
        <v>45648.622337962966</v>
      </c>
      <c r="C486" t="s">
        <v>0</v>
      </c>
      <c r="D486" t="str">
        <f>VLOOKUP(A486,MERCADO!A:B,2,0)</f>
        <v>Varejo</v>
      </c>
      <c r="E486" t="str">
        <f>_xlfn.XLOOKUP(A486, ORIGEM!A:A, ORIGEM!B:B)</f>
        <v>email</v>
      </c>
      <c r="F486" t="str">
        <f>_xlfn.XLOOKUP(A486, ORIGEM!A:A, ORIGEM!C:C)</f>
        <v>email - economapas</v>
      </c>
      <c r="G486" t="str">
        <f>_xlfn.XLOOKUP(A486, LOCAL!A:A, LOCAL!B:B)</f>
        <v>São Paulo, SP</v>
      </c>
      <c r="H486" t="str">
        <f>_xlfn.XLOOKUP(A486, PORTE!A:A, PORTE!B:B)</f>
        <v>1-10</v>
      </c>
      <c r="I486" t="str">
        <f>_xlfn.XLOOKUP(A486, OBJETIVO!A:A, OBJETIVO!B:B)</f>
        <v>Abertura/Expansão</v>
      </c>
      <c r="J486">
        <f t="shared" si="7"/>
        <v>0</v>
      </c>
    </row>
    <row r="487" spans="1:10" x14ac:dyDescent="0.25">
      <c r="A487">
        <v>11067209</v>
      </c>
      <c r="B487" s="1">
        <v>45678.412141203706</v>
      </c>
      <c r="C487" t="s">
        <v>0</v>
      </c>
      <c r="D487" t="str">
        <f>VLOOKUP(A487,MERCADO!A:B,2,0)</f>
        <v>Franqueadora</v>
      </c>
      <c r="E487" t="str">
        <f>_xlfn.XLOOKUP(A487, ORIGEM!A:A, ORIGEM!B:B)</f>
        <v>Orgânico</v>
      </c>
      <c r="F487">
        <f>_xlfn.XLOOKUP(A487, ORIGEM!A:A, ORIGEM!C:C)</f>
        <v>0</v>
      </c>
      <c r="G487" t="str">
        <f>_xlfn.XLOOKUP(A487, LOCAL!A:A, LOCAL!B:B)</f>
        <v>Santos - SP</v>
      </c>
      <c r="H487" t="str">
        <f>_xlfn.XLOOKUP(A487, PORTE!A:A, PORTE!B:B)</f>
        <v>11-50</v>
      </c>
      <c r="I487" t="str">
        <f>_xlfn.XLOOKUP(A487, OBJETIVO!A:A, OBJETIVO!B:B)</f>
        <v>Abertura/Expansão</v>
      </c>
      <c r="J487">
        <f t="shared" si="7"/>
        <v>0</v>
      </c>
    </row>
    <row r="488" spans="1:10" x14ac:dyDescent="0.25">
      <c r="A488">
        <v>10848984</v>
      </c>
      <c r="B488" s="1">
        <v>45658.598217592589</v>
      </c>
      <c r="C488" t="s">
        <v>0</v>
      </c>
      <c r="D488" t="str">
        <f>VLOOKUP(A488,MERCADO!A:B,2,0)</f>
        <v>Empreendedor</v>
      </c>
      <c r="E488" t="str">
        <f>_xlfn.XLOOKUP(A488, ORIGEM!A:A, ORIGEM!B:B)</f>
        <v>Orgânico</v>
      </c>
      <c r="F488">
        <f>_xlfn.XLOOKUP(A488, ORIGEM!A:A, ORIGEM!C:C)</f>
        <v>0</v>
      </c>
      <c r="G488" t="str">
        <f>_xlfn.XLOOKUP(A488, LOCAL!A:A, LOCAL!B:B)</f>
        <v>Ribeirão Preto - SP</v>
      </c>
      <c r="H488" t="str">
        <f>_xlfn.XLOOKUP(A488, PORTE!A:A, PORTE!B:B)</f>
        <v>0</v>
      </c>
      <c r="I488" t="str">
        <f>_xlfn.XLOOKUP(A488, OBJETIVO!A:A, OBJETIVO!B:B)</f>
        <v>Abertura/Expansão</v>
      </c>
      <c r="J488">
        <f t="shared" si="7"/>
        <v>0</v>
      </c>
    </row>
    <row r="489" spans="1:10" x14ac:dyDescent="0.25">
      <c r="A489">
        <v>10893550</v>
      </c>
      <c r="B489" s="1">
        <v>45663.830196759256</v>
      </c>
      <c r="C489" t="s">
        <v>0</v>
      </c>
      <c r="D489" t="str">
        <f>VLOOKUP(A489,MERCADO!A:B,2,0)</f>
        <v>Empreendedor</v>
      </c>
      <c r="E489" t="str">
        <f>_xlfn.XLOOKUP(A489, ORIGEM!A:A, ORIGEM!B:B)</f>
        <v>Orgânico</v>
      </c>
      <c r="F489">
        <f>_xlfn.XLOOKUP(A489, ORIGEM!A:A, ORIGEM!C:C)</f>
        <v>0</v>
      </c>
      <c r="G489" t="str">
        <f>_xlfn.XLOOKUP(A489, LOCAL!A:A, LOCAL!B:B)</f>
        <v>Ribeirão Preto - SP</v>
      </c>
      <c r="H489" t="str">
        <f>_xlfn.XLOOKUP(A489, PORTE!A:A, PORTE!B:B)</f>
        <v>0</v>
      </c>
      <c r="I489" t="str">
        <f>_xlfn.XLOOKUP(A489, OBJETIVO!A:A, OBJETIVO!B:B)</f>
        <v>Abertura/Expansão</v>
      </c>
      <c r="J489">
        <f t="shared" si="7"/>
        <v>0</v>
      </c>
    </row>
    <row r="490" spans="1:10" x14ac:dyDescent="0.25">
      <c r="A490">
        <v>10824528</v>
      </c>
      <c r="B490" s="1">
        <v>45654.640520833331</v>
      </c>
      <c r="C490" t="s">
        <v>0</v>
      </c>
      <c r="D490" t="str">
        <f>VLOOKUP(A490,MERCADO!A:B,2,0)</f>
        <v>Servicos</v>
      </c>
      <c r="E490" t="str">
        <f>_xlfn.XLOOKUP(A490, ORIGEM!A:A, ORIGEM!B:B)</f>
        <v>Orgânico</v>
      </c>
      <c r="F490">
        <f>_xlfn.XLOOKUP(A490, ORIGEM!A:A, ORIGEM!C:C)</f>
        <v>0</v>
      </c>
      <c r="G490" t="str">
        <f>_xlfn.XLOOKUP(A490, LOCAL!A:A, LOCAL!B:B)</f>
        <v>Rio Preto - SP</v>
      </c>
      <c r="H490" t="str">
        <f>_xlfn.XLOOKUP(A490, PORTE!A:A, PORTE!B:B)</f>
        <v>1-10</v>
      </c>
      <c r="I490" t="str">
        <f>_xlfn.XLOOKUP(A490, OBJETIVO!A:A, OBJETIVO!B:B)</f>
        <v>Abertura/Expansão</v>
      </c>
      <c r="J490">
        <f t="shared" si="7"/>
        <v>0</v>
      </c>
    </row>
    <row r="491" spans="1:10" x14ac:dyDescent="0.25">
      <c r="A491">
        <v>11593009</v>
      </c>
      <c r="B491" s="1">
        <v>45725.960590277777</v>
      </c>
      <c r="C491" t="s">
        <v>0</v>
      </c>
      <c r="D491" t="str">
        <f>VLOOKUP(A491,MERCADO!A:B,2,0)</f>
        <v>Imobiliaria/Incorporadora/Construtora</v>
      </c>
      <c r="E491" t="str">
        <f>_xlfn.XLOOKUP(A491, ORIGEM!A:A, ORIGEM!B:B)</f>
        <v>Instagram</v>
      </c>
      <c r="F491" t="str">
        <f>_xlfn.XLOOKUP(A491, ORIGEM!A:A, ORIGEM!C:C)</f>
        <v>instagram - social</v>
      </c>
      <c r="G491" t="str">
        <f>_xlfn.XLOOKUP(A491, LOCAL!A:A, LOCAL!B:B)</f>
        <v>Ribeirão Preto - SP</v>
      </c>
      <c r="H491" t="str">
        <f>_xlfn.XLOOKUP(A491, PORTE!A:A, PORTE!B:B)</f>
        <v>1-10</v>
      </c>
      <c r="I491" t="str">
        <f>_xlfn.XLOOKUP(A491, OBJETIVO!A:A, OBJETIVO!B:B)</f>
        <v>Outro</v>
      </c>
      <c r="J491">
        <f t="shared" si="7"/>
        <v>0</v>
      </c>
    </row>
    <row r="492" spans="1:10" x14ac:dyDescent="0.25">
      <c r="A492">
        <v>10623079</v>
      </c>
      <c r="B492" s="1">
        <v>45632.416354166664</v>
      </c>
      <c r="C492" t="s">
        <v>0</v>
      </c>
      <c r="D492" t="str">
        <f>VLOOKUP(A492,MERCADO!A:B,2,0)</f>
        <v>Varejo</v>
      </c>
      <c r="E492" t="str">
        <f>_xlfn.XLOOKUP(A492, ORIGEM!A:A, ORIGEM!B:B)</f>
        <v>Google</v>
      </c>
      <c r="F492" t="str">
        <f>_xlfn.XLOOKUP(A492, ORIGEM!A:A, ORIGEM!C:C)</f>
        <v>google - cpc</v>
      </c>
      <c r="G492" t="str">
        <f>_xlfn.XLOOKUP(A492, LOCAL!A:A, LOCAL!B:B)</f>
        <v>Olimpia - SP</v>
      </c>
      <c r="H492" t="str">
        <f>_xlfn.XLOOKUP(A492, PORTE!A:A, PORTE!B:B)</f>
        <v>11-50</v>
      </c>
      <c r="I492" t="str">
        <f>_xlfn.XLOOKUP(A492, OBJETIVO!A:A, OBJETIVO!B:B)</f>
        <v>Ações de marketing/vendas</v>
      </c>
      <c r="J492">
        <f t="shared" si="7"/>
        <v>0</v>
      </c>
    </row>
    <row r="493" spans="1:10" x14ac:dyDescent="0.25">
      <c r="A493">
        <v>10595345</v>
      </c>
      <c r="B493" s="1">
        <v>45628.914236111108</v>
      </c>
      <c r="C493" t="s">
        <v>0</v>
      </c>
      <c r="D493" t="str">
        <f>VLOOKUP(A493,MERCADO!A:B,2,0)</f>
        <v>Empreendedor</v>
      </c>
      <c r="E493" t="str">
        <f>_xlfn.XLOOKUP(A493, ORIGEM!A:A, ORIGEM!B:B)</f>
        <v>Google</v>
      </c>
      <c r="F493" t="str">
        <f>_xlfn.XLOOKUP(A493, ORIGEM!A:A, ORIGEM!C:C)</f>
        <v>google - cpc</v>
      </c>
      <c r="G493" t="str">
        <f>_xlfn.XLOOKUP(A493, LOCAL!A:A, LOCAL!B:B)</f>
        <v>São Paulo - SP</v>
      </c>
      <c r="H493" t="str">
        <f>_xlfn.XLOOKUP(A493, PORTE!A:A, PORTE!B:B)</f>
        <v>1-10</v>
      </c>
      <c r="I493" t="str">
        <f>_xlfn.XLOOKUP(A493, OBJETIVO!A:A, OBJETIVO!B:B)</f>
        <v>Geração de leads b2b</v>
      </c>
      <c r="J493">
        <f t="shared" si="7"/>
        <v>0</v>
      </c>
    </row>
    <row r="494" spans="1:10" x14ac:dyDescent="0.25">
      <c r="A494">
        <v>11847311</v>
      </c>
      <c r="B494" s="1">
        <v>45748.646562499998</v>
      </c>
      <c r="C494" t="s">
        <v>0</v>
      </c>
      <c r="D494" t="str">
        <f>VLOOKUP(A494,MERCADO!A:B,2,0)</f>
        <v>Franqueadora</v>
      </c>
      <c r="E494" t="str">
        <f>_xlfn.XLOOKUP(A494, ORIGEM!A:A, ORIGEM!B:B)</f>
        <v>Google</v>
      </c>
      <c r="F494" t="str">
        <f>_xlfn.XLOOKUP(A494, ORIGEM!A:A, ORIGEM!C:C)</f>
        <v>google - cpc</v>
      </c>
      <c r="G494" t="str">
        <f>_xlfn.XLOOKUP(A494, LOCAL!A:A, LOCAL!B:B)</f>
        <v>Lencois Paulista - SP</v>
      </c>
      <c r="H494" t="str">
        <f>_xlfn.XLOOKUP(A494, PORTE!A:A, PORTE!B:B)</f>
        <v>1-10</v>
      </c>
      <c r="I494" t="str">
        <f>_xlfn.XLOOKUP(A494, OBJETIVO!A:A, OBJETIVO!B:B)</f>
        <v>Abertura/Expansão</v>
      </c>
      <c r="J494">
        <f t="shared" si="7"/>
        <v>0</v>
      </c>
    </row>
    <row r="495" spans="1:10" x14ac:dyDescent="0.25">
      <c r="A495">
        <v>10583012</v>
      </c>
      <c r="B495" s="1">
        <v>45627.854988425926</v>
      </c>
      <c r="C495" t="s">
        <v>0</v>
      </c>
      <c r="D495">
        <f>VLOOKUP(A495,MERCADO!A:B,2,0)</f>
        <v>0</v>
      </c>
      <c r="E495" t="str">
        <f>_xlfn.XLOOKUP(A495, ORIGEM!A:A, ORIGEM!B:B)</f>
        <v>Google</v>
      </c>
      <c r="F495" t="str">
        <f>_xlfn.XLOOKUP(A495, ORIGEM!A:A, ORIGEM!C:C)</f>
        <v>google - cpc</v>
      </c>
      <c r="G495" t="str">
        <f>_xlfn.XLOOKUP(A495, LOCAL!A:A, LOCAL!B:B)</f>
        <v>Caragua - SP</v>
      </c>
      <c r="H495" t="str">
        <f>_xlfn.XLOOKUP(A495, PORTE!A:A, PORTE!B:B)</f>
        <v>1-10</v>
      </c>
      <c r="I495" t="str">
        <f>_xlfn.XLOOKUP(A495, OBJETIVO!A:A, OBJETIVO!B:B)</f>
        <v>Abertura/Expansão</v>
      </c>
      <c r="J495">
        <f t="shared" si="7"/>
        <v>0</v>
      </c>
    </row>
    <row r="496" spans="1:10" x14ac:dyDescent="0.25">
      <c r="A496">
        <v>11402457</v>
      </c>
      <c r="B496" s="1">
        <v>45707.616215277776</v>
      </c>
      <c r="C496" t="s">
        <v>0</v>
      </c>
      <c r="D496" t="str">
        <f>VLOOKUP(A496,MERCADO!A:B,2,0)</f>
        <v>Industria</v>
      </c>
      <c r="E496" t="str">
        <f>_xlfn.XLOOKUP(A496, ORIGEM!A:A, ORIGEM!B:B)</f>
        <v>Orgânico</v>
      </c>
      <c r="F496">
        <f>_xlfn.XLOOKUP(A496, ORIGEM!A:A, ORIGEM!C:C)</f>
        <v>0</v>
      </c>
      <c r="G496" t="str">
        <f>_xlfn.XLOOKUP(A496, LOCAL!A:A, LOCAL!B:B)</f>
        <v>São Paulo - SP</v>
      </c>
      <c r="H496" t="str">
        <f>_xlfn.XLOOKUP(A496, PORTE!A:A, PORTE!B:B)</f>
        <v>1-10</v>
      </c>
      <c r="I496" t="str">
        <f>_xlfn.XLOOKUP(A496, OBJETIVO!A:A, OBJETIVO!B:B)</f>
        <v>Outro</v>
      </c>
      <c r="J496">
        <f t="shared" si="7"/>
        <v>0</v>
      </c>
    </row>
    <row r="497" spans="1:10" x14ac:dyDescent="0.25">
      <c r="A497">
        <v>11561180</v>
      </c>
      <c r="B497" s="1">
        <v>45723.609236111108</v>
      </c>
      <c r="C497" t="s">
        <v>0</v>
      </c>
      <c r="D497" t="str">
        <f>VLOOKUP(A497,MERCADO!A:B,2,0)</f>
        <v>Marketing/Publicidade/Consultoria</v>
      </c>
      <c r="E497" t="str">
        <f>_xlfn.XLOOKUP(A497, ORIGEM!A:A, ORIGEM!B:B)</f>
        <v>Facebook</v>
      </c>
      <c r="F497" t="str">
        <f>_xlfn.XLOOKUP(A497, ORIGEM!A:A, ORIGEM!C:C)</f>
        <v>facebook - cpc</v>
      </c>
      <c r="G497" t="str">
        <f>_xlfn.XLOOKUP(A497, LOCAL!A:A, LOCAL!B:B)</f>
        <v>Ourinhos - SP</v>
      </c>
      <c r="H497" t="str">
        <f>_xlfn.XLOOKUP(A497, PORTE!A:A, PORTE!B:B)</f>
        <v>0</v>
      </c>
      <c r="I497" t="str">
        <f>_xlfn.XLOOKUP(A497, OBJETIVO!A:A, OBJETIVO!B:B)</f>
        <v>Abertura/Expansão</v>
      </c>
      <c r="J497">
        <f t="shared" si="7"/>
        <v>0</v>
      </c>
    </row>
    <row r="498" spans="1:10" x14ac:dyDescent="0.25">
      <c r="A498">
        <v>10827980</v>
      </c>
      <c r="B498" s="1">
        <v>45654.977442129632</v>
      </c>
      <c r="C498" t="s">
        <v>0</v>
      </c>
      <c r="D498" t="str">
        <f>VLOOKUP(A498,MERCADO!A:B,2,0)</f>
        <v>Varejo</v>
      </c>
      <c r="E498" t="str">
        <f>_xlfn.XLOOKUP(A498, ORIGEM!A:A, ORIGEM!B:B)</f>
        <v>Google</v>
      </c>
      <c r="F498" t="str">
        <f>_xlfn.XLOOKUP(A498, ORIGEM!A:A, ORIGEM!C:C)</f>
        <v>google - cpc</v>
      </c>
      <c r="G498" t="str">
        <f>_xlfn.XLOOKUP(A498, LOCAL!A:A, LOCAL!B:B)</f>
        <v>Borborema - SP</v>
      </c>
      <c r="H498" t="str">
        <f>_xlfn.XLOOKUP(A498, PORTE!A:A, PORTE!B:B)</f>
        <v>51-300</v>
      </c>
      <c r="I498" t="str">
        <f>_xlfn.XLOOKUP(A498, OBJETIVO!A:A, OBJETIVO!B:B)</f>
        <v>Geração de leads b2b</v>
      </c>
      <c r="J498">
        <f t="shared" si="7"/>
        <v>0</v>
      </c>
    </row>
    <row r="499" spans="1:10" x14ac:dyDescent="0.25">
      <c r="A499">
        <v>11348270</v>
      </c>
      <c r="B499" s="1">
        <v>45702.972245370373</v>
      </c>
      <c r="C499" t="s">
        <v>0</v>
      </c>
      <c r="D499" t="str">
        <f>VLOOKUP(A499,MERCADO!A:B,2,0)</f>
        <v>Servicos</v>
      </c>
      <c r="E499" t="str">
        <f>_xlfn.XLOOKUP(A499, ORIGEM!A:A, ORIGEM!B:B)</f>
        <v>Google</v>
      </c>
      <c r="F499" t="str">
        <f>_xlfn.XLOOKUP(A499, ORIGEM!A:A, ORIGEM!C:C)</f>
        <v>google - cpc</v>
      </c>
      <c r="G499" t="str">
        <f>_xlfn.XLOOKUP(A499, LOCAL!A:A, LOCAL!B:B)</f>
        <v>Marília - SP</v>
      </c>
      <c r="H499" t="str">
        <f>_xlfn.XLOOKUP(A499, PORTE!A:A, PORTE!B:B)</f>
        <v>0</v>
      </c>
      <c r="I499" t="str">
        <f>_xlfn.XLOOKUP(A499, OBJETIVO!A:A, OBJETIVO!B:B)</f>
        <v>Abertura/Expansão</v>
      </c>
      <c r="J499">
        <f t="shared" si="7"/>
        <v>0</v>
      </c>
    </row>
    <row r="500" spans="1:10" x14ac:dyDescent="0.25">
      <c r="A500">
        <v>10940809</v>
      </c>
      <c r="B500" s="1">
        <v>45669.406493055554</v>
      </c>
      <c r="C500" t="s">
        <v>0</v>
      </c>
      <c r="D500" t="str">
        <f>VLOOKUP(A500,MERCADO!A:B,2,0)</f>
        <v>Tecnologia</v>
      </c>
      <c r="E500" t="str">
        <f>_xlfn.XLOOKUP(A500, ORIGEM!A:A, ORIGEM!B:B)</f>
        <v>Orgânico</v>
      </c>
      <c r="F500">
        <f>_xlfn.XLOOKUP(A500, ORIGEM!A:A, ORIGEM!C:C)</f>
        <v>0</v>
      </c>
      <c r="G500" t="str">
        <f>_xlfn.XLOOKUP(A500, LOCAL!A:A, LOCAL!B:B)</f>
        <v>Ferraz de Vasconcelos - SP</v>
      </c>
      <c r="H500" t="str">
        <f>_xlfn.XLOOKUP(A500, PORTE!A:A, PORTE!B:B)</f>
        <v>51-300</v>
      </c>
      <c r="I500" t="str">
        <f>_xlfn.XLOOKUP(A500, OBJETIVO!A:A, OBJETIVO!B:B)</f>
        <v>Abertura/Expansão</v>
      </c>
      <c r="J500">
        <f t="shared" si="7"/>
        <v>0</v>
      </c>
    </row>
    <row r="501" spans="1:10" x14ac:dyDescent="0.25">
      <c r="A501">
        <v>11193291</v>
      </c>
      <c r="B501" s="1">
        <v>45686.850358796299</v>
      </c>
      <c r="C501" t="s">
        <v>0</v>
      </c>
      <c r="D501" t="str">
        <f>VLOOKUP(A501,MERCADO!A:B,2,0)</f>
        <v>Industria</v>
      </c>
      <c r="E501" t="str">
        <f>_xlfn.XLOOKUP(A501, ORIGEM!A:A, ORIGEM!B:B)</f>
        <v>Bing</v>
      </c>
      <c r="F501" t="str">
        <f>_xlfn.XLOOKUP(A501, ORIGEM!A:A, ORIGEM!C:C)</f>
        <v>bing - cpc</v>
      </c>
      <c r="G501" t="str">
        <f>_xlfn.XLOOKUP(A501, LOCAL!A:A, LOCAL!B:B)</f>
        <v>Piracicaba - SP</v>
      </c>
      <c r="H501" t="str">
        <f>_xlfn.XLOOKUP(A501, PORTE!A:A, PORTE!B:B)</f>
        <v>11-50</v>
      </c>
      <c r="I501" t="str">
        <f>_xlfn.XLOOKUP(A501, OBJETIVO!A:A, OBJETIVO!B:B)</f>
        <v>Abertura/Expansão</v>
      </c>
      <c r="J501">
        <f t="shared" si="7"/>
        <v>0</v>
      </c>
    </row>
    <row r="502" spans="1:10" x14ac:dyDescent="0.25">
      <c r="A502">
        <v>11668093</v>
      </c>
      <c r="B502" s="1">
        <v>45733.433032407411</v>
      </c>
      <c r="C502" t="s">
        <v>0</v>
      </c>
      <c r="D502" t="str">
        <f>VLOOKUP(A502,MERCADO!A:B,2,0)</f>
        <v>Industria</v>
      </c>
      <c r="E502" t="str">
        <f>_xlfn.XLOOKUP(A502, ORIGEM!A:A, ORIGEM!B:B)</f>
        <v>Google</v>
      </c>
      <c r="F502" t="str">
        <f>_xlfn.XLOOKUP(A502, ORIGEM!A:A, ORIGEM!C:C)</f>
        <v>google - cpc</v>
      </c>
      <c r="G502" t="str">
        <f>_xlfn.XLOOKUP(A502, LOCAL!A:A, LOCAL!B:B)</f>
        <v>São Paulo - SP</v>
      </c>
      <c r="H502" t="str">
        <f>_xlfn.XLOOKUP(A502, PORTE!A:A, PORTE!B:B)</f>
        <v>11-50</v>
      </c>
      <c r="I502" t="str">
        <f>_xlfn.XLOOKUP(A502, OBJETIVO!A:A, OBJETIVO!B:B)</f>
        <v>Consultoria</v>
      </c>
      <c r="J502">
        <f t="shared" si="7"/>
        <v>0</v>
      </c>
    </row>
    <row r="503" spans="1:10" x14ac:dyDescent="0.25">
      <c r="A503">
        <v>10658821</v>
      </c>
      <c r="B503" s="1">
        <v>45635.381481481483</v>
      </c>
      <c r="C503" t="s">
        <v>0</v>
      </c>
      <c r="D503" t="str">
        <f>VLOOKUP(A503,MERCADO!A:B,2,0)</f>
        <v>Empreendedor</v>
      </c>
      <c r="E503" t="str">
        <f>_xlfn.XLOOKUP(A503, ORIGEM!A:A, ORIGEM!B:B)</f>
        <v>Orgânico</v>
      </c>
      <c r="F503">
        <f>_xlfn.XLOOKUP(A503, ORIGEM!A:A, ORIGEM!C:C)</f>
        <v>0</v>
      </c>
      <c r="G503" t="str">
        <f>_xlfn.XLOOKUP(A503, LOCAL!A:A, LOCAL!B:B)</f>
        <v>Sorocaba - SP</v>
      </c>
      <c r="H503" t="str">
        <f>_xlfn.XLOOKUP(A503, PORTE!A:A, PORTE!B:B)</f>
        <v>0</v>
      </c>
      <c r="I503" t="str">
        <f>_xlfn.XLOOKUP(A503, OBJETIVO!A:A, OBJETIVO!B:B)</f>
        <v>Consultoria</v>
      </c>
      <c r="J503">
        <f t="shared" si="7"/>
        <v>0</v>
      </c>
    </row>
    <row r="504" spans="1:10" x14ac:dyDescent="0.25">
      <c r="A504">
        <v>11434027</v>
      </c>
      <c r="B504" s="1">
        <v>45711.599120370367</v>
      </c>
      <c r="C504" t="s">
        <v>0</v>
      </c>
      <c r="D504" t="str">
        <f>VLOOKUP(A504,MERCADO!A:B,2,0)</f>
        <v>Industria</v>
      </c>
      <c r="E504" t="str">
        <f>_xlfn.XLOOKUP(A504, ORIGEM!A:A, ORIGEM!B:B)</f>
        <v>Orgânico</v>
      </c>
      <c r="F504">
        <f>_xlfn.XLOOKUP(A504, ORIGEM!A:A, ORIGEM!C:C)</f>
        <v>0</v>
      </c>
      <c r="G504" t="str">
        <f>_xlfn.XLOOKUP(A504, LOCAL!A:A, LOCAL!B:B)</f>
        <v>Itú, SP</v>
      </c>
      <c r="H504" t="str">
        <f>_xlfn.XLOOKUP(A504, PORTE!A:A, PORTE!B:B)</f>
        <v>301-1000</v>
      </c>
      <c r="I504" t="str">
        <f>_xlfn.XLOOKUP(A504, OBJETIVO!A:A, OBJETIVO!B:B)</f>
        <v>Planejamento estratégico</v>
      </c>
      <c r="J504">
        <f t="shared" si="7"/>
        <v>0</v>
      </c>
    </row>
    <row r="505" spans="1:10" x14ac:dyDescent="0.25">
      <c r="A505">
        <v>10795841</v>
      </c>
      <c r="B505" s="1">
        <v>45648.404594907406</v>
      </c>
      <c r="C505" t="s">
        <v>0</v>
      </c>
      <c r="D505" t="str">
        <f>VLOOKUP(A505,MERCADO!A:B,2,0)</f>
        <v>Franqueadora</v>
      </c>
      <c r="E505" t="str">
        <f>_xlfn.XLOOKUP(A505, ORIGEM!A:A, ORIGEM!B:B)</f>
        <v>Google</v>
      </c>
      <c r="F505" t="str">
        <f>_xlfn.XLOOKUP(A505, ORIGEM!A:A, ORIGEM!C:C)</f>
        <v>google - cpc</v>
      </c>
      <c r="G505" t="str">
        <f>_xlfn.XLOOKUP(A505, LOCAL!A:A, LOCAL!B:B)</f>
        <v>Poços de Caldas - MG</v>
      </c>
      <c r="H505" t="str">
        <f>_xlfn.XLOOKUP(A505, PORTE!A:A, PORTE!B:B)</f>
        <v>11-50</v>
      </c>
      <c r="I505" t="str">
        <f>_xlfn.XLOOKUP(A505, OBJETIVO!A:A, OBJETIVO!B:B)</f>
        <v>Geração de leads b2b</v>
      </c>
      <c r="J505">
        <f t="shared" si="7"/>
        <v>0</v>
      </c>
    </row>
    <row r="506" spans="1:10" x14ac:dyDescent="0.25">
      <c r="A506">
        <v>11831921</v>
      </c>
      <c r="B506" s="1">
        <v>45747.499699074076</v>
      </c>
      <c r="C506" t="s">
        <v>0</v>
      </c>
      <c r="D506" t="str">
        <f>VLOOKUP(A506,MERCADO!A:B,2,0)</f>
        <v>Industria</v>
      </c>
      <c r="E506" t="str">
        <f>_xlfn.XLOOKUP(A506, ORIGEM!A:A, ORIGEM!B:B)</f>
        <v>Google</v>
      </c>
      <c r="F506" t="str">
        <f>_xlfn.XLOOKUP(A506, ORIGEM!A:A, ORIGEM!C:C)</f>
        <v>google - cpc</v>
      </c>
      <c r="G506" t="str">
        <f>_xlfn.XLOOKUP(A506, LOCAL!A:A, LOCAL!B:B)</f>
        <v>São Paulo - SP</v>
      </c>
      <c r="H506" t="str">
        <f>_xlfn.XLOOKUP(A506, PORTE!A:A, PORTE!B:B)</f>
        <v>1-10</v>
      </c>
      <c r="I506" t="str">
        <f>_xlfn.XLOOKUP(A506, OBJETIVO!A:A, OBJETIVO!B:B)</f>
        <v>Outro</v>
      </c>
      <c r="J506">
        <f t="shared" si="7"/>
        <v>0</v>
      </c>
    </row>
    <row r="507" spans="1:10" x14ac:dyDescent="0.25">
      <c r="A507">
        <v>11425056</v>
      </c>
      <c r="B507" s="1">
        <v>45710.760231481479</v>
      </c>
      <c r="C507" t="s">
        <v>0</v>
      </c>
      <c r="D507" t="str">
        <f>VLOOKUP(A507,MERCADO!A:B,2,0)</f>
        <v>Servicos</v>
      </c>
      <c r="E507" t="str">
        <f>_xlfn.XLOOKUP(A507, ORIGEM!A:A, ORIGEM!B:B)</f>
        <v>Google</v>
      </c>
      <c r="F507" t="str">
        <f>_xlfn.XLOOKUP(A507, ORIGEM!A:A, ORIGEM!C:C)</f>
        <v>google - cpc</v>
      </c>
      <c r="G507" t="str">
        <f>_xlfn.XLOOKUP(A507, LOCAL!A:A, LOCAL!B:B)</f>
        <v>Itai - SP</v>
      </c>
      <c r="H507" t="str">
        <f>_xlfn.XLOOKUP(A507, PORTE!A:A, PORTE!B:B)</f>
        <v>1-10</v>
      </c>
      <c r="I507" t="str">
        <f>_xlfn.XLOOKUP(A507, OBJETIVO!A:A, OBJETIVO!B:B)</f>
        <v>Consultoria</v>
      </c>
      <c r="J507">
        <f t="shared" si="7"/>
        <v>0</v>
      </c>
    </row>
    <row r="508" spans="1:10" x14ac:dyDescent="0.25">
      <c r="A508">
        <v>11416829</v>
      </c>
      <c r="B508" s="1">
        <v>45710.46334490741</v>
      </c>
      <c r="C508" t="s">
        <v>0</v>
      </c>
      <c r="D508" t="str">
        <f>VLOOKUP(A508,MERCADO!A:B,2,0)</f>
        <v>Imobiliaria/Incorporadora/Construtora</v>
      </c>
      <c r="E508" t="str">
        <f>_xlfn.XLOOKUP(A508, ORIGEM!A:A, ORIGEM!B:B)</f>
        <v>Leads</v>
      </c>
      <c r="F508" t="str">
        <f>_xlfn.XLOOKUP(A508, ORIGEM!A:A, ORIGEM!C:C)</f>
        <v>leads - email</v>
      </c>
      <c r="G508" t="str">
        <f>_xlfn.XLOOKUP(A508, LOCAL!A:A, LOCAL!B:B)</f>
        <v>Mongagua - SP</v>
      </c>
      <c r="H508" t="str">
        <f>_xlfn.XLOOKUP(A508, PORTE!A:A, PORTE!B:B)</f>
        <v>0</v>
      </c>
      <c r="I508" t="str">
        <f>_xlfn.XLOOKUP(A508, OBJETIVO!A:A, OBJETIVO!B:B)</f>
        <v>Outro</v>
      </c>
      <c r="J508">
        <f t="shared" si="7"/>
        <v>0</v>
      </c>
    </row>
    <row r="509" spans="1:10" x14ac:dyDescent="0.25">
      <c r="A509">
        <v>10730410</v>
      </c>
      <c r="B509" s="1">
        <v>45641.567141203705</v>
      </c>
      <c r="C509" t="s">
        <v>0</v>
      </c>
      <c r="D509" t="str">
        <f>VLOOKUP(A509,MERCADO!A:B,2,0)</f>
        <v>Industria</v>
      </c>
      <c r="E509" t="str">
        <f>_xlfn.XLOOKUP(A509, ORIGEM!A:A, ORIGEM!B:B)</f>
        <v>Bing</v>
      </c>
      <c r="F509" t="str">
        <f>_xlfn.XLOOKUP(A509, ORIGEM!A:A, ORIGEM!C:C)</f>
        <v>bing - cpc</v>
      </c>
      <c r="G509" t="str">
        <f>_xlfn.XLOOKUP(A509, LOCAL!A:A, LOCAL!B:B)</f>
        <v>São Paulo - SP</v>
      </c>
      <c r="H509" t="str">
        <f>_xlfn.XLOOKUP(A509, PORTE!A:A, PORTE!B:B)</f>
        <v>51-300</v>
      </c>
      <c r="I509" t="str">
        <f>_xlfn.XLOOKUP(A509, OBJETIVO!A:A, OBJETIVO!B:B)</f>
        <v>Planejamento estratégico</v>
      </c>
      <c r="J509">
        <f t="shared" si="7"/>
        <v>0</v>
      </c>
    </row>
    <row r="510" spans="1:10" x14ac:dyDescent="0.25">
      <c r="A510">
        <v>11252877</v>
      </c>
      <c r="B510" s="1">
        <v>45692.728935185187</v>
      </c>
      <c r="C510" t="s">
        <v>0</v>
      </c>
      <c r="D510" t="str">
        <f>VLOOKUP(A510,MERCADO!A:B,2,0)</f>
        <v>Imobiliaria/Incorporadora/Construtora</v>
      </c>
      <c r="E510" t="str">
        <f>_xlfn.XLOOKUP(A510, ORIGEM!A:A, ORIGEM!B:B)</f>
        <v>Orgânico</v>
      </c>
      <c r="F510">
        <f>_xlfn.XLOOKUP(A510, ORIGEM!A:A, ORIGEM!C:C)</f>
        <v>0</v>
      </c>
      <c r="G510" t="str">
        <f>_xlfn.XLOOKUP(A510, LOCAL!A:A, LOCAL!B:B)</f>
        <v>-</v>
      </c>
      <c r="H510" t="str">
        <f>_xlfn.XLOOKUP(A510, PORTE!A:A, PORTE!B:B)</f>
        <v>1-10</v>
      </c>
      <c r="I510">
        <f>_xlfn.XLOOKUP(A510, OBJETIVO!A:A, OBJETIVO!B:B)</f>
        <v>0</v>
      </c>
      <c r="J510">
        <f t="shared" si="7"/>
        <v>0</v>
      </c>
    </row>
    <row r="511" spans="1:10" x14ac:dyDescent="0.25">
      <c r="A511">
        <v>11879790</v>
      </c>
      <c r="B511" s="1">
        <v>45753.484386574077</v>
      </c>
      <c r="C511" t="s">
        <v>0</v>
      </c>
      <c r="D511" t="str">
        <f>VLOOKUP(A511,MERCADO!A:B,2,0)</f>
        <v>Marketing/Publicidade/Consultoria</v>
      </c>
      <c r="E511" t="str">
        <f>_xlfn.XLOOKUP(A511, ORIGEM!A:A, ORIGEM!B:B)</f>
        <v>Google</v>
      </c>
      <c r="F511" t="str">
        <f>_xlfn.XLOOKUP(A511, ORIGEM!A:A, ORIGEM!C:C)</f>
        <v>google - cpc</v>
      </c>
      <c r="G511" t="str">
        <f>_xlfn.XLOOKUP(A511, LOCAL!A:A, LOCAL!B:B)</f>
        <v>São Paulo - SP</v>
      </c>
      <c r="H511" t="str">
        <f>_xlfn.XLOOKUP(A511, PORTE!A:A, PORTE!B:B)</f>
        <v>0</v>
      </c>
      <c r="I511" t="str">
        <f>_xlfn.XLOOKUP(A511, OBJETIVO!A:A, OBJETIVO!B:B)</f>
        <v>Abertura/Expansão</v>
      </c>
      <c r="J511">
        <f t="shared" si="7"/>
        <v>0</v>
      </c>
    </row>
    <row r="512" spans="1:10" x14ac:dyDescent="0.25">
      <c r="A512">
        <v>11702139</v>
      </c>
      <c r="B512" s="1">
        <v>45735.677442129629</v>
      </c>
      <c r="C512" t="s">
        <v>0</v>
      </c>
      <c r="D512" t="str">
        <f>VLOOKUP(A512,MERCADO!A:B,2,0)</f>
        <v>Servicos</v>
      </c>
      <c r="E512" t="str">
        <f>_xlfn.XLOOKUP(A512, ORIGEM!A:A, ORIGEM!B:B)</f>
        <v>Google</v>
      </c>
      <c r="F512" t="str">
        <f>_xlfn.XLOOKUP(A512, ORIGEM!A:A, ORIGEM!C:C)</f>
        <v>google - cpc</v>
      </c>
      <c r="G512" t="str">
        <f>_xlfn.XLOOKUP(A512, LOCAL!A:A, LOCAL!B:B)</f>
        <v>Itatiba - SP</v>
      </c>
      <c r="H512" t="str">
        <f>_xlfn.XLOOKUP(A512, PORTE!A:A, PORTE!B:B)</f>
        <v>1-10</v>
      </c>
      <c r="I512" t="str">
        <f>_xlfn.XLOOKUP(A512, OBJETIVO!A:A, OBJETIVO!B:B)</f>
        <v>Planejamento estratégico</v>
      </c>
      <c r="J512">
        <f t="shared" si="7"/>
        <v>0</v>
      </c>
    </row>
    <row r="513" spans="1:10" x14ac:dyDescent="0.25">
      <c r="A513">
        <v>11271339</v>
      </c>
      <c r="B513" s="1">
        <v>45695.455937500003</v>
      </c>
      <c r="C513" t="s">
        <v>0</v>
      </c>
      <c r="D513" t="str">
        <f>VLOOKUP(A513,MERCADO!A:B,2,0)</f>
        <v>Servicos</v>
      </c>
      <c r="E513" t="str">
        <f>_xlfn.XLOOKUP(A513, ORIGEM!A:A, ORIGEM!B:B)</f>
        <v>Orgânico</v>
      </c>
      <c r="F513">
        <f>_xlfn.XLOOKUP(A513, ORIGEM!A:A, ORIGEM!C:C)</f>
        <v>0</v>
      </c>
      <c r="G513" t="str">
        <f>_xlfn.XLOOKUP(A513, LOCAL!A:A, LOCAL!B:B)</f>
        <v>Itatiba - SP</v>
      </c>
      <c r="H513" t="str">
        <f>_xlfn.XLOOKUP(A513, PORTE!A:A, PORTE!B:B)</f>
        <v>0</v>
      </c>
      <c r="I513" t="str">
        <f>_xlfn.XLOOKUP(A513, OBJETIVO!A:A, OBJETIVO!B:B)</f>
        <v>Abertura/Expansão</v>
      </c>
      <c r="J513">
        <f t="shared" si="7"/>
        <v>0</v>
      </c>
    </row>
    <row r="514" spans="1:10" x14ac:dyDescent="0.25">
      <c r="A514">
        <v>10861677</v>
      </c>
      <c r="B514" s="1">
        <v>45661.58666666667</v>
      </c>
      <c r="C514" t="s">
        <v>0</v>
      </c>
      <c r="D514" t="str">
        <f>VLOOKUP(A514,MERCADO!A:B,2,0)</f>
        <v>Servicos</v>
      </c>
      <c r="E514" t="str">
        <f>_xlfn.XLOOKUP(A514, ORIGEM!A:A, ORIGEM!B:B)</f>
        <v>Google</v>
      </c>
      <c r="F514" t="str">
        <f>_xlfn.XLOOKUP(A514, ORIGEM!A:A, ORIGEM!C:C)</f>
        <v>google - cpc</v>
      </c>
      <c r="G514" t="str">
        <f>_xlfn.XLOOKUP(A514, LOCAL!A:A, LOCAL!B:B)</f>
        <v>São Paulo - SP</v>
      </c>
      <c r="H514" t="str">
        <f>_xlfn.XLOOKUP(A514, PORTE!A:A, PORTE!B:B)</f>
        <v>11-50</v>
      </c>
      <c r="I514" t="str">
        <f>_xlfn.XLOOKUP(A514, OBJETIVO!A:A, OBJETIVO!B:B)</f>
        <v>Geração de leads b2b</v>
      </c>
      <c r="J514">
        <f t="shared" si="7"/>
        <v>0</v>
      </c>
    </row>
    <row r="515" spans="1:10" x14ac:dyDescent="0.25">
      <c r="A515">
        <v>11027461</v>
      </c>
      <c r="B515" s="1">
        <v>45675.740208333336</v>
      </c>
      <c r="C515" t="s">
        <v>0</v>
      </c>
      <c r="D515" t="str">
        <f>VLOOKUP(A515,MERCADO!A:B,2,0)</f>
        <v>Empreendedor</v>
      </c>
      <c r="E515" t="str">
        <f>_xlfn.XLOOKUP(A515, ORIGEM!A:A, ORIGEM!B:B)</f>
        <v>Orgânico</v>
      </c>
      <c r="F515">
        <f>_xlfn.XLOOKUP(A515, ORIGEM!A:A, ORIGEM!C:C)</f>
        <v>0</v>
      </c>
      <c r="G515" t="str">
        <f>_xlfn.XLOOKUP(A515, LOCAL!A:A, LOCAL!B:B)</f>
        <v>Florianópolis - SC</v>
      </c>
      <c r="H515" t="str">
        <f>_xlfn.XLOOKUP(A515, PORTE!A:A, PORTE!B:B)</f>
        <v>11-50</v>
      </c>
      <c r="I515" t="str">
        <f>_xlfn.XLOOKUP(A515, OBJETIVO!A:A, OBJETIVO!B:B)</f>
        <v>Ações de marketing/vendas</v>
      </c>
      <c r="J515">
        <f t="shared" ref="J515:J578" si="8">IF(C515="SIM",1,0)</f>
        <v>0</v>
      </c>
    </row>
    <row r="516" spans="1:10" x14ac:dyDescent="0.25">
      <c r="A516">
        <v>11197293</v>
      </c>
      <c r="B516" s="1">
        <v>45688.593229166669</v>
      </c>
      <c r="C516" t="s">
        <v>0</v>
      </c>
      <c r="D516" t="str">
        <f>VLOOKUP(A516,MERCADO!A:B,2,0)</f>
        <v>Empreendedor</v>
      </c>
      <c r="E516" t="str">
        <f>_xlfn.XLOOKUP(A516, ORIGEM!A:A, ORIGEM!B:B)</f>
        <v>Orgânico</v>
      </c>
      <c r="F516">
        <f>_xlfn.XLOOKUP(A516, ORIGEM!A:A, ORIGEM!C:C)</f>
        <v>0</v>
      </c>
      <c r="G516" t="str">
        <f>_xlfn.XLOOKUP(A516, LOCAL!A:A, LOCAL!B:B)</f>
        <v>Florianópolis - SC</v>
      </c>
      <c r="H516" t="str">
        <f>_xlfn.XLOOKUP(A516, PORTE!A:A, PORTE!B:B)</f>
        <v>0</v>
      </c>
      <c r="I516" t="str">
        <f>_xlfn.XLOOKUP(A516, OBJETIVO!A:A, OBJETIVO!B:B)</f>
        <v>Abertura/Expansão</v>
      </c>
      <c r="J516">
        <f t="shared" si="8"/>
        <v>0</v>
      </c>
    </row>
    <row r="517" spans="1:10" x14ac:dyDescent="0.25">
      <c r="A517">
        <v>11723155</v>
      </c>
      <c r="B517" s="1">
        <v>45738.693425925929</v>
      </c>
      <c r="C517" t="s">
        <v>0</v>
      </c>
      <c r="D517" t="str">
        <f>VLOOKUP(A517,MERCADO!A:B,2,0)</f>
        <v>Franqueadora</v>
      </c>
      <c r="E517" t="str">
        <f>_xlfn.XLOOKUP(A517, ORIGEM!A:A, ORIGEM!B:B)</f>
        <v>Google</v>
      </c>
      <c r="F517">
        <f>_xlfn.XLOOKUP(A517, ORIGEM!A:A, ORIGEM!C:C)</f>
        <v>0</v>
      </c>
      <c r="G517" t="str">
        <f>_xlfn.XLOOKUP(A517, LOCAL!A:A, LOCAL!B:B)</f>
        <v>Florianópolis - SC</v>
      </c>
      <c r="H517" t="str">
        <f>_xlfn.XLOOKUP(A517, PORTE!A:A, PORTE!B:B)</f>
        <v>51-300</v>
      </c>
      <c r="I517" t="str">
        <f>_xlfn.XLOOKUP(A517, OBJETIVO!A:A, OBJETIVO!B:B)</f>
        <v>Abertura/Expansão</v>
      </c>
      <c r="J517">
        <f t="shared" si="8"/>
        <v>0</v>
      </c>
    </row>
    <row r="518" spans="1:10" x14ac:dyDescent="0.25">
      <c r="A518">
        <v>11406903</v>
      </c>
      <c r="B518" s="1">
        <v>45708.446319444447</v>
      </c>
      <c r="C518" t="s">
        <v>0</v>
      </c>
      <c r="D518" t="str">
        <f>VLOOKUP(A518,MERCADO!A:B,2,0)</f>
        <v>Imobiliaria/Incorporadora/Construtora</v>
      </c>
      <c r="E518" t="str">
        <f>_xlfn.XLOOKUP(A518, ORIGEM!A:A, ORIGEM!B:B)</f>
        <v>Facebook</v>
      </c>
      <c r="F518" t="str">
        <f>_xlfn.XLOOKUP(A518, ORIGEM!A:A, ORIGEM!C:C)</f>
        <v>facebook - cpc</v>
      </c>
      <c r="G518" t="str">
        <f>_xlfn.XLOOKUP(A518, LOCAL!A:A, LOCAL!B:B)</f>
        <v>Corrego Grande - SC</v>
      </c>
      <c r="H518" t="str">
        <f>_xlfn.XLOOKUP(A518, PORTE!A:A, PORTE!B:B)</f>
        <v>1-10</v>
      </c>
      <c r="I518" t="str">
        <f>_xlfn.XLOOKUP(A518, OBJETIVO!A:A, OBJETIVO!B:B)</f>
        <v>Ações de marketing/vendas</v>
      </c>
      <c r="J518">
        <f t="shared" si="8"/>
        <v>0</v>
      </c>
    </row>
    <row r="519" spans="1:10" x14ac:dyDescent="0.25">
      <c r="A519">
        <v>10829028</v>
      </c>
      <c r="B519" s="1">
        <v>45655.39508101852</v>
      </c>
      <c r="C519" t="s">
        <v>0</v>
      </c>
      <c r="D519" t="str">
        <f>VLOOKUP(A519,MERCADO!A:B,2,0)</f>
        <v>Servicos</v>
      </c>
      <c r="E519" t="str">
        <f>_xlfn.XLOOKUP(A519, ORIGEM!A:A, ORIGEM!B:B)</f>
        <v>Google</v>
      </c>
      <c r="F519" t="str">
        <f>_xlfn.XLOOKUP(A519, ORIGEM!A:A, ORIGEM!C:C)</f>
        <v>google - cpc</v>
      </c>
      <c r="G519" t="str">
        <f>_xlfn.XLOOKUP(A519, LOCAL!A:A, LOCAL!B:B)</f>
        <v>Aracaju - SE</v>
      </c>
      <c r="H519" t="str">
        <f>_xlfn.XLOOKUP(A519, PORTE!A:A, PORTE!B:B)</f>
        <v>1-10</v>
      </c>
      <c r="I519" t="str">
        <f>_xlfn.XLOOKUP(A519, OBJETIVO!A:A, OBJETIVO!B:B)</f>
        <v>Abertura/Expansão</v>
      </c>
      <c r="J519">
        <f t="shared" si="8"/>
        <v>0</v>
      </c>
    </row>
    <row r="520" spans="1:10" x14ac:dyDescent="0.25">
      <c r="A520">
        <v>11606762</v>
      </c>
      <c r="B520" s="1">
        <v>45726.849918981483</v>
      </c>
      <c r="C520" t="s">
        <v>0</v>
      </c>
      <c r="D520" t="str">
        <f>VLOOKUP(A520,MERCADO!A:B,2,0)</f>
        <v>Servicos</v>
      </c>
      <c r="E520" t="str">
        <f>_xlfn.XLOOKUP(A520, ORIGEM!A:A, ORIGEM!B:B)</f>
        <v>Instagram</v>
      </c>
      <c r="F520" t="str">
        <f>_xlfn.XLOOKUP(A520, ORIGEM!A:A, ORIGEM!C:C)</f>
        <v>instagram - social</v>
      </c>
      <c r="G520" t="str">
        <f>_xlfn.XLOOKUP(A520, LOCAL!A:A, LOCAL!B:B)</f>
        <v>Osasco - SP</v>
      </c>
      <c r="H520" t="str">
        <f>_xlfn.XLOOKUP(A520, PORTE!A:A, PORTE!B:B)</f>
        <v>1-10</v>
      </c>
      <c r="I520" t="str">
        <f>_xlfn.XLOOKUP(A520, OBJETIVO!A:A, OBJETIVO!B:B)</f>
        <v>Geração de leads b2b</v>
      </c>
      <c r="J520">
        <f t="shared" si="8"/>
        <v>0</v>
      </c>
    </row>
    <row r="521" spans="1:10" x14ac:dyDescent="0.25">
      <c r="A521">
        <v>11068661</v>
      </c>
      <c r="B521" s="1">
        <v>45678.47552083333</v>
      </c>
      <c r="C521" t="s">
        <v>0</v>
      </c>
      <c r="D521" t="str">
        <f>VLOOKUP(A521,MERCADO!A:B,2,0)</f>
        <v>Industria</v>
      </c>
      <c r="E521" t="str">
        <f>_xlfn.XLOOKUP(A521, ORIGEM!A:A, ORIGEM!B:B)</f>
        <v>rep</v>
      </c>
      <c r="F521" t="str">
        <f>_xlfn.XLOOKUP(A521, ORIGEM!A:A, ORIGEM!C:C)</f>
        <v>rep - ximena-cubillos</v>
      </c>
      <c r="G521" t="str">
        <f>_xlfn.XLOOKUP(A521, LOCAL!A:A, LOCAL!B:B)</f>
        <v>São Paulo, SP</v>
      </c>
      <c r="H521" t="str">
        <f>_xlfn.XLOOKUP(A521, PORTE!A:A, PORTE!B:B)</f>
        <v>11-50</v>
      </c>
      <c r="I521" t="str">
        <f>_xlfn.XLOOKUP(A521, OBJETIVO!A:A, OBJETIVO!B:B)</f>
        <v>Planejamento estratégico</v>
      </c>
      <c r="J521">
        <f t="shared" si="8"/>
        <v>0</v>
      </c>
    </row>
    <row r="522" spans="1:10" x14ac:dyDescent="0.25">
      <c r="A522">
        <v>11433631</v>
      </c>
      <c r="B522" s="1">
        <v>45711.58625</v>
      </c>
      <c r="C522" t="s">
        <v>0</v>
      </c>
      <c r="D522" t="str">
        <f>VLOOKUP(A522,MERCADO!A:B,2,0)</f>
        <v>Franqueadora</v>
      </c>
      <c r="E522" t="str">
        <f>_xlfn.XLOOKUP(A522, ORIGEM!A:A, ORIGEM!B:B)</f>
        <v>Orgânico</v>
      </c>
      <c r="F522">
        <f>_xlfn.XLOOKUP(A522, ORIGEM!A:A, ORIGEM!C:C)</f>
        <v>0</v>
      </c>
      <c r="G522" t="str">
        <f>_xlfn.XLOOKUP(A522, LOCAL!A:A, LOCAL!B:B)</f>
        <v>São Paulo, SP</v>
      </c>
      <c r="H522" t="str">
        <f>_xlfn.XLOOKUP(A522, PORTE!A:A, PORTE!B:B)</f>
        <v>51-300</v>
      </c>
      <c r="I522" t="str">
        <f>_xlfn.XLOOKUP(A522, OBJETIVO!A:A, OBJETIVO!B:B)</f>
        <v>Abertura/Expansão</v>
      </c>
      <c r="J522">
        <f t="shared" si="8"/>
        <v>0</v>
      </c>
    </row>
    <row r="523" spans="1:10" x14ac:dyDescent="0.25">
      <c r="A523">
        <v>10596002</v>
      </c>
      <c r="B523" s="1">
        <v>45629.325949074075</v>
      </c>
      <c r="C523" t="s">
        <v>0</v>
      </c>
      <c r="D523">
        <f>VLOOKUP(A523,MERCADO!A:B,2,0)</f>
        <v>0</v>
      </c>
      <c r="E523" t="str">
        <f>_xlfn.XLOOKUP(A523, ORIGEM!A:A, ORIGEM!B:B)</f>
        <v>Orgânico</v>
      </c>
      <c r="F523">
        <f>_xlfn.XLOOKUP(A523, ORIGEM!A:A, ORIGEM!C:C)</f>
        <v>0</v>
      </c>
      <c r="G523" t="str">
        <f>_xlfn.XLOOKUP(A523, LOCAL!A:A, LOCAL!B:B)</f>
        <v>São Paulo - SP</v>
      </c>
      <c r="H523" t="str">
        <f>_xlfn.XLOOKUP(A523, PORTE!A:A, PORTE!B:B)</f>
        <v>0</v>
      </c>
      <c r="I523" t="str">
        <f>_xlfn.XLOOKUP(A523, OBJETIVO!A:A, OBJETIVO!B:B)</f>
        <v>Outro</v>
      </c>
      <c r="J523">
        <f t="shared" si="8"/>
        <v>0</v>
      </c>
    </row>
    <row r="524" spans="1:10" x14ac:dyDescent="0.25">
      <c r="A524">
        <v>10876950</v>
      </c>
      <c r="B524" s="1">
        <v>45662.621145833335</v>
      </c>
      <c r="C524" t="s">
        <v>0</v>
      </c>
      <c r="D524" t="str">
        <f>VLOOKUP(A524,MERCADO!A:B,2,0)</f>
        <v>Tecnologia</v>
      </c>
      <c r="E524" t="str">
        <f>_xlfn.XLOOKUP(A524, ORIGEM!A:A, ORIGEM!B:B)</f>
        <v>email</v>
      </c>
      <c r="F524" t="str">
        <f>_xlfn.XLOOKUP(A524, ORIGEM!A:A, ORIGEM!C:C)</f>
        <v>email - economapas</v>
      </c>
      <c r="G524" t="str">
        <f>_xlfn.XLOOKUP(A524, LOCAL!A:A, LOCAL!B:B)</f>
        <v>São Paulo, SP</v>
      </c>
      <c r="H524" t="str">
        <f>_xlfn.XLOOKUP(A524, PORTE!A:A, PORTE!B:B)</f>
        <v>11-50</v>
      </c>
      <c r="I524" t="str">
        <f>_xlfn.XLOOKUP(A524, OBJETIVO!A:A, OBJETIVO!B:B)</f>
        <v>Geração de leads b2b</v>
      </c>
      <c r="J524">
        <f t="shared" si="8"/>
        <v>0</v>
      </c>
    </row>
    <row r="525" spans="1:10" x14ac:dyDescent="0.25">
      <c r="A525">
        <v>10882580</v>
      </c>
      <c r="B525" s="1">
        <v>45663.357048611113</v>
      </c>
      <c r="C525" t="s">
        <v>0</v>
      </c>
      <c r="D525" t="str">
        <f>VLOOKUP(A525,MERCADO!A:B,2,0)</f>
        <v>Servicos</v>
      </c>
      <c r="E525" t="str">
        <f>_xlfn.XLOOKUP(A525, ORIGEM!A:A, ORIGEM!B:B)</f>
        <v>Google</v>
      </c>
      <c r="F525" t="str">
        <f>_xlfn.XLOOKUP(A525, ORIGEM!A:A, ORIGEM!C:C)</f>
        <v>google - cpc</v>
      </c>
      <c r="G525" t="str">
        <f>_xlfn.XLOOKUP(A525, LOCAL!A:A, LOCAL!B:B)</f>
        <v>Campinas - SP</v>
      </c>
      <c r="H525" t="str">
        <f>_xlfn.XLOOKUP(A525, PORTE!A:A, PORTE!B:B)</f>
        <v>51-300</v>
      </c>
      <c r="I525" t="str">
        <f>_xlfn.XLOOKUP(A525, OBJETIVO!A:A, OBJETIVO!B:B)</f>
        <v>Geração de leads b2b</v>
      </c>
      <c r="J525">
        <f t="shared" si="8"/>
        <v>0</v>
      </c>
    </row>
    <row r="526" spans="1:10" x14ac:dyDescent="0.25">
      <c r="A526">
        <v>10938307</v>
      </c>
      <c r="B526" s="1">
        <v>45668.765925925924</v>
      </c>
      <c r="C526" t="s">
        <v>0</v>
      </c>
      <c r="D526" t="str">
        <f>VLOOKUP(A526,MERCADO!A:B,2,0)</f>
        <v>Marketing/Publicidade/Consultoria</v>
      </c>
      <c r="E526" t="str">
        <f>_xlfn.XLOOKUP(A526, ORIGEM!A:A, ORIGEM!B:B)</f>
        <v>Google</v>
      </c>
      <c r="F526" t="str">
        <f>_xlfn.XLOOKUP(A526, ORIGEM!A:A, ORIGEM!C:C)</f>
        <v>google - cpc</v>
      </c>
      <c r="G526" t="str">
        <f>_xlfn.XLOOKUP(A526, LOCAL!A:A, LOCAL!B:B)</f>
        <v>Campinas - SP</v>
      </c>
      <c r="H526" t="str">
        <f>_xlfn.XLOOKUP(A526, PORTE!A:A, PORTE!B:B)</f>
        <v>1-10</v>
      </c>
      <c r="I526" t="str">
        <f>_xlfn.XLOOKUP(A526, OBJETIVO!A:A, OBJETIVO!B:B)</f>
        <v>Abertura/Expansão</v>
      </c>
      <c r="J526">
        <f t="shared" si="8"/>
        <v>0</v>
      </c>
    </row>
    <row r="527" spans="1:10" x14ac:dyDescent="0.25">
      <c r="A527">
        <v>11559384</v>
      </c>
      <c r="B527" s="1">
        <v>45722.736134259256</v>
      </c>
      <c r="C527" t="s">
        <v>0</v>
      </c>
      <c r="D527" t="str">
        <f>VLOOKUP(A527,MERCADO!A:B,2,0)</f>
        <v>Marketing/Publicidade/Consultoria</v>
      </c>
      <c r="E527" t="str">
        <f>_xlfn.XLOOKUP(A527, ORIGEM!A:A, ORIGEM!B:B)</f>
        <v>Orgânico</v>
      </c>
      <c r="F527">
        <f>_xlfn.XLOOKUP(A527, ORIGEM!A:A, ORIGEM!C:C)</f>
        <v>0</v>
      </c>
      <c r="G527" t="str">
        <f>_xlfn.XLOOKUP(A527, LOCAL!A:A, LOCAL!B:B)</f>
        <v>São Paulo - SP</v>
      </c>
      <c r="H527" t="str">
        <f>_xlfn.XLOOKUP(A527, PORTE!A:A, PORTE!B:B)</f>
        <v>1-10</v>
      </c>
      <c r="I527" t="str">
        <f>_xlfn.XLOOKUP(A527, OBJETIVO!A:A, OBJETIVO!B:B)</f>
        <v>Ações de marketing/vendas</v>
      </c>
      <c r="J527">
        <f t="shared" si="8"/>
        <v>0</v>
      </c>
    </row>
    <row r="528" spans="1:10" x14ac:dyDescent="0.25">
      <c r="A528">
        <v>11539094</v>
      </c>
      <c r="B528" s="1">
        <v>45720.666631944441</v>
      </c>
      <c r="C528" t="s">
        <v>0</v>
      </c>
      <c r="D528" t="str">
        <f>VLOOKUP(A528,MERCADO!A:B,2,0)</f>
        <v>Servicos</v>
      </c>
      <c r="E528" t="str">
        <f>_xlfn.XLOOKUP(A528, ORIGEM!A:A, ORIGEM!B:B)</f>
        <v>Bing</v>
      </c>
      <c r="F528" t="str">
        <f>_xlfn.XLOOKUP(A528, ORIGEM!A:A, ORIGEM!C:C)</f>
        <v>bing - cpc</v>
      </c>
      <c r="G528" t="str">
        <f>_xlfn.XLOOKUP(A528, LOCAL!A:A, LOCAL!B:B)</f>
        <v>Indaiatuba - SP</v>
      </c>
      <c r="H528" t="str">
        <f>_xlfn.XLOOKUP(A528, PORTE!A:A, PORTE!B:B)</f>
        <v>11-50</v>
      </c>
      <c r="I528" t="str">
        <f>_xlfn.XLOOKUP(A528, OBJETIVO!A:A, OBJETIVO!B:B)</f>
        <v>Ações de marketing/vendas</v>
      </c>
      <c r="J528">
        <f t="shared" si="8"/>
        <v>0</v>
      </c>
    </row>
    <row r="529" spans="1:10" x14ac:dyDescent="0.25">
      <c r="A529">
        <v>11505536</v>
      </c>
      <c r="B529" s="1">
        <v>45718.519016203703</v>
      </c>
      <c r="C529" t="s">
        <v>0</v>
      </c>
      <c r="D529" t="str">
        <f>VLOOKUP(A529,MERCADO!A:B,2,0)</f>
        <v>Imobiliaria/Incorporadora/Construtora</v>
      </c>
      <c r="E529" t="str">
        <f>_xlfn.XLOOKUP(A529, ORIGEM!A:A, ORIGEM!B:B)</f>
        <v>Orgânico</v>
      </c>
      <c r="F529">
        <f>_xlfn.XLOOKUP(A529, ORIGEM!A:A, ORIGEM!C:C)</f>
        <v>0</v>
      </c>
      <c r="G529" t="str">
        <f>_xlfn.XLOOKUP(A529, LOCAL!A:A, LOCAL!B:B)</f>
        <v>São Paulo - SP</v>
      </c>
      <c r="H529" t="str">
        <f>_xlfn.XLOOKUP(A529, PORTE!A:A, PORTE!B:B)</f>
        <v>51-300</v>
      </c>
      <c r="I529" t="str">
        <f>_xlfn.XLOOKUP(A529, OBJETIVO!A:A, OBJETIVO!B:B)</f>
        <v>Abertura/Expansão</v>
      </c>
      <c r="J529">
        <f t="shared" si="8"/>
        <v>0</v>
      </c>
    </row>
    <row r="530" spans="1:10" x14ac:dyDescent="0.25">
      <c r="A530">
        <v>10770176</v>
      </c>
      <c r="B530" s="1">
        <v>45644.426446759258</v>
      </c>
      <c r="C530" t="s">
        <v>0</v>
      </c>
      <c r="D530" t="str">
        <f>VLOOKUP(A530,MERCADO!A:B,2,0)</f>
        <v>Varejo</v>
      </c>
      <c r="E530" t="str">
        <f>_xlfn.XLOOKUP(A530, ORIGEM!A:A, ORIGEM!B:B)</f>
        <v>email</v>
      </c>
      <c r="F530" t="str">
        <f>_xlfn.XLOOKUP(A530, ORIGEM!A:A, ORIGEM!C:C)</f>
        <v>email - economapas</v>
      </c>
      <c r="G530" t="str">
        <f>_xlfn.XLOOKUP(A530, LOCAL!A:A, LOCAL!B:B)</f>
        <v>Diadema, SP</v>
      </c>
      <c r="H530" t="str">
        <f>_xlfn.XLOOKUP(A530, PORTE!A:A, PORTE!B:B)</f>
        <v>51-300</v>
      </c>
      <c r="I530">
        <f>_xlfn.XLOOKUP(A530, OBJETIVO!A:A, OBJETIVO!B:B)</f>
        <v>0</v>
      </c>
      <c r="J530">
        <f t="shared" si="8"/>
        <v>0</v>
      </c>
    </row>
    <row r="531" spans="1:10" x14ac:dyDescent="0.25">
      <c r="A531">
        <v>11385847</v>
      </c>
      <c r="B531" s="1">
        <v>45706.448067129626</v>
      </c>
      <c r="C531" t="s">
        <v>0</v>
      </c>
      <c r="D531" t="str">
        <f>VLOOKUP(A531,MERCADO!A:B,2,0)</f>
        <v>Varejo</v>
      </c>
      <c r="E531" t="str">
        <f>_xlfn.XLOOKUP(A531, ORIGEM!A:A, ORIGEM!B:B)</f>
        <v>Facebook</v>
      </c>
      <c r="F531" t="str">
        <f>_xlfn.XLOOKUP(A531, ORIGEM!A:A, ORIGEM!C:C)</f>
        <v>facebook - cpc</v>
      </c>
      <c r="G531" t="str">
        <f>_xlfn.XLOOKUP(A531, LOCAL!A:A, LOCAL!B:B)</f>
        <v>São Paulo - SP</v>
      </c>
      <c r="H531" t="str">
        <f>_xlfn.XLOOKUP(A531, PORTE!A:A, PORTE!B:B)</f>
        <v>1-10</v>
      </c>
      <c r="I531" t="str">
        <f>_xlfn.XLOOKUP(A531, OBJETIVO!A:A, OBJETIVO!B:B)</f>
        <v>Geração de leads b2b</v>
      </c>
      <c r="J531">
        <f t="shared" si="8"/>
        <v>0</v>
      </c>
    </row>
    <row r="532" spans="1:10" x14ac:dyDescent="0.25">
      <c r="A532">
        <v>11553893</v>
      </c>
      <c r="B532" s="1">
        <v>45721.608020833337</v>
      </c>
      <c r="C532" t="s">
        <v>0</v>
      </c>
      <c r="D532" t="str">
        <f>VLOOKUP(A532,MERCADO!A:B,2,0)</f>
        <v>Industria</v>
      </c>
      <c r="E532" t="str">
        <f>_xlfn.XLOOKUP(A532, ORIGEM!A:A, ORIGEM!B:B)</f>
        <v>Orgânico</v>
      </c>
      <c r="F532">
        <f>_xlfn.XLOOKUP(A532, ORIGEM!A:A, ORIGEM!C:C)</f>
        <v>0</v>
      </c>
      <c r="G532" t="str">
        <f>_xlfn.XLOOKUP(A532, LOCAL!A:A, LOCAL!B:B)</f>
        <v>São Paulo - SP</v>
      </c>
      <c r="H532" t="str">
        <f>_xlfn.XLOOKUP(A532, PORTE!A:A, PORTE!B:B)</f>
        <v>51-300</v>
      </c>
      <c r="I532" t="str">
        <f>_xlfn.XLOOKUP(A532, OBJETIVO!A:A, OBJETIVO!B:B)</f>
        <v>Abertura/Expansão</v>
      </c>
      <c r="J532">
        <f t="shared" si="8"/>
        <v>0</v>
      </c>
    </row>
    <row r="533" spans="1:10" x14ac:dyDescent="0.25">
      <c r="A533">
        <v>11905344</v>
      </c>
      <c r="B533" s="1">
        <v>45754.762870370374</v>
      </c>
      <c r="C533" t="s">
        <v>0</v>
      </c>
      <c r="D533" t="str">
        <f>VLOOKUP(A533,MERCADO!A:B,2,0)</f>
        <v>Servicos</v>
      </c>
      <c r="E533" t="str">
        <f>_xlfn.XLOOKUP(A533, ORIGEM!A:A, ORIGEM!B:B)</f>
        <v>email</v>
      </c>
      <c r="F533" t="str">
        <f>_xlfn.XLOOKUP(A533, ORIGEM!A:A, ORIGEM!C:C)</f>
        <v>email - economapas</v>
      </c>
      <c r="G533" t="str">
        <f>_xlfn.XLOOKUP(A533, LOCAL!A:A, LOCAL!B:B)</f>
        <v>Praia Grande - SP</v>
      </c>
      <c r="H533" t="str">
        <f>_xlfn.XLOOKUP(A533, PORTE!A:A, PORTE!B:B)</f>
        <v>11-50</v>
      </c>
      <c r="I533" t="str">
        <f>_xlfn.XLOOKUP(A533, OBJETIVO!A:A, OBJETIVO!B:B)</f>
        <v>Ações de marketing/vendas</v>
      </c>
      <c r="J533">
        <f t="shared" si="8"/>
        <v>0</v>
      </c>
    </row>
    <row r="534" spans="1:10" x14ac:dyDescent="0.25">
      <c r="A534">
        <v>11570421</v>
      </c>
      <c r="B534" s="1">
        <v>45724.591585648152</v>
      </c>
      <c r="C534" t="s">
        <v>0</v>
      </c>
      <c r="D534" t="str">
        <f>VLOOKUP(A534,MERCADO!A:B,2,0)</f>
        <v>Marketing/Publicidade/Consultoria</v>
      </c>
      <c r="E534" t="str">
        <f>_xlfn.XLOOKUP(A534, ORIGEM!A:A, ORIGEM!B:B)</f>
        <v>Orgânico</v>
      </c>
      <c r="F534">
        <f>_xlfn.XLOOKUP(A534, ORIGEM!A:A, ORIGEM!C:C)</f>
        <v>0</v>
      </c>
      <c r="G534" t="str">
        <f>_xlfn.XLOOKUP(A534, LOCAL!A:A, LOCAL!B:B)</f>
        <v>São Paulo, SP</v>
      </c>
      <c r="H534" t="str">
        <f>_xlfn.XLOOKUP(A534, PORTE!A:A, PORTE!B:B)</f>
        <v>1-10</v>
      </c>
      <c r="I534" t="str">
        <f>_xlfn.XLOOKUP(A534, OBJETIVO!A:A, OBJETIVO!B:B)</f>
        <v>Geração de leads b2b</v>
      </c>
      <c r="J534">
        <f t="shared" si="8"/>
        <v>0</v>
      </c>
    </row>
    <row r="535" spans="1:10" x14ac:dyDescent="0.25">
      <c r="A535">
        <v>11007572</v>
      </c>
      <c r="B535" s="1">
        <v>45672.90457175926</v>
      </c>
      <c r="C535" t="s">
        <v>0</v>
      </c>
      <c r="D535" t="str">
        <f>VLOOKUP(A535,MERCADO!A:B,2,0)</f>
        <v>Servicos</v>
      </c>
      <c r="E535" t="str">
        <f>_xlfn.XLOOKUP(A535, ORIGEM!A:A, ORIGEM!B:B)</f>
        <v>Google</v>
      </c>
      <c r="F535" t="str">
        <f>_xlfn.XLOOKUP(A535, ORIGEM!A:A, ORIGEM!C:C)</f>
        <v>google - cpc</v>
      </c>
      <c r="G535" t="str">
        <f>_xlfn.XLOOKUP(A535, LOCAL!A:A, LOCAL!B:B)</f>
        <v>Guarulhos - SP</v>
      </c>
      <c r="H535" t="str">
        <f>_xlfn.XLOOKUP(A535, PORTE!A:A, PORTE!B:B)</f>
        <v>11-50</v>
      </c>
      <c r="I535" t="str">
        <f>_xlfn.XLOOKUP(A535, OBJETIVO!A:A, OBJETIVO!B:B)</f>
        <v>Ações de marketing/vendas</v>
      </c>
      <c r="J535">
        <f t="shared" si="8"/>
        <v>0</v>
      </c>
    </row>
    <row r="536" spans="1:10" x14ac:dyDescent="0.25">
      <c r="A536">
        <v>10857291</v>
      </c>
      <c r="B536" s="1">
        <v>45661.434120370373</v>
      </c>
      <c r="C536" t="s">
        <v>0</v>
      </c>
      <c r="D536" t="str">
        <f>VLOOKUP(A536,MERCADO!A:B,2,0)</f>
        <v>Industria</v>
      </c>
      <c r="E536" t="str">
        <f>_xlfn.XLOOKUP(A536, ORIGEM!A:A, ORIGEM!B:B)</f>
        <v>Orgânico</v>
      </c>
      <c r="F536">
        <f>_xlfn.XLOOKUP(A536, ORIGEM!A:A, ORIGEM!C:C)</f>
        <v>0</v>
      </c>
      <c r="G536" t="str">
        <f>_xlfn.XLOOKUP(A536, LOCAL!A:A, LOCAL!B:B)</f>
        <v>Guarulhos -SP</v>
      </c>
      <c r="H536" t="str">
        <f>_xlfn.XLOOKUP(A536, PORTE!A:A, PORTE!B:B)</f>
        <v>51-300</v>
      </c>
      <c r="I536" t="str">
        <f>_xlfn.XLOOKUP(A536, OBJETIVO!A:A, OBJETIVO!B:B)</f>
        <v>Planejamento estratégico</v>
      </c>
      <c r="J536">
        <f t="shared" si="8"/>
        <v>0</v>
      </c>
    </row>
    <row r="537" spans="1:10" x14ac:dyDescent="0.25">
      <c r="A537">
        <v>11600361</v>
      </c>
      <c r="B537" s="1">
        <v>45726.550937499997</v>
      </c>
      <c r="C537" t="s">
        <v>0</v>
      </c>
      <c r="D537" t="str">
        <f>VLOOKUP(A537,MERCADO!A:B,2,0)</f>
        <v>Empreendedor</v>
      </c>
      <c r="E537" t="str">
        <f>_xlfn.XLOOKUP(A537, ORIGEM!A:A, ORIGEM!B:B)</f>
        <v>Orgânico</v>
      </c>
      <c r="F537">
        <f>_xlfn.XLOOKUP(A537, ORIGEM!A:A, ORIGEM!C:C)</f>
        <v>0</v>
      </c>
      <c r="G537" t="str">
        <f>_xlfn.XLOOKUP(A537, LOCAL!A:A, LOCAL!B:B)</f>
        <v>São Paulo - SP</v>
      </c>
      <c r="H537" t="str">
        <f>_xlfn.XLOOKUP(A537, PORTE!A:A, PORTE!B:B)</f>
        <v>1-10</v>
      </c>
      <c r="I537" t="str">
        <f>_xlfn.XLOOKUP(A537, OBJETIVO!A:A, OBJETIVO!B:B)</f>
        <v>Ações de marketing/vendas</v>
      </c>
      <c r="J537">
        <f t="shared" si="8"/>
        <v>0</v>
      </c>
    </row>
    <row r="538" spans="1:10" x14ac:dyDescent="0.25">
      <c r="A538">
        <v>10588433</v>
      </c>
      <c r="B538" s="1">
        <v>45628.490034722221</v>
      </c>
      <c r="C538" t="s">
        <v>0</v>
      </c>
      <c r="D538" t="str">
        <f>VLOOKUP(A538,MERCADO!A:B,2,0)</f>
        <v>Varejo</v>
      </c>
      <c r="E538" t="str">
        <f>_xlfn.XLOOKUP(A538, ORIGEM!A:A, ORIGEM!B:B)</f>
        <v>Orgânico</v>
      </c>
      <c r="F538">
        <f>_xlfn.XLOOKUP(A538, ORIGEM!A:A, ORIGEM!C:C)</f>
        <v>0</v>
      </c>
      <c r="G538" t="str">
        <f>_xlfn.XLOOKUP(A538, LOCAL!A:A, LOCAL!B:B)</f>
        <v>-</v>
      </c>
      <c r="H538" t="str">
        <f>_xlfn.XLOOKUP(A538, PORTE!A:A, PORTE!B:B)</f>
        <v>1-10</v>
      </c>
      <c r="I538" t="str">
        <f>_xlfn.XLOOKUP(A538, OBJETIVO!A:A, OBJETIVO!B:B)</f>
        <v>Planejamento estratégico</v>
      </c>
      <c r="J538">
        <f t="shared" si="8"/>
        <v>0</v>
      </c>
    </row>
    <row r="539" spans="1:10" x14ac:dyDescent="0.25">
      <c r="A539">
        <v>10609110</v>
      </c>
      <c r="B539" s="1">
        <v>45629.790856481479</v>
      </c>
      <c r="C539" t="s">
        <v>0</v>
      </c>
      <c r="D539" t="str">
        <f>VLOOKUP(A539,MERCADO!A:B,2,0)</f>
        <v>Varejo</v>
      </c>
      <c r="E539" t="str">
        <f>_xlfn.XLOOKUP(A539, ORIGEM!A:A, ORIGEM!B:B)</f>
        <v>Google</v>
      </c>
      <c r="F539" t="str">
        <f>_xlfn.XLOOKUP(A539, ORIGEM!A:A, ORIGEM!C:C)</f>
        <v>google - cpc</v>
      </c>
      <c r="G539" t="str">
        <f>_xlfn.XLOOKUP(A539, LOCAL!A:A, LOCAL!B:B)</f>
        <v>Osasco - SP</v>
      </c>
      <c r="H539" t="str">
        <f>_xlfn.XLOOKUP(A539, PORTE!A:A, PORTE!B:B)</f>
        <v>11-50</v>
      </c>
      <c r="I539" t="str">
        <f>_xlfn.XLOOKUP(A539, OBJETIVO!A:A, OBJETIVO!B:B)</f>
        <v>Planejamento estratégico</v>
      </c>
      <c r="J539">
        <f t="shared" si="8"/>
        <v>0</v>
      </c>
    </row>
    <row r="540" spans="1:10" x14ac:dyDescent="0.25">
      <c r="A540">
        <v>11457922</v>
      </c>
      <c r="B540" s="1">
        <v>45713.451307870368</v>
      </c>
      <c r="C540" t="s">
        <v>0</v>
      </c>
      <c r="D540" t="str">
        <f>VLOOKUP(A540,MERCADO!A:B,2,0)</f>
        <v>Imobiliaria/Incorporadora/Construtora</v>
      </c>
      <c r="E540" t="str">
        <f>_xlfn.XLOOKUP(A540, ORIGEM!A:A, ORIGEM!B:B)</f>
        <v>Orgânico</v>
      </c>
      <c r="F540">
        <f>_xlfn.XLOOKUP(A540, ORIGEM!A:A, ORIGEM!C:C)</f>
        <v>0</v>
      </c>
      <c r="G540" t="str">
        <f>_xlfn.XLOOKUP(A540, LOCAL!A:A, LOCAL!B:B)</f>
        <v>Charqueada - SP</v>
      </c>
      <c r="H540" t="str">
        <f>_xlfn.XLOOKUP(A540, PORTE!A:A, PORTE!B:B)</f>
        <v>11-50</v>
      </c>
      <c r="I540" t="str">
        <f>_xlfn.XLOOKUP(A540, OBJETIVO!A:A, OBJETIVO!B:B)</f>
        <v>Ações de marketing/vendas</v>
      </c>
      <c r="J540">
        <f t="shared" si="8"/>
        <v>0</v>
      </c>
    </row>
    <row r="541" spans="1:10" x14ac:dyDescent="0.25">
      <c r="A541">
        <v>11405888</v>
      </c>
      <c r="B541" s="1">
        <v>45707.954837962963</v>
      </c>
      <c r="C541" t="s">
        <v>0</v>
      </c>
      <c r="D541" t="str">
        <f>VLOOKUP(A541,MERCADO!A:B,2,0)</f>
        <v>Empreendedor</v>
      </c>
      <c r="E541" t="str">
        <f>_xlfn.XLOOKUP(A541, ORIGEM!A:A, ORIGEM!B:B)</f>
        <v>Facebook</v>
      </c>
      <c r="F541" t="str">
        <f>_xlfn.XLOOKUP(A541, ORIGEM!A:A, ORIGEM!C:C)</f>
        <v>facebook - cpc</v>
      </c>
      <c r="G541" t="str">
        <f>_xlfn.XLOOKUP(A541, LOCAL!A:A, LOCAL!B:B)</f>
        <v>Sao Goncalo - RJ</v>
      </c>
      <c r="H541" t="str">
        <f>_xlfn.XLOOKUP(A541, PORTE!A:A, PORTE!B:B)</f>
        <v>0</v>
      </c>
      <c r="I541" t="str">
        <f>_xlfn.XLOOKUP(A541, OBJETIVO!A:A, OBJETIVO!B:B)</f>
        <v>Planejamento estratégico</v>
      </c>
      <c r="J541">
        <f t="shared" si="8"/>
        <v>0</v>
      </c>
    </row>
    <row r="542" spans="1:10" x14ac:dyDescent="0.25">
      <c r="A542">
        <v>11600276</v>
      </c>
      <c r="B542" s="1">
        <v>45726.544976851852</v>
      </c>
      <c r="C542" t="s">
        <v>0</v>
      </c>
      <c r="D542" t="str">
        <f>VLOOKUP(A542,MERCADO!A:B,2,0)</f>
        <v>Tecnologia</v>
      </c>
      <c r="E542" t="str">
        <f>_xlfn.XLOOKUP(A542, ORIGEM!A:A, ORIGEM!B:B)</f>
        <v>Orgânico</v>
      </c>
      <c r="F542">
        <f>_xlfn.XLOOKUP(A542, ORIGEM!A:A, ORIGEM!C:C)</f>
        <v>0</v>
      </c>
      <c r="G542" t="str">
        <f>_xlfn.XLOOKUP(A542, LOCAL!A:A, LOCAL!B:B)</f>
        <v>Rio de Janeiro - RJ</v>
      </c>
      <c r="H542" t="str">
        <f>_xlfn.XLOOKUP(A542, PORTE!A:A, PORTE!B:B)</f>
        <v>11-50</v>
      </c>
      <c r="I542" t="str">
        <f>_xlfn.XLOOKUP(A542, OBJETIVO!A:A, OBJETIVO!B:B)</f>
        <v>Geração de leads b2b</v>
      </c>
      <c r="J542">
        <f t="shared" si="8"/>
        <v>0</v>
      </c>
    </row>
    <row r="543" spans="1:10" x14ac:dyDescent="0.25">
      <c r="A543">
        <v>10704692</v>
      </c>
      <c r="B543" s="1">
        <v>45639.352083333331</v>
      </c>
      <c r="C543" t="s">
        <v>0</v>
      </c>
      <c r="D543" t="str">
        <f>VLOOKUP(A543,MERCADO!A:B,2,0)</f>
        <v>Imobiliaria/Incorporadora/Construtora</v>
      </c>
      <c r="E543" t="str">
        <f>_xlfn.XLOOKUP(A543, ORIGEM!A:A, ORIGEM!B:B)</f>
        <v>rep</v>
      </c>
      <c r="F543" t="str">
        <f>_xlfn.XLOOKUP(A543, ORIGEM!A:A, ORIGEM!C:C)</f>
        <v>rep - juliana-gomes</v>
      </c>
      <c r="G543" t="str">
        <f>_xlfn.XLOOKUP(A543, LOCAL!A:A, LOCAL!B:B)</f>
        <v>Baia Formosa - RN</v>
      </c>
      <c r="H543" t="str">
        <f>_xlfn.XLOOKUP(A543, PORTE!A:A, PORTE!B:B)</f>
        <v>1-10</v>
      </c>
      <c r="I543" t="str">
        <f>_xlfn.XLOOKUP(A543, OBJETIVO!A:A, OBJETIVO!B:B)</f>
        <v>Ações de marketing/vendas</v>
      </c>
      <c r="J543">
        <f t="shared" si="8"/>
        <v>0</v>
      </c>
    </row>
    <row r="544" spans="1:10" x14ac:dyDescent="0.25">
      <c r="A544">
        <v>10638715</v>
      </c>
      <c r="B544" s="1">
        <v>45633.679849537039</v>
      </c>
      <c r="C544" t="s">
        <v>0</v>
      </c>
      <c r="D544" t="str">
        <f>VLOOKUP(A544,MERCADO!A:B,2,0)</f>
        <v>Franqueadora</v>
      </c>
      <c r="E544" t="str">
        <f>_xlfn.XLOOKUP(A544, ORIGEM!A:A, ORIGEM!B:B)</f>
        <v>Google</v>
      </c>
      <c r="F544" t="str">
        <f>_xlfn.XLOOKUP(A544, ORIGEM!A:A, ORIGEM!C:C)</f>
        <v>google - cpc</v>
      </c>
      <c r="G544" t="str">
        <f>_xlfn.XLOOKUP(A544, LOCAL!A:A, LOCAL!B:B)</f>
        <v>Natal - RN</v>
      </c>
      <c r="H544" t="str">
        <f>_xlfn.XLOOKUP(A544, PORTE!A:A, PORTE!B:B)</f>
        <v>51-300</v>
      </c>
      <c r="I544" t="str">
        <f>_xlfn.XLOOKUP(A544, OBJETIVO!A:A, OBJETIVO!B:B)</f>
        <v>Abertura/Expansão</v>
      </c>
      <c r="J544">
        <f t="shared" si="8"/>
        <v>0</v>
      </c>
    </row>
    <row r="545" spans="1:10" x14ac:dyDescent="0.25">
      <c r="A545">
        <v>10793286</v>
      </c>
      <c r="B545" s="1">
        <v>45647.744467592594</v>
      </c>
      <c r="C545" t="s">
        <v>0</v>
      </c>
      <c r="D545" t="str">
        <f>VLOOKUP(A545,MERCADO!A:B,2,0)</f>
        <v>Servicos</v>
      </c>
      <c r="E545" t="str">
        <f>_xlfn.XLOOKUP(A545, ORIGEM!A:A, ORIGEM!B:B)</f>
        <v>Google</v>
      </c>
      <c r="F545" t="str">
        <f>_xlfn.XLOOKUP(A545, ORIGEM!A:A, ORIGEM!C:C)</f>
        <v>google - cpc</v>
      </c>
      <c r="G545" t="str">
        <f>_xlfn.XLOOKUP(A545, LOCAL!A:A, LOCAL!B:B)</f>
        <v>Araruama - RJ</v>
      </c>
      <c r="H545" t="str">
        <f>_xlfn.XLOOKUP(A545, PORTE!A:A, PORTE!B:B)</f>
        <v>1-10</v>
      </c>
      <c r="I545" t="str">
        <f>_xlfn.XLOOKUP(A545, OBJETIVO!A:A, OBJETIVO!B:B)</f>
        <v>Planejamento estratégico</v>
      </c>
      <c r="J545">
        <f t="shared" si="8"/>
        <v>0</v>
      </c>
    </row>
    <row r="546" spans="1:10" x14ac:dyDescent="0.25">
      <c r="A546">
        <v>10758645</v>
      </c>
      <c r="B546" s="1">
        <v>45643.58252314815</v>
      </c>
      <c r="C546" t="s">
        <v>0</v>
      </c>
      <c r="D546" t="str">
        <f>VLOOKUP(A546,MERCADO!A:B,2,0)</f>
        <v>Marketing/Publicidade/Consultoria</v>
      </c>
      <c r="E546" t="str">
        <f>_xlfn.XLOOKUP(A546, ORIGEM!A:A, ORIGEM!B:B)</f>
        <v>Google</v>
      </c>
      <c r="F546" t="str">
        <f>_xlfn.XLOOKUP(A546, ORIGEM!A:A, ORIGEM!C:C)</f>
        <v>google - cpc</v>
      </c>
      <c r="G546" t="str">
        <f>_xlfn.XLOOKUP(A546, LOCAL!A:A, LOCAL!B:B)</f>
        <v>V Redonda - RJ</v>
      </c>
      <c r="H546" t="str">
        <f>_xlfn.XLOOKUP(A546, PORTE!A:A, PORTE!B:B)</f>
        <v>11-50</v>
      </c>
      <c r="I546" t="str">
        <f>_xlfn.XLOOKUP(A546, OBJETIVO!A:A, OBJETIVO!B:B)</f>
        <v>Ações de marketing/vendas</v>
      </c>
      <c r="J546">
        <f t="shared" si="8"/>
        <v>0</v>
      </c>
    </row>
    <row r="547" spans="1:10" x14ac:dyDescent="0.25">
      <c r="A547">
        <v>10852088</v>
      </c>
      <c r="B547" s="1">
        <v>45660.366203703707</v>
      </c>
      <c r="C547" t="s">
        <v>0</v>
      </c>
      <c r="D547" t="str">
        <f>VLOOKUP(A547,MERCADO!A:B,2,0)</f>
        <v>Imobiliaria/Incorporadora/Construtora</v>
      </c>
      <c r="E547" t="str">
        <f>_xlfn.XLOOKUP(A547, ORIGEM!A:A, ORIGEM!B:B)</f>
        <v>Orgânico</v>
      </c>
      <c r="F547">
        <f>_xlfn.XLOOKUP(A547, ORIGEM!A:A, ORIGEM!C:C)</f>
        <v>0</v>
      </c>
      <c r="G547" t="str">
        <f>_xlfn.XLOOKUP(A547, LOCAL!A:A, LOCAL!B:B)</f>
        <v>Tibau - RN</v>
      </c>
      <c r="H547" t="str">
        <f>_xlfn.XLOOKUP(A547, PORTE!A:A, PORTE!B:B)</f>
        <v>0</v>
      </c>
      <c r="I547" t="str">
        <f>_xlfn.XLOOKUP(A547, OBJETIVO!A:A, OBJETIVO!B:B)</f>
        <v>Geração de leads b2b</v>
      </c>
      <c r="J547">
        <f t="shared" si="8"/>
        <v>0</v>
      </c>
    </row>
    <row r="548" spans="1:10" x14ac:dyDescent="0.25">
      <c r="A548">
        <v>10639119</v>
      </c>
      <c r="B548" s="1">
        <v>45633.691805555558</v>
      </c>
      <c r="C548" t="s">
        <v>0</v>
      </c>
      <c r="D548" t="str">
        <f>VLOOKUP(A548,MERCADO!A:B,2,0)</f>
        <v>Marketing/Publicidade/Consultoria</v>
      </c>
      <c r="E548" t="str">
        <f>_xlfn.XLOOKUP(A548, ORIGEM!A:A, ORIGEM!B:B)</f>
        <v>Orgânico</v>
      </c>
      <c r="F548">
        <f>_xlfn.XLOOKUP(A548, ORIGEM!A:A, ORIGEM!C:C)</f>
        <v>0</v>
      </c>
      <c r="G548" t="str">
        <f>_xlfn.XLOOKUP(A548, LOCAL!A:A, LOCAL!B:B)</f>
        <v>Rio de Janeiro - RJ</v>
      </c>
      <c r="H548" t="str">
        <f>_xlfn.XLOOKUP(A548, PORTE!A:A, PORTE!B:B)</f>
        <v>1-10</v>
      </c>
      <c r="I548" t="str">
        <f>_xlfn.XLOOKUP(A548, OBJETIVO!A:A, OBJETIVO!B:B)</f>
        <v>Abertura/Expansão</v>
      </c>
      <c r="J548">
        <f t="shared" si="8"/>
        <v>0</v>
      </c>
    </row>
    <row r="549" spans="1:10" x14ac:dyDescent="0.25">
      <c r="A549">
        <v>11929300</v>
      </c>
      <c r="B549" s="1">
        <v>45756.49900462963</v>
      </c>
      <c r="C549" t="s">
        <v>0</v>
      </c>
      <c r="D549" t="str">
        <f>VLOOKUP(A549,MERCADO!A:B,2,0)</f>
        <v>Servicos</v>
      </c>
      <c r="E549" t="str">
        <f>_xlfn.XLOOKUP(A549, ORIGEM!A:A, ORIGEM!B:B)</f>
        <v>Orgânico</v>
      </c>
      <c r="F549">
        <f>_xlfn.XLOOKUP(A549, ORIGEM!A:A, ORIGEM!C:C)</f>
        <v>0</v>
      </c>
      <c r="G549" t="str">
        <f>_xlfn.XLOOKUP(A549, LOCAL!A:A, LOCAL!B:B)</f>
        <v>Rio de Janeiro - RJ</v>
      </c>
      <c r="H549" t="str">
        <f>_xlfn.XLOOKUP(A549, PORTE!A:A, PORTE!B:B)</f>
        <v>51-300</v>
      </c>
      <c r="I549" t="str">
        <f>_xlfn.XLOOKUP(A549, OBJETIVO!A:A, OBJETIVO!B:B)</f>
        <v>Consultoria</v>
      </c>
      <c r="J549">
        <f t="shared" si="8"/>
        <v>0</v>
      </c>
    </row>
    <row r="550" spans="1:10" x14ac:dyDescent="0.25">
      <c r="A550">
        <v>11710981</v>
      </c>
      <c r="B550" s="1">
        <v>45737.792430555557</v>
      </c>
      <c r="C550" t="s">
        <v>0</v>
      </c>
      <c r="D550" t="str">
        <f>VLOOKUP(A550,MERCADO!A:B,2,0)</f>
        <v>Franqueadora</v>
      </c>
      <c r="E550" t="str">
        <f>_xlfn.XLOOKUP(A550, ORIGEM!A:A, ORIGEM!B:B)</f>
        <v>Google</v>
      </c>
      <c r="F550" t="str">
        <f>_xlfn.XLOOKUP(A550, ORIGEM!A:A, ORIGEM!C:C)</f>
        <v>google - cpc</v>
      </c>
      <c r="G550" t="str">
        <f>_xlfn.XLOOKUP(A550, LOCAL!A:A, LOCAL!B:B)</f>
        <v>Gravataí - RS</v>
      </c>
      <c r="H550" t="str">
        <f>_xlfn.XLOOKUP(A550, PORTE!A:A, PORTE!B:B)</f>
        <v>0</v>
      </c>
      <c r="I550" t="str">
        <f>_xlfn.XLOOKUP(A550, OBJETIVO!A:A, OBJETIVO!B:B)</f>
        <v>Abertura/Expansão</v>
      </c>
      <c r="J550">
        <f t="shared" si="8"/>
        <v>0</v>
      </c>
    </row>
    <row r="551" spans="1:10" x14ac:dyDescent="0.25">
      <c r="A551">
        <v>10598370</v>
      </c>
      <c r="B551" s="1">
        <v>45629.451388888891</v>
      </c>
      <c r="C551" t="s">
        <v>0</v>
      </c>
      <c r="D551" t="str">
        <f>VLOOKUP(A551,MERCADO!A:B,2,0)</f>
        <v>Marketing/Publicidade/Consultoria</v>
      </c>
      <c r="E551" t="str">
        <f>_xlfn.XLOOKUP(A551, ORIGEM!A:A, ORIGEM!B:B)</f>
        <v>Google</v>
      </c>
      <c r="F551" t="str">
        <f>_xlfn.XLOOKUP(A551, ORIGEM!A:A, ORIGEM!C:C)</f>
        <v>google - cpc</v>
      </c>
      <c r="G551" t="str">
        <f>_xlfn.XLOOKUP(A551, LOCAL!A:A, LOCAL!B:B)</f>
        <v>Cachoeirinha - RS</v>
      </c>
      <c r="H551" t="str">
        <f>_xlfn.XLOOKUP(A551, PORTE!A:A, PORTE!B:B)</f>
        <v>1-10</v>
      </c>
      <c r="I551" t="str">
        <f>_xlfn.XLOOKUP(A551, OBJETIVO!A:A, OBJETIVO!B:B)</f>
        <v>Geração de leads b2b</v>
      </c>
      <c r="J551">
        <f t="shared" si="8"/>
        <v>0</v>
      </c>
    </row>
    <row r="552" spans="1:10" x14ac:dyDescent="0.25">
      <c r="A552">
        <v>10676625</v>
      </c>
      <c r="B552" s="1">
        <v>45635.82739583333</v>
      </c>
      <c r="C552" t="s">
        <v>0</v>
      </c>
      <c r="D552" t="str">
        <f>VLOOKUP(A552,MERCADO!A:B,2,0)</f>
        <v>Imobiliaria/Incorporadora/Construtora</v>
      </c>
      <c r="E552" t="str">
        <f>_xlfn.XLOOKUP(A552, ORIGEM!A:A, ORIGEM!B:B)</f>
        <v>rep</v>
      </c>
      <c r="F552" t="str">
        <f>_xlfn.XLOOKUP(A552, ORIGEM!A:A, ORIGEM!C:C)</f>
        <v>rep - juliana-gomes</v>
      </c>
      <c r="G552" t="str">
        <f>_xlfn.XLOOKUP(A552, LOCAL!A:A, LOCAL!B:B)</f>
        <v>Natal - RN</v>
      </c>
      <c r="H552" t="str">
        <f>_xlfn.XLOOKUP(A552, PORTE!A:A, PORTE!B:B)</f>
        <v>0</v>
      </c>
      <c r="I552" t="str">
        <f>_xlfn.XLOOKUP(A552, OBJETIVO!A:A, OBJETIVO!B:B)</f>
        <v>Consultoria</v>
      </c>
      <c r="J552">
        <f t="shared" si="8"/>
        <v>0</v>
      </c>
    </row>
    <row r="553" spans="1:10" x14ac:dyDescent="0.25">
      <c r="A553">
        <v>11921737</v>
      </c>
      <c r="B553" s="1">
        <v>45755.873379629629</v>
      </c>
      <c r="C553" t="s">
        <v>0</v>
      </c>
      <c r="D553" t="str">
        <f>VLOOKUP(A553,MERCADO!A:B,2,0)</f>
        <v>Servicos</v>
      </c>
      <c r="E553" t="str">
        <f>_xlfn.XLOOKUP(A553, ORIGEM!A:A, ORIGEM!B:B)</f>
        <v>Facebook</v>
      </c>
      <c r="F553" t="str">
        <f>_xlfn.XLOOKUP(A553, ORIGEM!A:A, ORIGEM!C:C)</f>
        <v>facebook - cpc</v>
      </c>
      <c r="G553" t="str">
        <f>_xlfn.XLOOKUP(A553, LOCAL!A:A, LOCAL!B:B)</f>
        <v>Cuiabá - MT</v>
      </c>
      <c r="H553" t="str">
        <f>_xlfn.XLOOKUP(A553, PORTE!A:A, PORTE!B:B)</f>
        <v>1-10</v>
      </c>
      <c r="I553" t="str">
        <f>_xlfn.XLOOKUP(A553, OBJETIVO!A:A, OBJETIVO!B:B)</f>
        <v>Planejamento estratégico</v>
      </c>
      <c r="J553">
        <f t="shared" si="8"/>
        <v>0</v>
      </c>
    </row>
    <row r="554" spans="1:10" x14ac:dyDescent="0.25">
      <c r="A554">
        <v>10724498</v>
      </c>
      <c r="B554" s="1">
        <v>45640.92832175926</v>
      </c>
      <c r="C554" t="s">
        <v>0</v>
      </c>
      <c r="D554" t="str">
        <f>VLOOKUP(A554,MERCADO!A:B,2,0)</f>
        <v>Empreendedor</v>
      </c>
      <c r="E554" t="str">
        <f>_xlfn.XLOOKUP(A554, ORIGEM!A:A, ORIGEM!B:B)</f>
        <v>Orgânico</v>
      </c>
      <c r="F554">
        <f>_xlfn.XLOOKUP(A554, ORIGEM!A:A, ORIGEM!C:C)</f>
        <v>0</v>
      </c>
      <c r="G554" t="str">
        <f>_xlfn.XLOOKUP(A554, LOCAL!A:A, LOCAL!B:B)</f>
        <v>Bento Gonçalves - RS</v>
      </c>
      <c r="H554" t="str">
        <f>_xlfn.XLOOKUP(A554, PORTE!A:A, PORTE!B:B)</f>
        <v>0</v>
      </c>
      <c r="I554" t="str">
        <f>_xlfn.XLOOKUP(A554, OBJETIVO!A:A, OBJETIVO!B:B)</f>
        <v>Geração de leads b2b</v>
      </c>
      <c r="J554">
        <f t="shared" si="8"/>
        <v>0</v>
      </c>
    </row>
    <row r="555" spans="1:10" x14ac:dyDescent="0.25">
      <c r="A555">
        <v>11635289</v>
      </c>
      <c r="B555" s="1">
        <v>45730.787083333336</v>
      </c>
      <c r="C555" t="s">
        <v>0</v>
      </c>
      <c r="D555" t="str">
        <f>VLOOKUP(A555,MERCADO!A:B,2,0)</f>
        <v>Varejo</v>
      </c>
      <c r="E555" t="str">
        <f>_xlfn.XLOOKUP(A555, ORIGEM!A:A, ORIGEM!B:B)</f>
        <v>Google</v>
      </c>
      <c r="F555" t="str">
        <f>_xlfn.XLOOKUP(A555, ORIGEM!A:A, ORIGEM!C:C)</f>
        <v>google - cpc</v>
      </c>
      <c r="G555" t="str">
        <f>_xlfn.XLOOKUP(A555, LOCAL!A:A, LOCAL!B:B)</f>
        <v>Porto Alegre - RS</v>
      </c>
      <c r="H555" t="str">
        <f>_xlfn.XLOOKUP(A555, PORTE!A:A, PORTE!B:B)</f>
        <v>+ 1000</v>
      </c>
      <c r="I555" t="str">
        <f>_xlfn.XLOOKUP(A555, OBJETIVO!A:A, OBJETIVO!B:B)</f>
        <v>Abertura/Expansão</v>
      </c>
      <c r="J555">
        <f t="shared" si="8"/>
        <v>0</v>
      </c>
    </row>
    <row r="556" spans="1:10" x14ac:dyDescent="0.25">
      <c r="A556">
        <v>10747347</v>
      </c>
      <c r="B556" s="1">
        <v>45642.650752314818</v>
      </c>
      <c r="C556" t="s">
        <v>0</v>
      </c>
      <c r="D556" t="str">
        <f>VLOOKUP(A556,MERCADO!A:B,2,0)</f>
        <v>Servicos</v>
      </c>
      <c r="E556" t="str">
        <f>_xlfn.XLOOKUP(A556, ORIGEM!A:A, ORIGEM!B:B)</f>
        <v>Google</v>
      </c>
      <c r="F556" t="str">
        <f>_xlfn.XLOOKUP(A556, ORIGEM!A:A, ORIGEM!C:C)</f>
        <v>google - cpc</v>
      </c>
      <c r="G556" t="str">
        <f>_xlfn.XLOOKUP(A556, LOCAL!A:A, LOCAL!B:B)</f>
        <v>Bento Gonçalves - RS</v>
      </c>
      <c r="H556" t="str">
        <f>_xlfn.XLOOKUP(A556, PORTE!A:A, PORTE!B:B)</f>
        <v>11-50</v>
      </c>
      <c r="I556" t="str">
        <f>_xlfn.XLOOKUP(A556, OBJETIVO!A:A, OBJETIVO!B:B)</f>
        <v>Geração de leads b2b</v>
      </c>
      <c r="J556">
        <f t="shared" si="8"/>
        <v>0</v>
      </c>
    </row>
    <row r="557" spans="1:10" x14ac:dyDescent="0.25">
      <c r="A557">
        <v>11999381</v>
      </c>
      <c r="B557" s="1">
        <v>45762.508483796293</v>
      </c>
      <c r="C557" t="s">
        <v>0</v>
      </c>
      <c r="D557" t="str">
        <f>VLOOKUP(A557,MERCADO!A:B,2,0)</f>
        <v>Imobiliaria/Incorporadora/Construtora</v>
      </c>
      <c r="E557" t="str">
        <f>_xlfn.XLOOKUP(A557, ORIGEM!A:A, ORIGEM!B:B)</f>
        <v>Orgânico</v>
      </c>
      <c r="F557">
        <f>_xlfn.XLOOKUP(A557, ORIGEM!A:A, ORIGEM!C:C)</f>
        <v>0</v>
      </c>
      <c r="G557" t="str">
        <f>_xlfn.XLOOKUP(A557, LOCAL!A:A, LOCAL!B:B)</f>
        <v>-</v>
      </c>
      <c r="H557" t="str">
        <f>_xlfn.XLOOKUP(A557, PORTE!A:A, PORTE!B:B)</f>
        <v>11-50</v>
      </c>
      <c r="I557" t="str">
        <f>_xlfn.XLOOKUP(A557, OBJETIVO!A:A, OBJETIVO!B:B)</f>
        <v>Geração de leads b2b</v>
      </c>
      <c r="J557">
        <f t="shared" si="8"/>
        <v>0</v>
      </c>
    </row>
    <row r="558" spans="1:10" x14ac:dyDescent="0.25">
      <c r="A558">
        <v>11012233</v>
      </c>
      <c r="B558" s="1">
        <v>45674.706261574072</v>
      </c>
      <c r="C558" t="s">
        <v>0</v>
      </c>
      <c r="D558" t="str">
        <f>VLOOKUP(A558,MERCADO!A:B,2,0)</f>
        <v>Marketing/Publicidade/Consultoria</v>
      </c>
      <c r="E558" t="str">
        <f>_xlfn.XLOOKUP(A558, ORIGEM!A:A, ORIGEM!B:B)</f>
        <v>Google</v>
      </c>
      <c r="F558" t="str">
        <f>_xlfn.XLOOKUP(A558, ORIGEM!A:A, ORIGEM!C:C)</f>
        <v>google - cpc</v>
      </c>
      <c r="G558" t="str">
        <f>_xlfn.XLOOKUP(A558, LOCAL!A:A, LOCAL!B:B)</f>
        <v>Caxias do Sul - RS</v>
      </c>
      <c r="H558" t="str">
        <f>_xlfn.XLOOKUP(A558, PORTE!A:A, PORTE!B:B)</f>
        <v>1-10</v>
      </c>
      <c r="I558" t="str">
        <f>_xlfn.XLOOKUP(A558, OBJETIVO!A:A, OBJETIVO!B:B)</f>
        <v>Abertura/Expansão</v>
      </c>
      <c r="J558">
        <f t="shared" si="8"/>
        <v>0</v>
      </c>
    </row>
    <row r="559" spans="1:10" x14ac:dyDescent="0.25">
      <c r="A559">
        <v>11373937</v>
      </c>
      <c r="B559" s="1">
        <v>45705.428530092591</v>
      </c>
      <c r="C559" t="s">
        <v>0</v>
      </c>
      <c r="D559" t="str">
        <f>VLOOKUP(A559,MERCADO!A:B,2,0)</f>
        <v>Franqueadora</v>
      </c>
      <c r="E559" t="str">
        <f>_xlfn.XLOOKUP(A559, ORIGEM!A:A, ORIGEM!B:B)</f>
        <v>Orgânico</v>
      </c>
      <c r="F559">
        <f>_xlfn.XLOOKUP(A559, ORIGEM!A:A, ORIGEM!C:C)</f>
        <v>0</v>
      </c>
      <c r="G559" t="str">
        <f>_xlfn.XLOOKUP(A559, LOCAL!A:A, LOCAL!B:B)</f>
        <v>-</v>
      </c>
      <c r="H559" t="str">
        <f>_xlfn.XLOOKUP(A559, PORTE!A:A, PORTE!B:B)</f>
        <v>11-50</v>
      </c>
      <c r="I559" t="str">
        <f>_xlfn.XLOOKUP(A559, OBJETIVO!A:A, OBJETIVO!B:B)</f>
        <v>Planejamento estratégico</v>
      </c>
      <c r="J559">
        <f t="shared" si="8"/>
        <v>0</v>
      </c>
    </row>
    <row r="560" spans="1:10" x14ac:dyDescent="0.25">
      <c r="A560">
        <v>11464860</v>
      </c>
      <c r="B560" s="1">
        <v>45713.674120370371</v>
      </c>
      <c r="C560" t="s">
        <v>0</v>
      </c>
      <c r="D560" t="str">
        <f>VLOOKUP(A560,MERCADO!A:B,2,0)</f>
        <v>Servicos</v>
      </c>
      <c r="E560" t="str">
        <f>_xlfn.XLOOKUP(A560, ORIGEM!A:A, ORIGEM!B:B)</f>
        <v>Orgânico</v>
      </c>
      <c r="F560">
        <f>_xlfn.XLOOKUP(A560, ORIGEM!A:A, ORIGEM!C:C)</f>
        <v>0</v>
      </c>
      <c r="G560" t="str">
        <f>_xlfn.XLOOKUP(A560, LOCAL!A:A, LOCAL!B:B)</f>
        <v>Frederico Westphalen - RS</v>
      </c>
      <c r="H560">
        <f>_xlfn.XLOOKUP(A560, PORTE!A:A, PORTE!B:B)</f>
        <v>0</v>
      </c>
      <c r="I560" t="str">
        <f>_xlfn.XLOOKUP(A560, OBJETIVO!A:A, OBJETIVO!B:B)</f>
        <v>Abertura/Expansão</v>
      </c>
      <c r="J560">
        <f t="shared" si="8"/>
        <v>0</v>
      </c>
    </row>
    <row r="561" spans="1:10" x14ac:dyDescent="0.25">
      <c r="A561">
        <v>11496214</v>
      </c>
      <c r="B561" s="1">
        <v>45717.69226851852</v>
      </c>
      <c r="C561" t="s">
        <v>0</v>
      </c>
      <c r="D561" t="str">
        <f>VLOOKUP(A561,MERCADO!A:B,2,0)</f>
        <v>Franqueadora</v>
      </c>
      <c r="E561" t="str">
        <f>_xlfn.XLOOKUP(A561, ORIGEM!A:A, ORIGEM!B:B)</f>
        <v>Google</v>
      </c>
      <c r="F561" t="str">
        <f>_xlfn.XLOOKUP(A561, ORIGEM!A:A, ORIGEM!C:C)</f>
        <v>google - cpc</v>
      </c>
      <c r="G561" t="str">
        <f>_xlfn.XLOOKUP(A561, LOCAL!A:A, LOCAL!B:B)</f>
        <v>Passo Fundo - RS</v>
      </c>
      <c r="H561" t="str">
        <f>_xlfn.XLOOKUP(A561, PORTE!A:A, PORTE!B:B)</f>
        <v>1-10</v>
      </c>
      <c r="I561" t="str">
        <f>_xlfn.XLOOKUP(A561, OBJETIVO!A:A, OBJETIVO!B:B)</f>
        <v>Abertura/Expansão</v>
      </c>
      <c r="J561">
        <f t="shared" si="8"/>
        <v>0</v>
      </c>
    </row>
    <row r="562" spans="1:10" x14ac:dyDescent="0.25">
      <c r="A562">
        <v>11434554</v>
      </c>
      <c r="B562" s="1">
        <v>45711.625196759262</v>
      </c>
      <c r="C562" t="s">
        <v>0</v>
      </c>
      <c r="D562" t="str">
        <f>VLOOKUP(A562,MERCADO!A:B,2,0)</f>
        <v>Varejo</v>
      </c>
      <c r="E562" t="str">
        <f>_xlfn.XLOOKUP(A562, ORIGEM!A:A, ORIGEM!B:B)</f>
        <v>Orgânico</v>
      </c>
      <c r="F562">
        <f>_xlfn.XLOOKUP(A562, ORIGEM!A:A, ORIGEM!C:C)</f>
        <v>0</v>
      </c>
      <c r="G562" t="str">
        <f>_xlfn.XLOOKUP(A562, LOCAL!A:A, LOCAL!B:B)</f>
        <v>Pelotas - RS</v>
      </c>
      <c r="H562" t="str">
        <f>_xlfn.XLOOKUP(A562, PORTE!A:A, PORTE!B:B)</f>
        <v>1-10</v>
      </c>
      <c r="I562" t="str">
        <f>_xlfn.XLOOKUP(A562, OBJETIVO!A:A, OBJETIVO!B:B)</f>
        <v>Planejamento estratégico</v>
      </c>
      <c r="J562">
        <f t="shared" si="8"/>
        <v>0</v>
      </c>
    </row>
    <row r="563" spans="1:10" x14ac:dyDescent="0.25">
      <c r="A563">
        <v>10843920</v>
      </c>
      <c r="B563" s="1">
        <v>45656.690694444442</v>
      </c>
      <c r="C563" t="s">
        <v>0</v>
      </c>
      <c r="D563" t="str">
        <f>VLOOKUP(A563,MERCADO!A:B,2,0)</f>
        <v>Varejo</v>
      </c>
      <c r="E563" t="str">
        <f>_xlfn.XLOOKUP(A563, ORIGEM!A:A, ORIGEM!B:B)</f>
        <v>Orgânico</v>
      </c>
      <c r="F563">
        <f>_xlfn.XLOOKUP(A563, ORIGEM!A:A, ORIGEM!C:C)</f>
        <v>0</v>
      </c>
      <c r="G563" t="str">
        <f>_xlfn.XLOOKUP(A563, LOCAL!A:A, LOCAL!B:B)</f>
        <v>Porto Alegre - RS</v>
      </c>
      <c r="H563" t="str">
        <f>_xlfn.XLOOKUP(A563, PORTE!A:A, PORTE!B:B)</f>
        <v>+ 1000</v>
      </c>
      <c r="I563" t="str">
        <f>_xlfn.XLOOKUP(A563, OBJETIVO!A:A, OBJETIVO!B:B)</f>
        <v>Planejamento estratégico</v>
      </c>
      <c r="J563">
        <f t="shared" si="8"/>
        <v>0</v>
      </c>
    </row>
    <row r="564" spans="1:10" x14ac:dyDescent="0.25">
      <c r="A564">
        <v>10949862</v>
      </c>
      <c r="B564" s="1">
        <v>45669.619976851849</v>
      </c>
      <c r="C564" t="s">
        <v>0</v>
      </c>
      <c r="D564" t="str">
        <f>VLOOKUP(A564,MERCADO!A:B,2,0)</f>
        <v>Varejo</v>
      </c>
      <c r="E564" t="str">
        <f>_xlfn.XLOOKUP(A564, ORIGEM!A:A, ORIGEM!B:B)</f>
        <v>Google</v>
      </c>
      <c r="F564" t="str">
        <f>_xlfn.XLOOKUP(A564, ORIGEM!A:A, ORIGEM!C:C)</f>
        <v>google - cpc</v>
      </c>
      <c r="G564" t="str">
        <f>_xlfn.XLOOKUP(A564, LOCAL!A:A, LOCAL!B:B)</f>
        <v>Porto Alegre - RS</v>
      </c>
      <c r="H564" t="str">
        <f>_xlfn.XLOOKUP(A564, PORTE!A:A, PORTE!B:B)</f>
        <v>1-10</v>
      </c>
      <c r="I564" t="str">
        <f>_xlfn.XLOOKUP(A564, OBJETIVO!A:A, OBJETIVO!B:B)</f>
        <v>Abertura/Expansão</v>
      </c>
      <c r="J564">
        <f t="shared" si="8"/>
        <v>0</v>
      </c>
    </row>
    <row r="565" spans="1:10" x14ac:dyDescent="0.25">
      <c r="A565">
        <v>10822228</v>
      </c>
      <c r="B565" s="1">
        <v>45654.491018518522</v>
      </c>
      <c r="C565" t="s">
        <v>0</v>
      </c>
      <c r="D565" t="str">
        <f>VLOOKUP(A565,MERCADO!A:B,2,0)</f>
        <v>Franqueadora</v>
      </c>
      <c r="E565" t="str">
        <f>_xlfn.XLOOKUP(A565, ORIGEM!A:A, ORIGEM!B:B)</f>
        <v>Orgânico</v>
      </c>
      <c r="F565">
        <f>_xlfn.XLOOKUP(A565, ORIGEM!A:A, ORIGEM!C:C)</f>
        <v>0</v>
      </c>
      <c r="G565" t="str">
        <f>_xlfn.XLOOKUP(A565, LOCAL!A:A, LOCAL!B:B)</f>
        <v>Porto Alegre, RS</v>
      </c>
      <c r="H565" t="str">
        <f>_xlfn.XLOOKUP(A565, PORTE!A:A, PORTE!B:B)</f>
        <v>1-10</v>
      </c>
      <c r="I565" t="str">
        <f>_xlfn.XLOOKUP(A565, OBJETIVO!A:A, OBJETIVO!B:B)</f>
        <v>Abertura/Expansão</v>
      </c>
      <c r="J565">
        <f t="shared" si="8"/>
        <v>0</v>
      </c>
    </row>
    <row r="566" spans="1:10" x14ac:dyDescent="0.25">
      <c r="A566">
        <v>11271605</v>
      </c>
      <c r="B566" s="1">
        <v>45695.553090277775</v>
      </c>
      <c r="C566" t="s">
        <v>0</v>
      </c>
      <c r="D566" t="str">
        <f>VLOOKUP(A566,MERCADO!A:B,2,0)</f>
        <v>Empreendedor</v>
      </c>
      <c r="E566" t="str">
        <f>_xlfn.XLOOKUP(A566, ORIGEM!A:A, ORIGEM!B:B)</f>
        <v>Google</v>
      </c>
      <c r="F566" t="str">
        <f>_xlfn.XLOOKUP(A566, ORIGEM!A:A, ORIGEM!C:C)</f>
        <v>google - cpc</v>
      </c>
      <c r="G566" t="str">
        <f>_xlfn.XLOOKUP(A566, LOCAL!A:A, LOCAL!B:B)</f>
        <v>Ivoti - RS</v>
      </c>
      <c r="H566" t="str">
        <f>_xlfn.XLOOKUP(A566, PORTE!A:A, PORTE!B:B)</f>
        <v>0</v>
      </c>
      <c r="I566" t="str">
        <f>_xlfn.XLOOKUP(A566, OBJETIVO!A:A, OBJETIVO!B:B)</f>
        <v>Abertura/Expansão</v>
      </c>
      <c r="J566">
        <f t="shared" si="8"/>
        <v>0</v>
      </c>
    </row>
    <row r="567" spans="1:10" x14ac:dyDescent="0.25">
      <c r="A567">
        <v>11600830</v>
      </c>
      <c r="B567" s="1">
        <v>45726.574143518519</v>
      </c>
      <c r="C567" t="s">
        <v>0</v>
      </c>
      <c r="D567" t="str">
        <f>VLOOKUP(A567,MERCADO!A:B,2,0)</f>
        <v>Empreendedor</v>
      </c>
      <c r="E567" t="str">
        <f>_xlfn.XLOOKUP(A567, ORIGEM!A:A, ORIGEM!B:B)</f>
        <v>Google</v>
      </c>
      <c r="F567" t="str">
        <f>_xlfn.XLOOKUP(A567, ORIGEM!A:A, ORIGEM!C:C)</f>
        <v>google - cpc</v>
      </c>
      <c r="G567" t="str">
        <f>_xlfn.XLOOKUP(A567, LOCAL!A:A, LOCAL!B:B)</f>
        <v>Porto Alegre - RS</v>
      </c>
      <c r="H567" t="str">
        <f>_xlfn.XLOOKUP(A567, PORTE!A:A, PORTE!B:B)</f>
        <v>1-10</v>
      </c>
      <c r="I567" t="str">
        <f>_xlfn.XLOOKUP(A567, OBJETIVO!A:A, OBJETIVO!B:B)</f>
        <v>Ações de marketing/vendas</v>
      </c>
      <c r="J567">
        <f t="shared" si="8"/>
        <v>0</v>
      </c>
    </row>
    <row r="568" spans="1:10" x14ac:dyDescent="0.25">
      <c r="A568">
        <v>11739087</v>
      </c>
      <c r="B568" s="1">
        <v>45740.347256944442</v>
      </c>
      <c r="C568" t="s">
        <v>0</v>
      </c>
      <c r="D568" t="str">
        <f>VLOOKUP(A568,MERCADO!A:B,2,0)</f>
        <v>Servicos</v>
      </c>
      <c r="E568" t="str">
        <f>_xlfn.XLOOKUP(A568, ORIGEM!A:A, ORIGEM!B:B)</f>
        <v>Google</v>
      </c>
      <c r="F568" t="str">
        <f>_xlfn.XLOOKUP(A568, ORIGEM!A:A, ORIGEM!C:C)</f>
        <v>google - cpc</v>
      </c>
      <c r="G568" t="str">
        <f>_xlfn.XLOOKUP(A568, LOCAL!A:A, LOCAL!B:B)</f>
        <v>São Paulo - SP</v>
      </c>
      <c r="H568" t="str">
        <f>_xlfn.XLOOKUP(A568, PORTE!A:A, PORTE!B:B)</f>
        <v>11-50</v>
      </c>
      <c r="I568" t="str">
        <f>_xlfn.XLOOKUP(A568, OBJETIVO!A:A, OBJETIVO!B:B)</f>
        <v>Ações de marketing/vendas</v>
      </c>
      <c r="J568">
        <f t="shared" si="8"/>
        <v>0</v>
      </c>
    </row>
    <row r="569" spans="1:10" x14ac:dyDescent="0.25">
      <c r="A569">
        <v>12007587</v>
      </c>
      <c r="B569" s="1">
        <v>45762.951516203706</v>
      </c>
      <c r="C569" t="s">
        <v>0</v>
      </c>
      <c r="D569" t="str">
        <f>VLOOKUP(A569,MERCADO!A:B,2,0)</f>
        <v>Servicos</v>
      </c>
      <c r="E569" t="str">
        <f>_xlfn.XLOOKUP(A569, ORIGEM!A:A, ORIGEM!B:B)</f>
        <v>Google</v>
      </c>
      <c r="F569" t="str">
        <f>_xlfn.XLOOKUP(A569, ORIGEM!A:A, ORIGEM!C:C)</f>
        <v>google - cpc</v>
      </c>
      <c r="G569" t="str">
        <f>_xlfn.XLOOKUP(A569, LOCAL!A:A, LOCAL!B:B)</f>
        <v>Porto Alegre - RS</v>
      </c>
      <c r="H569" t="str">
        <f>_xlfn.XLOOKUP(A569, PORTE!A:A, PORTE!B:B)</f>
        <v>1-10</v>
      </c>
      <c r="I569" t="str">
        <f>_xlfn.XLOOKUP(A569, OBJETIVO!A:A, OBJETIVO!B:B)</f>
        <v>Abertura/Expansão</v>
      </c>
      <c r="J569">
        <f t="shared" si="8"/>
        <v>0</v>
      </c>
    </row>
    <row r="570" spans="1:10" x14ac:dyDescent="0.25">
      <c r="A570">
        <v>11847721</v>
      </c>
      <c r="B570" s="1">
        <v>45748.661145833335</v>
      </c>
      <c r="C570" t="s">
        <v>0</v>
      </c>
      <c r="D570" t="str">
        <f>VLOOKUP(A570,MERCADO!A:B,2,0)</f>
        <v>Servicos</v>
      </c>
      <c r="E570" t="str">
        <f>_xlfn.XLOOKUP(A570, ORIGEM!A:A, ORIGEM!B:B)</f>
        <v>Google</v>
      </c>
      <c r="F570" t="str">
        <f>_xlfn.XLOOKUP(A570, ORIGEM!A:A, ORIGEM!C:C)</f>
        <v>google - cpc</v>
      </c>
      <c r="G570" t="str">
        <f>_xlfn.XLOOKUP(A570, LOCAL!A:A, LOCAL!B:B)</f>
        <v>Petropolis - RS</v>
      </c>
      <c r="H570" t="str">
        <f>_xlfn.XLOOKUP(A570, PORTE!A:A, PORTE!B:B)</f>
        <v>11-50</v>
      </c>
      <c r="I570" t="str">
        <f>_xlfn.XLOOKUP(A570, OBJETIVO!A:A, OBJETIVO!B:B)</f>
        <v>Ações de marketing/vendas</v>
      </c>
      <c r="J570">
        <f t="shared" si="8"/>
        <v>0</v>
      </c>
    </row>
    <row r="571" spans="1:10" x14ac:dyDescent="0.25">
      <c r="A571">
        <v>11607864</v>
      </c>
      <c r="B571" s="1">
        <v>45727.295219907406</v>
      </c>
      <c r="C571" t="s">
        <v>0</v>
      </c>
      <c r="D571" t="str">
        <f>VLOOKUP(A571,MERCADO!A:B,2,0)</f>
        <v>Imobiliaria/Incorporadora/Construtora</v>
      </c>
      <c r="E571" t="str">
        <f>_xlfn.XLOOKUP(A571, ORIGEM!A:A, ORIGEM!B:B)</f>
        <v>Facebook</v>
      </c>
      <c r="F571" t="str">
        <f>_xlfn.XLOOKUP(A571, ORIGEM!A:A, ORIGEM!C:C)</f>
        <v>facebook - cpc</v>
      </c>
      <c r="G571" t="str">
        <f>_xlfn.XLOOKUP(A571, LOCAL!A:A, LOCAL!B:B)</f>
        <v>Icara - SC</v>
      </c>
      <c r="H571" t="str">
        <f>_xlfn.XLOOKUP(A571, PORTE!A:A, PORTE!B:B)</f>
        <v>1-10</v>
      </c>
      <c r="I571" t="str">
        <f>_xlfn.XLOOKUP(A571, OBJETIVO!A:A, OBJETIVO!B:B)</f>
        <v>Ações de marketing/vendas</v>
      </c>
      <c r="J571">
        <f t="shared" si="8"/>
        <v>0</v>
      </c>
    </row>
    <row r="572" spans="1:10" x14ac:dyDescent="0.25">
      <c r="A572">
        <v>11959280</v>
      </c>
      <c r="B572" s="1">
        <v>45759.794803240744</v>
      </c>
      <c r="C572" t="s">
        <v>0</v>
      </c>
      <c r="D572" t="str">
        <f>VLOOKUP(A572,MERCADO!A:B,2,0)</f>
        <v>Empreendedor</v>
      </c>
      <c r="E572" t="str">
        <f>_xlfn.XLOOKUP(A572, ORIGEM!A:A, ORIGEM!B:B)</f>
        <v>Orgânico</v>
      </c>
      <c r="F572">
        <f>_xlfn.XLOOKUP(A572, ORIGEM!A:A, ORIGEM!C:C)</f>
        <v>0</v>
      </c>
      <c r="G572" t="str">
        <f>_xlfn.XLOOKUP(A572, LOCAL!A:A, LOCAL!B:B)</f>
        <v>Joinville - SC</v>
      </c>
      <c r="H572" t="str">
        <f>_xlfn.XLOOKUP(A572, PORTE!A:A, PORTE!B:B)</f>
        <v>1-10</v>
      </c>
      <c r="I572" t="str">
        <f>_xlfn.XLOOKUP(A572, OBJETIVO!A:A, OBJETIVO!B:B)</f>
        <v>Planejamento estratégico</v>
      </c>
      <c r="J572">
        <f t="shared" si="8"/>
        <v>0</v>
      </c>
    </row>
    <row r="573" spans="1:10" x14ac:dyDescent="0.25">
      <c r="A573">
        <v>11407630</v>
      </c>
      <c r="B573" s="1">
        <v>45708.651585648149</v>
      </c>
      <c r="C573" t="s">
        <v>0</v>
      </c>
      <c r="D573" t="str">
        <f>VLOOKUP(A573,MERCADO!A:B,2,0)</f>
        <v>Imobiliaria/Incorporadora/Construtora</v>
      </c>
      <c r="E573" t="str">
        <f>_xlfn.XLOOKUP(A573, ORIGEM!A:A, ORIGEM!B:B)</f>
        <v>Facebook</v>
      </c>
      <c r="F573" t="str">
        <f>_xlfn.XLOOKUP(A573, ORIGEM!A:A, ORIGEM!C:C)</f>
        <v>facebook - cpc</v>
      </c>
      <c r="G573" t="str">
        <f>_xlfn.XLOOKUP(A573, LOCAL!A:A, LOCAL!B:B)</f>
        <v>Florianópolis - SC</v>
      </c>
      <c r="H573" t="str">
        <f>_xlfn.XLOOKUP(A573, PORTE!A:A, PORTE!B:B)</f>
        <v>0</v>
      </c>
      <c r="I573" t="str">
        <f>_xlfn.XLOOKUP(A573, OBJETIVO!A:A, OBJETIVO!B:B)</f>
        <v>Ações de marketing/vendas</v>
      </c>
      <c r="J573">
        <f t="shared" si="8"/>
        <v>0</v>
      </c>
    </row>
    <row r="574" spans="1:10" x14ac:dyDescent="0.25">
      <c r="A574">
        <v>11358751</v>
      </c>
      <c r="B574" s="1">
        <v>45703.96429398148</v>
      </c>
      <c r="C574" t="s">
        <v>0</v>
      </c>
      <c r="D574" t="str">
        <f>VLOOKUP(A574,MERCADO!A:B,2,0)</f>
        <v>Tecnologia</v>
      </c>
      <c r="E574" t="str">
        <f>_xlfn.XLOOKUP(A574, ORIGEM!A:A, ORIGEM!B:B)</f>
        <v>Facebook</v>
      </c>
      <c r="F574" t="str">
        <f>_xlfn.XLOOKUP(A574, ORIGEM!A:A, ORIGEM!C:C)</f>
        <v>facebook - cpc</v>
      </c>
      <c r="G574" t="str">
        <f>_xlfn.XLOOKUP(A574, LOCAL!A:A, LOCAL!B:B)</f>
        <v>Itapema - SC</v>
      </c>
      <c r="H574" t="str">
        <f>_xlfn.XLOOKUP(A574, PORTE!A:A, PORTE!B:B)</f>
        <v>11-50</v>
      </c>
      <c r="I574" t="str">
        <f>_xlfn.XLOOKUP(A574, OBJETIVO!A:A, OBJETIVO!B:B)</f>
        <v>Ações de marketing/vendas</v>
      </c>
      <c r="J574">
        <f t="shared" si="8"/>
        <v>0</v>
      </c>
    </row>
    <row r="575" spans="1:10" x14ac:dyDescent="0.25">
      <c r="A575">
        <v>11500961</v>
      </c>
      <c r="B575" s="1">
        <v>45718.377592592595</v>
      </c>
      <c r="C575" t="s">
        <v>0</v>
      </c>
      <c r="D575" t="str">
        <f>VLOOKUP(A575,MERCADO!A:B,2,0)</f>
        <v>Servicos</v>
      </c>
      <c r="E575" t="str">
        <f>_xlfn.XLOOKUP(A575, ORIGEM!A:A, ORIGEM!B:B)</f>
        <v>Orgânico</v>
      </c>
      <c r="F575">
        <f>_xlfn.XLOOKUP(A575, ORIGEM!A:A, ORIGEM!C:C)</f>
        <v>0</v>
      </c>
      <c r="G575" t="str">
        <f>_xlfn.XLOOKUP(A575, LOCAL!A:A, LOCAL!B:B)</f>
        <v>Joinville - SC</v>
      </c>
      <c r="H575" t="str">
        <f>_xlfn.XLOOKUP(A575, PORTE!A:A, PORTE!B:B)</f>
        <v>51-300</v>
      </c>
      <c r="I575" t="str">
        <f>_xlfn.XLOOKUP(A575, OBJETIVO!A:A, OBJETIVO!B:B)</f>
        <v>Geração de leads b2b</v>
      </c>
      <c r="J575">
        <f t="shared" si="8"/>
        <v>0</v>
      </c>
    </row>
    <row r="576" spans="1:10" x14ac:dyDescent="0.25">
      <c r="A576">
        <v>10919837</v>
      </c>
      <c r="B576" s="1">
        <v>45665.973912037036</v>
      </c>
      <c r="C576" t="s">
        <v>0</v>
      </c>
      <c r="D576" t="str">
        <f>VLOOKUP(A576,MERCADO!A:B,2,0)</f>
        <v>Servicos</v>
      </c>
      <c r="E576" t="str">
        <f>_xlfn.XLOOKUP(A576, ORIGEM!A:A, ORIGEM!B:B)</f>
        <v>Google</v>
      </c>
      <c r="F576" t="str">
        <f>_xlfn.XLOOKUP(A576, ORIGEM!A:A, ORIGEM!C:C)</f>
        <v>google - cpc</v>
      </c>
      <c r="G576" t="str">
        <f>_xlfn.XLOOKUP(A576, LOCAL!A:A, LOCAL!B:B)</f>
        <v>Joinville - SC</v>
      </c>
      <c r="H576" t="str">
        <f>_xlfn.XLOOKUP(A576, PORTE!A:A, PORTE!B:B)</f>
        <v>1-10</v>
      </c>
      <c r="I576" t="str">
        <f>_xlfn.XLOOKUP(A576, OBJETIVO!A:A, OBJETIVO!B:B)</f>
        <v>Ações de marketing/vendas</v>
      </c>
      <c r="J576">
        <f t="shared" si="8"/>
        <v>0</v>
      </c>
    </row>
    <row r="577" spans="1:10" x14ac:dyDescent="0.25">
      <c r="A577">
        <v>12012615</v>
      </c>
      <c r="B577" s="1">
        <v>45763.485706018517</v>
      </c>
      <c r="C577" t="s">
        <v>0</v>
      </c>
      <c r="D577" t="str">
        <f>VLOOKUP(A577,MERCADO!A:B,2,0)</f>
        <v>Empreendedor</v>
      </c>
      <c r="E577" t="str">
        <f>_xlfn.XLOOKUP(A577, ORIGEM!A:A, ORIGEM!B:B)</f>
        <v>Orgânico</v>
      </c>
      <c r="F577">
        <f>_xlfn.XLOOKUP(A577, ORIGEM!A:A, ORIGEM!C:C)</f>
        <v>0</v>
      </c>
      <c r="G577" t="str">
        <f>_xlfn.XLOOKUP(A577, LOCAL!A:A, LOCAL!B:B)</f>
        <v>Balneário Camboriú - SC</v>
      </c>
      <c r="H577" t="str">
        <f>_xlfn.XLOOKUP(A577, PORTE!A:A, PORTE!B:B)</f>
        <v>1-10</v>
      </c>
      <c r="I577" t="str">
        <f>_xlfn.XLOOKUP(A577, OBJETIVO!A:A, OBJETIVO!B:B)</f>
        <v>Abertura/Expansão</v>
      </c>
      <c r="J577">
        <f t="shared" si="8"/>
        <v>0</v>
      </c>
    </row>
    <row r="578" spans="1:10" x14ac:dyDescent="0.25">
      <c r="A578">
        <v>11038970</v>
      </c>
      <c r="B578" s="1">
        <v>45676.598032407404</v>
      </c>
      <c r="C578" t="s">
        <v>0</v>
      </c>
      <c r="D578" t="str">
        <f>VLOOKUP(A578,MERCADO!A:B,2,0)</f>
        <v>Varejo</v>
      </c>
      <c r="E578" t="str">
        <f>_xlfn.XLOOKUP(A578, ORIGEM!A:A, ORIGEM!B:B)</f>
        <v>Orgânico</v>
      </c>
      <c r="F578">
        <f>_xlfn.XLOOKUP(A578, ORIGEM!A:A, ORIGEM!C:C)</f>
        <v>0</v>
      </c>
      <c r="G578" t="str">
        <f>_xlfn.XLOOKUP(A578, LOCAL!A:A, LOCAL!B:B)</f>
        <v>Jaraguá do Sul - SC</v>
      </c>
      <c r="H578" t="str">
        <f>_xlfn.XLOOKUP(A578, PORTE!A:A, PORTE!B:B)</f>
        <v>+ 1000</v>
      </c>
      <c r="I578" t="str">
        <f>_xlfn.XLOOKUP(A578, OBJETIVO!A:A, OBJETIVO!B:B)</f>
        <v>Planejamento estratégico</v>
      </c>
      <c r="J578">
        <f t="shared" si="8"/>
        <v>0</v>
      </c>
    </row>
    <row r="579" spans="1:10" x14ac:dyDescent="0.25">
      <c r="A579">
        <v>10623857</v>
      </c>
      <c r="B579" s="1">
        <v>45632.665648148148</v>
      </c>
      <c r="C579" t="s">
        <v>0</v>
      </c>
      <c r="D579" t="str">
        <f>VLOOKUP(A579,MERCADO!A:B,2,0)</f>
        <v>Varejo</v>
      </c>
      <c r="E579" t="str">
        <f>_xlfn.XLOOKUP(A579, ORIGEM!A:A, ORIGEM!B:B)</f>
        <v>Orgânico</v>
      </c>
      <c r="F579">
        <f>_xlfn.XLOOKUP(A579, ORIGEM!A:A, ORIGEM!C:C)</f>
        <v>0</v>
      </c>
      <c r="G579" t="str">
        <f>_xlfn.XLOOKUP(A579, LOCAL!A:A, LOCAL!B:B)</f>
        <v>Florianópolis - SC</v>
      </c>
      <c r="H579" t="str">
        <f>_xlfn.XLOOKUP(A579, PORTE!A:A, PORTE!B:B)</f>
        <v>1-10</v>
      </c>
      <c r="I579" t="str">
        <f>_xlfn.XLOOKUP(A579, OBJETIVO!A:A, OBJETIVO!B:B)</f>
        <v>Abertura/Expansão</v>
      </c>
      <c r="J579">
        <f t="shared" ref="J579:J642" si="9">IF(C579="SIM",1,0)</f>
        <v>0</v>
      </c>
    </row>
    <row r="580" spans="1:10" x14ac:dyDescent="0.25">
      <c r="A580">
        <v>11591999</v>
      </c>
      <c r="B580" s="1">
        <v>45725.790092592593</v>
      </c>
      <c r="C580" t="s">
        <v>0</v>
      </c>
      <c r="D580" t="str">
        <f>VLOOKUP(A580,MERCADO!A:B,2,0)</f>
        <v>Varejo</v>
      </c>
      <c r="E580" t="str">
        <f>_xlfn.XLOOKUP(A580, ORIGEM!A:A, ORIGEM!B:B)</f>
        <v>Google</v>
      </c>
      <c r="F580" t="str">
        <f>_xlfn.XLOOKUP(A580, ORIGEM!A:A, ORIGEM!C:C)</f>
        <v>google - cpc</v>
      </c>
      <c r="G580" t="str">
        <f>_xlfn.XLOOKUP(A580, LOCAL!A:A, LOCAL!B:B)</f>
        <v>Florianópolis - SC</v>
      </c>
      <c r="H580" t="str">
        <f>_xlfn.XLOOKUP(A580, PORTE!A:A, PORTE!B:B)</f>
        <v>51-300</v>
      </c>
      <c r="I580" t="str">
        <f>_xlfn.XLOOKUP(A580, OBJETIVO!A:A, OBJETIVO!B:B)</f>
        <v>Ações de marketing/vendas</v>
      </c>
      <c r="J580">
        <f t="shared" si="9"/>
        <v>0</v>
      </c>
    </row>
    <row r="581" spans="1:10" x14ac:dyDescent="0.25">
      <c r="A581">
        <v>11835273</v>
      </c>
      <c r="B581" s="1">
        <v>45747.662777777776</v>
      </c>
      <c r="C581" t="s">
        <v>0</v>
      </c>
      <c r="D581" t="str">
        <f>VLOOKUP(A581,MERCADO!A:B,2,0)</f>
        <v>Servicos</v>
      </c>
      <c r="E581" t="str">
        <f>_xlfn.XLOOKUP(A581, ORIGEM!A:A, ORIGEM!B:B)</f>
        <v>Google</v>
      </c>
      <c r="F581">
        <f>_xlfn.XLOOKUP(A581, ORIGEM!A:A, ORIGEM!C:C)</f>
        <v>0</v>
      </c>
      <c r="G581" t="str">
        <f>_xlfn.XLOOKUP(A581, LOCAL!A:A, LOCAL!B:B)</f>
        <v>Florianópolis - SC</v>
      </c>
      <c r="H581" t="str">
        <f>_xlfn.XLOOKUP(A581, PORTE!A:A, PORTE!B:B)</f>
        <v>1-10</v>
      </c>
      <c r="I581" t="str">
        <f>_xlfn.XLOOKUP(A581, OBJETIVO!A:A, OBJETIVO!B:B)</f>
        <v>Planejamento estratégico</v>
      </c>
      <c r="J581">
        <f t="shared" si="9"/>
        <v>0</v>
      </c>
    </row>
    <row r="582" spans="1:10" x14ac:dyDescent="0.25">
      <c r="A582">
        <v>10948125</v>
      </c>
      <c r="B582" s="1">
        <v>45669.5544212963</v>
      </c>
      <c r="C582" t="s">
        <v>0</v>
      </c>
      <c r="D582" t="str">
        <f>VLOOKUP(A582,MERCADO!A:B,2,0)</f>
        <v>Tecnologia</v>
      </c>
      <c r="E582" t="str">
        <f>_xlfn.XLOOKUP(A582, ORIGEM!A:A, ORIGEM!B:B)</f>
        <v>Google</v>
      </c>
      <c r="F582" t="str">
        <f>_xlfn.XLOOKUP(A582, ORIGEM!A:A, ORIGEM!C:C)</f>
        <v>google - cpc</v>
      </c>
      <c r="G582" t="str">
        <f>_xlfn.XLOOKUP(A582, LOCAL!A:A, LOCAL!B:B)</f>
        <v>Navegantes - SC</v>
      </c>
      <c r="H582" t="str">
        <f>_xlfn.XLOOKUP(A582, PORTE!A:A, PORTE!B:B)</f>
        <v>11-50</v>
      </c>
      <c r="I582" t="str">
        <f>_xlfn.XLOOKUP(A582, OBJETIVO!A:A, OBJETIVO!B:B)</f>
        <v>Geração de leads b2b</v>
      </c>
      <c r="J582">
        <f t="shared" si="9"/>
        <v>0</v>
      </c>
    </row>
    <row r="583" spans="1:10" x14ac:dyDescent="0.25">
      <c r="A583">
        <v>11751347</v>
      </c>
      <c r="B583" s="1">
        <v>45740.745555555557</v>
      </c>
      <c r="C583" t="s">
        <v>0</v>
      </c>
      <c r="D583" t="str">
        <f>VLOOKUP(A583,MERCADO!A:B,2,0)</f>
        <v>Tecnologia</v>
      </c>
      <c r="E583" t="str">
        <f>_xlfn.XLOOKUP(A583, ORIGEM!A:A, ORIGEM!B:B)</f>
        <v>Orgânico</v>
      </c>
      <c r="F583">
        <f>_xlfn.XLOOKUP(A583, ORIGEM!A:A, ORIGEM!C:C)</f>
        <v>0</v>
      </c>
      <c r="G583" t="str">
        <f>_xlfn.XLOOKUP(A583, LOCAL!A:A, LOCAL!B:B)</f>
        <v>Sao Jose - SC</v>
      </c>
      <c r="H583" t="str">
        <f>_xlfn.XLOOKUP(A583, PORTE!A:A, PORTE!B:B)</f>
        <v>1-10</v>
      </c>
      <c r="I583" t="str">
        <f>_xlfn.XLOOKUP(A583, OBJETIVO!A:A, OBJETIVO!B:B)</f>
        <v>Planejamento estratégico</v>
      </c>
      <c r="J583">
        <f t="shared" si="9"/>
        <v>0</v>
      </c>
    </row>
    <row r="584" spans="1:10" x14ac:dyDescent="0.25">
      <c r="A584">
        <v>11642856</v>
      </c>
      <c r="B584" s="1">
        <v>45731.578020833331</v>
      </c>
      <c r="C584" t="s">
        <v>0</v>
      </c>
      <c r="D584" t="str">
        <f>VLOOKUP(A584,MERCADO!A:B,2,0)</f>
        <v>Industria</v>
      </c>
      <c r="E584" t="str">
        <f>_xlfn.XLOOKUP(A584, ORIGEM!A:A, ORIGEM!B:B)</f>
        <v>Bing</v>
      </c>
      <c r="F584" t="str">
        <f>_xlfn.XLOOKUP(A584, ORIGEM!A:A, ORIGEM!C:C)</f>
        <v>bing - cpc</v>
      </c>
      <c r="G584" t="str">
        <f>_xlfn.XLOOKUP(A584, LOCAL!A:A, LOCAL!B:B)</f>
        <v>Sao Joao Batista - SC</v>
      </c>
      <c r="H584" t="str">
        <f>_xlfn.XLOOKUP(A584, PORTE!A:A, PORTE!B:B)</f>
        <v>1-10</v>
      </c>
      <c r="I584" t="str">
        <f>_xlfn.XLOOKUP(A584, OBJETIVO!A:A, OBJETIVO!B:B)</f>
        <v>Abertura/Expansão</v>
      </c>
      <c r="J584">
        <f t="shared" si="9"/>
        <v>0</v>
      </c>
    </row>
    <row r="585" spans="1:10" x14ac:dyDescent="0.25">
      <c r="A585">
        <v>11289716</v>
      </c>
      <c r="B585" s="1">
        <v>45696.727349537039</v>
      </c>
      <c r="C585" t="s">
        <v>0</v>
      </c>
      <c r="D585" t="str">
        <f>VLOOKUP(A585,MERCADO!A:B,2,0)</f>
        <v>Franqueadora</v>
      </c>
      <c r="E585" t="str">
        <f>_xlfn.XLOOKUP(A585, ORIGEM!A:A, ORIGEM!B:B)</f>
        <v>Bing</v>
      </c>
      <c r="F585" t="str">
        <f>_xlfn.XLOOKUP(A585, ORIGEM!A:A, ORIGEM!C:C)</f>
        <v>bing - cpc</v>
      </c>
      <c r="G585" t="str">
        <f>_xlfn.XLOOKUP(A585, LOCAL!A:A, LOCAL!B:B)</f>
        <v>Joinville - SC</v>
      </c>
      <c r="H585" t="str">
        <f>_xlfn.XLOOKUP(A585, PORTE!A:A, PORTE!B:B)</f>
        <v>1-10</v>
      </c>
      <c r="I585" t="str">
        <f>_xlfn.XLOOKUP(A585, OBJETIVO!A:A, OBJETIVO!B:B)</f>
        <v>Abertura/Expansão</v>
      </c>
      <c r="J585">
        <f t="shared" si="9"/>
        <v>0</v>
      </c>
    </row>
    <row r="586" spans="1:10" x14ac:dyDescent="0.25">
      <c r="A586">
        <v>11679220</v>
      </c>
      <c r="B586" s="1">
        <v>45733.781817129631</v>
      </c>
      <c r="C586" t="s">
        <v>0</v>
      </c>
      <c r="D586" t="str">
        <f>VLOOKUP(A586,MERCADO!A:B,2,0)</f>
        <v>Empreendedor</v>
      </c>
      <c r="E586" t="str">
        <f>_xlfn.XLOOKUP(A586, ORIGEM!A:A, ORIGEM!B:B)</f>
        <v>Google</v>
      </c>
      <c r="F586" t="str">
        <f>_xlfn.XLOOKUP(A586, ORIGEM!A:A, ORIGEM!C:C)</f>
        <v>google - cpc</v>
      </c>
      <c r="G586" t="str">
        <f>_xlfn.XLOOKUP(A586, LOCAL!A:A, LOCAL!B:B)</f>
        <v>Palhoca - SC</v>
      </c>
      <c r="H586" t="str">
        <f>_xlfn.XLOOKUP(A586, PORTE!A:A, PORTE!B:B)</f>
        <v>1-10</v>
      </c>
      <c r="I586" t="str">
        <f>_xlfn.XLOOKUP(A586, OBJETIVO!A:A, OBJETIVO!B:B)</f>
        <v>Abertura/Expansão</v>
      </c>
      <c r="J586">
        <f t="shared" si="9"/>
        <v>0</v>
      </c>
    </row>
    <row r="587" spans="1:10" x14ac:dyDescent="0.25">
      <c r="A587">
        <v>11661499</v>
      </c>
      <c r="B587" s="1">
        <v>45732.681956018518</v>
      </c>
      <c r="C587" t="s">
        <v>0</v>
      </c>
      <c r="D587" t="str">
        <f>VLOOKUP(A587,MERCADO!A:B,2,0)</f>
        <v>Imobiliaria/Incorporadora/Construtora</v>
      </c>
      <c r="E587" t="str">
        <f>_xlfn.XLOOKUP(A587, ORIGEM!A:A, ORIGEM!B:B)</f>
        <v>Linkedin</v>
      </c>
      <c r="F587" t="str">
        <f>_xlfn.XLOOKUP(A587, ORIGEM!A:A, ORIGEM!C:C)</f>
        <v>linkedin - cpc</v>
      </c>
      <c r="G587" t="str">
        <f>_xlfn.XLOOKUP(A587, LOCAL!A:A, LOCAL!B:B)</f>
        <v>Itapema - SC</v>
      </c>
      <c r="H587" t="str">
        <f>_xlfn.XLOOKUP(A587, PORTE!A:A, PORTE!B:B)</f>
        <v>1-10</v>
      </c>
      <c r="I587" t="str">
        <f>_xlfn.XLOOKUP(A587, OBJETIVO!A:A, OBJETIVO!B:B)</f>
        <v>Ações de marketing/vendas</v>
      </c>
      <c r="J587">
        <f t="shared" si="9"/>
        <v>0</v>
      </c>
    </row>
    <row r="588" spans="1:10" x14ac:dyDescent="0.25">
      <c r="A588">
        <v>11632169</v>
      </c>
      <c r="B588" s="1">
        <v>45729.656944444447</v>
      </c>
      <c r="C588" t="s">
        <v>0</v>
      </c>
      <c r="D588" t="str">
        <f>VLOOKUP(A588,MERCADO!A:B,2,0)</f>
        <v>Industria</v>
      </c>
      <c r="E588" t="str">
        <f>_xlfn.XLOOKUP(A588, ORIGEM!A:A, ORIGEM!B:B)</f>
        <v>Facebook</v>
      </c>
      <c r="F588" t="str">
        <f>_xlfn.XLOOKUP(A588, ORIGEM!A:A, ORIGEM!C:C)</f>
        <v>facebook - cpc</v>
      </c>
      <c r="G588" t="str">
        <f>_xlfn.XLOOKUP(A588, LOCAL!A:A, LOCAL!B:B)</f>
        <v>Rio do Sul - SC</v>
      </c>
      <c r="H588" t="str">
        <f>_xlfn.XLOOKUP(A588, PORTE!A:A, PORTE!B:B)</f>
        <v>+ 1000</v>
      </c>
      <c r="I588" t="str">
        <f>_xlfn.XLOOKUP(A588, OBJETIVO!A:A, OBJETIVO!B:B)</f>
        <v>Outro</v>
      </c>
      <c r="J588">
        <f t="shared" si="9"/>
        <v>0</v>
      </c>
    </row>
    <row r="589" spans="1:10" x14ac:dyDescent="0.25">
      <c r="A589">
        <v>10918693</v>
      </c>
      <c r="B589" s="1">
        <v>45665.721168981479</v>
      </c>
      <c r="C589" t="s">
        <v>0</v>
      </c>
      <c r="D589" t="str">
        <f>VLOOKUP(A589,MERCADO!A:B,2,0)</f>
        <v>Imobiliaria/Incorporadora/Construtora</v>
      </c>
      <c r="E589" t="str">
        <f>_xlfn.XLOOKUP(A589, ORIGEM!A:A, ORIGEM!B:B)</f>
        <v>Google</v>
      </c>
      <c r="F589" t="str">
        <f>_xlfn.XLOOKUP(A589, ORIGEM!A:A, ORIGEM!C:C)</f>
        <v>google - cpc</v>
      </c>
      <c r="G589" t="str">
        <f>_xlfn.XLOOKUP(A589, LOCAL!A:A, LOCAL!B:B)</f>
        <v>Porto Alegre - RS</v>
      </c>
      <c r="H589" t="str">
        <f>_xlfn.XLOOKUP(A589, PORTE!A:A, PORTE!B:B)</f>
        <v>1-10</v>
      </c>
      <c r="I589" t="str">
        <f>_xlfn.XLOOKUP(A589, OBJETIVO!A:A, OBJETIVO!B:B)</f>
        <v>Ações de marketing/vendas</v>
      </c>
      <c r="J589">
        <f t="shared" si="9"/>
        <v>0</v>
      </c>
    </row>
    <row r="590" spans="1:10" x14ac:dyDescent="0.25">
      <c r="A590">
        <v>11543130</v>
      </c>
      <c r="B590" s="1">
        <v>45720.85229166667</v>
      </c>
      <c r="C590" t="s">
        <v>0</v>
      </c>
      <c r="D590" t="str">
        <f>VLOOKUP(A590,MERCADO!A:B,2,0)</f>
        <v>Marketing/Publicidade/Consultoria</v>
      </c>
      <c r="E590" t="str">
        <f>_xlfn.XLOOKUP(A590, ORIGEM!A:A, ORIGEM!B:B)</f>
        <v>Facebook</v>
      </c>
      <c r="F590" t="str">
        <f>_xlfn.XLOOKUP(A590, ORIGEM!A:A, ORIGEM!C:C)</f>
        <v>facebook - cpc</v>
      </c>
      <c r="G590" t="str">
        <f>_xlfn.XLOOKUP(A590, LOCAL!A:A, LOCAL!B:B)</f>
        <v>Passo Fundo - RS</v>
      </c>
      <c r="H590" t="str">
        <f>_xlfn.XLOOKUP(A590, PORTE!A:A, PORTE!B:B)</f>
        <v>+ 1000</v>
      </c>
      <c r="I590" t="str">
        <f>_xlfn.XLOOKUP(A590, OBJETIVO!A:A, OBJETIVO!B:B)</f>
        <v>Geração de leads b2b</v>
      </c>
      <c r="J590">
        <f t="shared" si="9"/>
        <v>0</v>
      </c>
    </row>
    <row r="591" spans="1:10" x14ac:dyDescent="0.25">
      <c r="A591">
        <v>11557905</v>
      </c>
      <c r="B591" s="1">
        <v>45722.017222222225</v>
      </c>
      <c r="C591" t="s">
        <v>0</v>
      </c>
      <c r="D591" t="str">
        <f>VLOOKUP(A591,MERCADO!A:B,2,0)</f>
        <v>Marketing/Publicidade/Consultoria</v>
      </c>
      <c r="E591" t="str">
        <f>_xlfn.XLOOKUP(A591, ORIGEM!A:A, ORIGEM!B:B)</f>
        <v>Facebook</v>
      </c>
      <c r="F591" t="str">
        <f>_xlfn.XLOOKUP(A591, ORIGEM!A:A, ORIGEM!C:C)</f>
        <v>facebook - cpc</v>
      </c>
      <c r="G591" t="str">
        <f>_xlfn.XLOOKUP(A591, LOCAL!A:A, LOCAL!B:B)</f>
        <v>Porto Alegre - RS</v>
      </c>
      <c r="H591" t="str">
        <f>_xlfn.XLOOKUP(A591, PORTE!A:A, PORTE!B:B)</f>
        <v>1-10</v>
      </c>
      <c r="I591" t="str">
        <f>_xlfn.XLOOKUP(A591, OBJETIVO!A:A, OBJETIVO!B:B)</f>
        <v>Consultoria</v>
      </c>
      <c r="J591">
        <f t="shared" si="9"/>
        <v>0</v>
      </c>
    </row>
    <row r="592" spans="1:10" x14ac:dyDescent="0.25">
      <c r="A592">
        <v>10947732</v>
      </c>
      <c r="B592" s="1">
        <v>45669.521747685183</v>
      </c>
      <c r="C592" t="s">
        <v>0</v>
      </c>
      <c r="D592" t="str">
        <f>VLOOKUP(A592,MERCADO!A:B,2,0)</f>
        <v>Servicos</v>
      </c>
      <c r="E592" t="str">
        <f>_xlfn.XLOOKUP(A592, ORIGEM!A:A, ORIGEM!B:B)</f>
        <v>Orgânico</v>
      </c>
      <c r="F592">
        <f>_xlfn.XLOOKUP(A592, ORIGEM!A:A, ORIGEM!C:C)</f>
        <v>0</v>
      </c>
      <c r="G592" t="str">
        <f>_xlfn.XLOOKUP(A592, LOCAL!A:A, LOCAL!B:B)</f>
        <v>Balneário Camboriú - SC</v>
      </c>
      <c r="H592" t="str">
        <f>_xlfn.XLOOKUP(A592, PORTE!A:A, PORTE!B:B)</f>
        <v>1-10</v>
      </c>
      <c r="I592" t="str">
        <f>_xlfn.XLOOKUP(A592, OBJETIVO!A:A, OBJETIVO!B:B)</f>
        <v>Outro</v>
      </c>
      <c r="J592">
        <f t="shared" si="9"/>
        <v>0</v>
      </c>
    </row>
    <row r="593" spans="1:10" x14ac:dyDescent="0.25">
      <c r="A593">
        <v>10911709</v>
      </c>
      <c r="B593" s="1">
        <v>45665.474722222221</v>
      </c>
      <c r="C593" t="s">
        <v>0</v>
      </c>
      <c r="D593" t="str">
        <f>VLOOKUP(A593,MERCADO!A:B,2,0)</f>
        <v>Servicos</v>
      </c>
      <c r="E593" t="str">
        <f>_xlfn.XLOOKUP(A593, ORIGEM!A:A, ORIGEM!B:B)</f>
        <v>Google</v>
      </c>
      <c r="F593" t="str">
        <f>_xlfn.XLOOKUP(A593, ORIGEM!A:A, ORIGEM!C:C)</f>
        <v>google - cpc</v>
      </c>
      <c r="G593" t="str">
        <f>_xlfn.XLOOKUP(A593, LOCAL!A:A, LOCAL!B:B)</f>
        <v>Porto Alegre - RS</v>
      </c>
      <c r="H593" t="str">
        <f>_xlfn.XLOOKUP(A593, PORTE!A:A, PORTE!B:B)</f>
        <v>301-1000</v>
      </c>
      <c r="I593" t="str">
        <f>_xlfn.XLOOKUP(A593, OBJETIVO!A:A, OBJETIVO!B:B)</f>
        <v>Abertura/Expansão</v>
      </c>
      <c r="J593">
        <f t="shared" si="9"/>
        <v>0</v>
      </c>
    </row>
    <row r="594" spans="1:10" x14ac:dyDescent="0.25">
      <c r="A594">
        <v>10920068</v>
      </c>
      <c r="B594" s="1">
        <v>45666.194733796299</v>
      </c>
      <c r="C594" t="s">
        <v>0</v>
      </c>
      <c r="D594" t="str">
        <f>VLOOKUP(A594,MERCADO!A:B,2,0)</f>
        <v>Imobiliaria/Incorporadora/Construtora</v>
      </c>
      <c r="E594" t="str">
        <f>_xlfn.XLOOKUP(A594, ORIGEM!A:A, ORIGEM!B:B)</f>
        <v>Facebook</v>
      </c>
      <c r="F594" t="str">
        <f>_xlfn.XLOOKUP(A594, ORIGEM!A:A, ORIGEM!C:C)</f>
        <v>facebook - cpc</v>
      </c>
      <c r="G594" t="str">
        <f>_xlfn.XLOOKUP(A594, LOCAL!A:A, LOCAL!B:B)</f>
        <v>Santa Maria - RS</v>
      </c>
      <c r="H594" t="str">
        <f>_xlfn.XLOOKUP(A594, PORTE!A:A, PORTE!B:B)</f>
        <v>1-10</v>
      </c>
      <c r="I594" t="str">
        <f>_xlfn.XLOOKUP(A594, OBJETIVO!A:A, OBJETIVO!B:B)</f>
        <v>Geração de leads b2b</v>
      </c>
      <c r="J594">
        <f t="shared" si="9"/>
        <v>0</v>
      </c>
    </row>
    <row r="595" spans="1:10" x14ac:dyDescent="0.25">
      <c r="A595">
        <v>11010194</v>
      </c>
      <c r="B595" s="1">
        <v>45673.74255787037</v>
      </c>
      <c r="C595" t="s">
        <v>0</v>
      </c>
      <c r="D595" t="str">
        <f>VLOOKUP(A595,MERCADO!A:B,2,0)</f>
        <v>Marketing/Publicidade/Consultoria</v>
      </c>
      <c r="E595" t="str">
        <f>_xlfn.XLOOKUP(A595, ORIGEM!A:A, ORIGEM!B:B)</f>
        <v>Google</v>
      </c>
      <c r="F595" t="str">
        <f>_xlfn.XLOOKUP(A595, ORIGEM!A:A, ORIGEM!C:C)</f>
        <v>google - cpc</v>
      </c>
      <c r="G595" t="str">
        <f>_xlfn.XLOOKUP(A595, LOCAL!A:A, LOCAL!B:B)</f>
        <v>Alecrim - RS</v>
      </c>
      <c r="H595" t="str">
        <f>_xlfn.XLOOKUP(A595, PORTE!A:A, PORTE!B:B)</f>
        <v>11-50</v>
      </c>
      <c r="I595" t="str">
        <f>_xlfn.XLOOKUP(A595, OBJETIVO!A:A, OBJETIVO!B:B)</f>
        <v>Consultoria</v>
      </c>
      <c r="J595">
        <f t="shared" si="9"/>
        <v>0</v>
      </c>
    </row>
    <row r="596" spans="1:10" x14ac:dyDescent="0.25">
      <c r="A596">
        <v>11599311</v>
      </c>
      <c r="B596" s="1">
        <v>45726.487361111111</v>
      </c>
      <c r="C596" t="s">
        <v>0</v>
      </c>
      <c r="D596" t="str">
        <f>VLOOKUP(A596,MERCADO!A:B,2,0)</f>
        <v>Empreendedor</v>
      </c>
      <c r="E596" t="str">
        <f>_xlfn.XLOOKUP(A596, ORIGEM!A:A, ORIGEM!B:B)</f>
        <v>Leads</v>
      </c>
      <c r="F596" t="str">
        <f>_xlfn.XLOOKUP(A596, ORIGEM!A:A, ORIGEM!C:C)</f>
        <v>leads - email</v>
      </c>
      <c r="G596" t="str">
        <f>_xlfn.XLOOKUP(A596, LOCAL!A:A, LOCAL!B:B)</f>
        <v>Santiago - RS</v>
      </c>
      <c r="H596" t="str">
        <f>_xlfn.XLOOKUP(A596, PORTE!A:A, PORTE!B:B)</f>
        <v>1-10</v>
      </c>
      <c r="I596" t="str">
        <f>_xlfn.XLOOKUP(A596, OBJETIVO!A:A, OBJETIVO!B:B)</f>
        <v>Ações de marketing/vendas</v>
      </c>
      <c r="J596">
        <f t="shared" si="9"/>
        <v>0</v>
      </c>
    </row>
    <row r="597" spans="1:10" x14ac:dyDescent="0.25">
      <c r="A597">
        <v>10954335</v>
      </c>
      <c r="B597" s="1">
        <v>45669.791944444441</v>
      </c>
      <c r="C597" t="s">
        <v>0</v>
      </c>
      <c r="D597" t="str">
        <f>VLOOKUP(A597,MERCADO!A:B,2,0)</f>
        <v>Servicos</v>
      </c>
      <c r="E597" t="str">
        <f>_xlfn.XLOOKUP(A597, ORIGEM!A:A, ORIGEM!B:B)</f>
        <v>Google</v>
      </c>
      <c r="F597" t="str">
        <f>_xlfn.XLOOKUP(A597, ORIGEM!A:A, ORIGEM!C:C)</f>
        <v>google - cpc</v>
      </c>
      <c r="G597" t="str">
        <f>_xlfn.XLOOKUP(A597, LOCAL!A:A, LOCAL!B:B)</f>
        <v>Curitiba - PR</v>
      </c>
      <c r="H597" t="str">
        <f>_xlfn.XLOOKUP(A597, PORTE!A:A, PORTE!B:B)</f>
        <v>1-10</v>
      </c>
      <c r="I597" t="str">
        <f>_xlfn.XLOOKUP(A597, OBJETIVO!A:A, OBJETIVO!B:B)</f>
        <v>Outro</v>
      </c>
      <c r="J597">
        <f t="shared" si="9"/>
        <v>0</v>
      </c>
    </row>
    <row r="598" spans="1:10" x14ac:dyDescent="0.25">
      <c r="A598">
        <v>11871153</v>
      </c>
      <c r="B598" s="1">
        <v>45752.693055555559</v>
      </c>
      <c r="C598" t="s">
        <v>0</v>
      </c>
      <c r="D598" t="str">
        <f>VLOOKUP(A598,MERCADO!A:B,2,0)</f>
        <v>Marketing/Publicidade/Consultoria</v>
      </c>
      <c r="E598" t="str">
        <f>_xlfn.XLOOKUP(A598, ORIGEM!A:A, ORIGEM!B:B)</f>
        <v>Google</v>
      </c>
      <c r="F598" t="str">
        <f>_xlfn.XLOOKUP(A598, ORIGEM!A:A, ORIGEM!C:C)</f>
        <v>google - cpc</v>
      </c>
      <c r="G598" t="str">
        <f>_xlfn.XLOOKUP(A598, LOCAL!A:A, LOCAL!B:B)</f>
        <v>Chapecó - SC</v>
      </c>
      <c r="H598" t="str">
        <f>_xlfn.XLOOKUP(A598, PORTE!A:A, PORTE!B:B)</f>
        <v>0</v>
      </c>
      <c r="I598" t="str">
        <f>_xlfn.XLOOKUP(A598, OBJETIVO!A:A, OBJETIVO!B:B)</f>
        <v>Outro</v>
      </c>
      <c r="J598">
        <f t="shared" si="9"/>
        <v>0</v>
      </c>
    </row>
    <row r="599" spans="1:10" x14ac:dyDescent="0.25">
      <c r="A599">
        <v>11492454</v>
      </c>
      <c r="B599" s="1">
        <v>45717.577523148146</v>
      </c>
      <c r="C599" t="s">
        <v>0</v>
      </c>
      <c r="D599" t="str">
        <f>VLOOKUP(A599,MERCADO!A:B,2,0)</f>
        <v>Servicos</v>
      </c>
      <c r="E599" t="str">
        <f>_xlfn.XLOOKUP(A599, ORIGEM!A:A, ORIGEM!B:B)</f>
        <v>Google</v>
      </c>
      <c r="F599" t="str">
        <f>_xlfn.XLOOKUP(A599, ORIGEM!A:A, ORIGEM!C:C)</f>
        <v>google - cpc</v>
      </c>
      <c r="G599" t="str">
        <f>_xlfn.XLOOKUP(A599, LOCAL!A:A, LOCAL!B:B)</f>
        <v>Criciúma - SC</v>
      </c>
      <c r="H599" t="str">
        <f>_xlfn.XLOOKUP(A599, PORTE!A:A, PORTE!B:B)</f>
        <v>301-1000</v>
      </c>
      <c r="I599" t="str">
        <f>_xlfn.XLOOKUP(A599, OBJETIVO!A:A, OBJETIVO!B:B)</f>
        <v>Ações de marketing/vendas</v>
      </c>
      <c r="J599">
        <f t="shared" si="9"/>
        <v>0</v>
      </c>
    </row>
    <row r="600" spans="1:10" x14ac:dyDescent="0.25">
      <c r="A600">
        <v>10746239</v>
      </c>
      <c r="B600" s="1">
        <v>45642.602175925924</v>
      </c>
      <c r="C600" t="s">
        <v>0</v>
      </c>
      <c r="D600" t="str">
        <f>VLOOKUP(A600,MERCADO!A:B,2,0)</f>
        <v>Servicos</v>
      </c>
      <c r="E600" t="str">
        <f>_xlfn.XLOOKUP(A600, ORIGEM!A:A, ORIGEM!B:B)</f>
        <v>Google</v>
      </c>
      <c r="F600" t="str">
        <f>_xlfn.XLOOKUP(A600, ORIGEM!A:A, ORIGEM!C:C)</f>
        <v>google - cpc</v>
      </c>
      <c r="G600" t="str">
        <f>_xlfn.XLOOKUP(A600, LOCAL!A:A, LOCAL!B:B)</f>
        <v>Criciúma - SC</v>
      </c>
      <c r="H600" t="str">
        <f>_xlfn.XLOOKUP(A600, PORTE!A:A, PORTE!B:B)</f>
        <v>1-10</v>
      </c>
      <c r="I600" t="str">
        <f>_xlfn.XLOOKUP(A600, OBJETIVO!A:A, OBJETIVO!B:B)</f>
        <v>Outro</v>
      </c>
      <c r="J600">
        <f t="shared" si="9"/>
        <v>0</v>
      </c>
    </row>
    <row r="601" spans="1:10" x14ac:dyDescent="0.25">
      <c r="A601">
        <v>10926762</v>
      </c>
      <c r="B601" s="1">
        <v>45668.393275462964</v>
      </c>
      <c r="C601" t="s">
        <v>0</v>
      </c>
      <c r="D601" t="str">
        <f>VLOOKUP(A601,MERCADO!A:B,2,0)</f>
        <v>Empreendedor</v>
      </c>
      <c r="E601" t="str">
        <f>_xlfn.XLOOKUP(A601, ORIGEM!A:A, ORIGEM!B:B)</f>
        <v>Google</v>
      </c>
      <c r="F601" t="str">
        <f>_xlfn.XLOOKUP(A601, ORIGEM!A:A, ORIGEM!C:C)</f>
        <v>google - cpc</v>
      </c>
      <c r="G601" t="str">
        <f>_xlfn.XLOOKUP(A601, LOCAL!A:A, LOCAL!B:B)</f>
        <v>Criciúma - SC</v>
      </c>
      <c r="H601" t="str">
        <f>_xlfn.XLOOKUP(A601, PORTE!A:A, PORTE!B:B)</f>
        <v>0</v>
      </c>
      <c r="I601" t="str">
        <f>_xlfn.XLOOKUP(A601, OBJETIVO!A:A, OBJETIVO!B:B)</f>
        <v>Planejamento estratégico</v>
      </c>
      <c r="J601">
        <f t="shared" si="9"/>
        <v>0</v>
      </c>
    </row>
    <row r="602" spans="1:10" x14ac:dyDescent="0.25">
      <c r="A602">
        <v>11894363</v>
      </c>
      <c r="B602" s="1">
        <v>45754.381840277776</v>
      </c>
      <c r="C602" t="s">
        <v>0</v>
      </c>
      <c r="D602" t="str">
        <f>VLOOKUP(A602,MERCADO!A:B,2,0)</f>
        <v>Tecnologia</v>
      </c>
      <c r="E602" t="str">
        <f>_xlfn.XLOOKUP(A602, ORIGEM!A:A, ORIGEM!B:B)</f>
        <v>Google</v>
      </c>
      <c r="F602" t="str">
        <f>_xlfn.XLOOKUP(A602, ORIGEM!A:A, ORIGEM!C:C)</f>
        <v>google - cpc</v>
      </c>
      <c r="G602" t="str">
        <f>_xlfn.XLOOKUP(A602, LOCAL!A:A, LOCAL!B:B)</f>
        <v>Ararangua - SC</v>
      </c>
      <c r="H602" t="str">
        <f>_xlfn.XLOOKUP(A602, PORTE!A:A, PORTE!B:B)</f>
        <v>11-50</v>
      </c>
      <c r="I602" t="str">
        <f>_xlfn.XLOOKUP(A602, OBJETIVO!A:A, OBJETIVO!B:B)</f>
        <v>Geração de leads b2b</v>
      </c>
      <c r="J602">
        <f t="shared" si="9"/>
        <v>0</v>
      </c>
    </row>
    <row r="603" spans="1:10" x14ac:dyDescent="0.25">
      <c r="A603">
        <v>10936804</v>
      </c>
      <c r="B603" s="1">
        <v>45668.698125000003</v>
      </c>
      <c r="C603" t="s">
        <v>0</v>
      </c>
      <c r="D603" t="str">
        <f>VLOOKUP(A603,MERCADO!A:B,2,0)</f>
        <v>Empreendedor</v>
      </c>
      <c r="E603" t="str">
        <f>_xlfn.XLOOKUP(A603, ORIGEM!A:A, ORIGEM!B:B)</f>
        <v>Facebook</v>
      </c>
      <c r="F603" t="str">
        <f>_xlfn.XLOOKUP(A603, ORIGEM!A:A, ORIGEM!C:C)</f>
        <v>facebook - cpc</v>
      </c>
      <c r="G603" t="str">
        <f>_xlfn.XLOOKUP(A603, LOCAL!A:A, LOCAL!B:B)</f>
        <v>Belém - PA</v>
      </c>
      <c r="H603" t="str">
        <f>_xlfn.XLOOKUP(A603, PORTE!A:A, PORTE!B:B)</f>
        <v>0</v>
      </c>
      <c r="I603" t="str">
        <f>_xlfn.XLOOKUP(A603, OBJETIVO!A:A, OBJETIVO!B:B)</f>
        <v>Ações de marketing/vendas</v>
      </c>
      <c r="J603">
        <f t="shared" si="9"/>
        <v>0</v>
      </c>
    </row>
    <row r="604" spans="1:10" x14ac:dyDescent="0.25">
      <c r="A604">
        <v>11555571</v>
      </c>
      <c r="B604" s="1">
        <v>45721.67596064815</v>
      </c>
      <c r="C604" t="s">
        <v>0</v>
      </c>
      <c r="D604" t="str">
        <f>VLOOKUP(A604,MERCADO!A:B,2,0)</f>
        <v>Varejo</v>
      </c>
      <c r="E604" t="str">
        <f>_xlfn.XLOOKUP(A604, ORIGEM!A:A, ORIGEM!B:B)</f>
        <v>Facebook</v>
      </c>
      <c r="F604" t="str">
        <f>_xlfn.XLOOKUP(A604, ORIGEM!A:A, ORIGEM!C:C)</f>
        <v>facebook - cpc</v>
      </c>
      <c r="G604" t="str">
        <f>_xlfn.XLOOKUP(A604, LOCAL!A:A, LOCAL!B:B)</f>
        <v>Gravatal - SC</v>
      </c>
      <c r="H604" t="str">
        <f>_xlfn.XLOOKUP(A604, PORTE!A:A, PORTE!B:B)</f>
        <v>1-10</v>
      </c>
      <c r="I604" t="str">
        <f>_xlfn.XLOOKUP(A604, OBJETIVO!A:A, OBJETIVO!B:B)</f>
        <v>Abertura/Expansão</v>
      </c>
      <c r="J604">
        <f t="shared" si="9"/>
        <v>0</v>
      </c>
    </row>
    <row r="605" spans="1:10" x14ac:dyDescent="0.25">
      <c r="A605">
        <v>11335242</v>
      </c>
      <c r="B605" s="1">
        <v>45700.46298611111</v>
      </c>
      <c r="C605" t="s">
        <v>0</v>
      </c>
      <c r="D605" t="str">
        <f>VLOOKUP(A605,MERCADO!A:B,2,0)</f>
        <v>Servicos</v>
      </c>
      <c r="E605" t="str">
        <f>_xlfn.XLOOKUP(A605, ORIGEM!A:A, ORIGEM!B:B)</f>
        <v>Orgânico</v>
      </c>
      <c r="F605">
        <f>_xlfn.XLOOKUP(A605, ORIGEM!A:A, ORIGEM!C:C)</f>
        <v>0</v>
      </c>
      <c r="G605" t="str">
        <f>_xlfn.XLOOKUP(A605, LOCAL!A:A, LOCAL!B:B)</f>
        <v>Balneário Camboriú, SC</v>
      </c>
      <c r="H605" t="str">
        <f>_xlfn.XLOOKUP(A605, PORTE!A:A, PORTE!B:B)</f>
        <v>11-50</v>
      </c>
      <c r="I605" t="str">
        <f>_xlfn.XLOOKUP(A605, OBJETIVO!A:A, OBJETIVO!B:B)</f>
        <v>Geração de leads b2b</v>
      </c>
      <c r="J605">
        <f t="shared" si="9"/>
        <v>0</v>
      </c>
    </row>
    <row r="606" spans="1:10" x14ac:dyDescent="0.25">
      <c r="A606">
        <v>11453940</v>
      </c>
      <c r="B606" s="1">
        <v>45712.945127314815</v>
      </c>
      <c r="C606" t="s">
        <v>0</v>
      </c>
      <c r="D606" t="str">
        <f>VLOOKUP(A606,MERCADO!A:B,2,0)</f>
        <v>Franqueadora</v>
      </c>
      <c r="E606" t="str">
        <f>_xlfn.XLOOKUP(A606, ORIGEM!A:A, ORIGEM!B:B)</f>
        <v>Orgânico</v>
      </c>
      <c r="F606">
        <f>_xlfn.XLOOKUP(A606, ORIGEM!A:A, ORIGEM!C:C)</f>
        <v>0</v>
      </c>
      <c r="G606" t="str">
        <f>_xlfn.XLOOKUP(A606, LOCAL!A:A, LOCAL!B:B)</f>
        <v>Balneário Camboriú - SC</v>
      </c>
      <c r="H606" t="str">
        <f>_xlfn.XLOOKUP(A606, PORTE!A:A, PORTE!B:B)</f>
        <v>+ 1000</v>
      </c>
      <c r="I606" t="str">
        <f>_xlfn.XLOOKUP(A606, OBJETIVO!A:A, OBJETIVO!B:B)</f>
        <v>Abertura/Expansão</v>
      </c>
      <c r="J606">
        <f t="shared" si="9"/>
        <v>0</v>
      </c>
    </row>
    <row r="607" spans="1:10" x14ac:dyDescent="0.25">
      <c r="A607">
        <v>11640596</v>
      </c>
      <c r="B607" s="1">
        <v>45731.46675925926</v>
      </c>
      <c r="C607" t="s">
        <v>0</v>
      </c>
      <c r="D607" t="str">
        <f>VLOOKUP(A607,MERCADO!A:B,2,0)</f>
        <v>Industria</v>
      </c>
      <c r="E607" t="str">
        <f>_xlfn.XLOOKUP(A607, ORIGEM!A:A, ORIGEM!B:B)</f>
        <v>Google</v>
      </c>
      <c r="F607" t="str">
        <f>_xlfn.XLOOKUP(A607, ORIGEM!A:A, ORIGEM!C:C)</f>
        <v>google - cpc</v>
      </c>
      <c r="G607" t="str">
        <f>_xlfn.XLOOKUP(A607, LOCAL!A:A, LOCAL!B:B)</f>
        <v>Gravatal - SC</v>
      </c>
      <c r="H607" t="str">
        <f>_xlfn.XLOOKUP(A607, PORTE!A:A, PORTE!B:B)</f>
        <v>51-300</v>
      </c>
      <c r="I607" t="str">
        <f>_xlfn.XLOOKUP(A607, OBJETIVO!A:A, OBJETIVO!B:B)</f>
        <v>Outro</v>
      </c>
      <c r="J607">
        <f t="shared" si="9"/>
        <v>0</v>
      </c>
    </row>
    <row r="608" spans="1:10" x14ac:dyDescent="0.25">
      <c r="A608">
        <v>10607463</v>
      </c>
      <c r="B608" s="1">
        <v>45629.683067129627</v>
      </c>
      <c r="C608" t="s">
        <v>0</v>
      </c>
      <c r="D608" t="str">
        <f>VLOOKUP(A608,MERCADO!A:B,2,0)</f>
        <v>Tecnologia</v>
      </c>
      <c r="E608" t="str">
        <f>_xlfn.XLOOKUP(A608, ORIGEM!A:A, ORIGEM!B:B)</f>
        <v>Google</v>
      </c>
      <c r="F608" t="str">
        <f>_xlfn.XLOOKUP(A608, ORIGEM!A:A, ORIGEM!C:C)</f>
        <v>google - cpc</v>
      </c>
      <c r="G608" t="str">
        <f>_xlfn.XLOOKUP(A608, LOCAL!A:A, LOCAL!B:B)</f>
        <v>Brusque - SC</v>
      </c>
      <c r="H608" t="str">
        <f>_xlfn.XLOOKUP(A608, PORTE!A:A, PORTE!B:B)</f>
        <v>51-300</v>
      </c>
      <c r="I608" t="str">
        <f>_xlfn.XLOOKUP(A608, OBJETIVO!A:A, OBJETIVO!B:B)</f>
        <v>Geração de leads b2b</v>
      </c>
      <c r="J608">
        <f t="shared" si="9"/>
        <v>0</v>
      </c>
    </row>
    <row r="609" spans="1:10" x14ac:dyDescent="0.25">
      <c r="A609">
        <v>10828526</v>
      </c>
      <c r="B609" s="1">
        <v>45655.365497685183</v>
      </c>
      <c r="C609" t="s">
        <v>0</v>
      </c>
      <c r="D609" t="str">
        <f>VLOOKUP(A609,MERCADO!A:B,2,0)</f>
        <v>Franqueadora</v>
      </c>
      <c r="E609" t="str">
        <f>_xlfn.XLOOKUP(A609, ORIGEM!A:A, ORIGEM!B:B)</f>
        <v>Google</v>
      </c>
      <c r="F609" t="str">
        <f>_xlfn.XLOOKUP(A609, ORIGEM!A:A, ORIGEM!C:C)</f>
        <v>google - cpc</v>
      </c>
      <c r="G609" t="str">
        <f>_xlfn.XLOOKUP(A609, LOCAL!A:A, LOCAL!B:B)</f>
        <v>Balneário Camboriú - SC</v>
      </c>
      <c r="H609" t="str">
        <f>_xlfn.XLOOKUP(A609, PORTE!A:A, PORTE!B:B)</f>
        <v>51-300</v>
      </c>
      <c r="I609" t="str">
        <f>_xlfn.XLOOKUP(A609, OBJETIVO!A:A, OBJETIVO!B:B)</f>
        <v>Abertura/Expansão</v>
      </c>
      <c r="J609">
        <f t="shared" si="9"/>
        <v>0</v>
      </c>
    </row>
    <row r="610" spans="1:10" x14ac:dyDescent="0.25">
      <c r="A610">
        <v>11009193</v>
      </c>
      <c r="B610" s="1">
        <v>45673.482546296298</v>
      </c>
      <c r="C610" t="s">
        <v>0</v>
      </c>
      <c r="D610" t="str">
        <f>VLOOKUP(A610,MERCADO!A:B,2,0)</f>
        <v>Empreendedor</v>
      </c>
      <c r="E610" t="str">
        <f>_xlfn.XLOOKUP(A610, ORIGEM!A:A, ORIGEM!B:B)</f>
        <v>Google</v>
      </c>
      <c r="F610" t="str">
        <f>_xlfn.XLOOKUP(A610, ORIGEM!A:A, ORIGEM!C:C)</f>
        <v>google - cpc</v>
      </c>
      <c r="G610" t="str">
        <f>_xlfn.XLOOKUP(A610, LOCAL!A:A, LOCAL!B:B)</f>
        <v>Ipatinga - MG</v>
      </c>
      <c r="H610" t="str">
        <f>_xlfn.XLOOKUP(A610, PORTE!A:A, PORTE!B:B)</f>
        <v>1-10</v>
      </c>
      <c r="I610" t="str">
        <f>_xlfn.XLOOKUP(A610, OBJETIVO!A:A, OBJETIVO!B:B)</f>
        <v>Abertura/Expansão</v>
      </c>
      <c r="J610">
        <f t="shared" si="9"/>
        <v>0</v>
      </c>
    </row>
    <row r="611" spans="1:10" x14ac:dyDescent="0.25">
      <c r="A611">
        <v>11006523</v>
      </c>
      <c r="B611" s="1">
        <v>45672.747442129628</v>
      </c>
      <c r="C611" t="s">
        <v>0</v>
      </c>
      <c r="D611" t="str">
        <f>VLOOKUP(A611,MERCADO!A:B,2,0)</f>
        <v>Empreendedor</v>
      </c>
      <c r="E611" t="str">
        <f>_xlfn.XLOOKUP(A611, ORIGEM!A:A, ORIGEM!B:B)</f>
        <v>Google</v>
      </c>
      <c r="F611" t="str">
        <f>_xlfn.XLOOKUP(A611, ORIGEM!A:A, ORIGEM!C:C)</f>
        <v>google - cpc</v>
      </c>
      <c r="G611" t="str">
        <f>_xlfn.XLOOKUP(A611, LOCAL!A:A, LOCAL!B:B)</f>
        <v>Ipatinga - MG</v>
      </c>
      <c r="H611" t="str">
        <f>_xlfn.XLOOKUP(A611, PORTE!A:A, PORTE!B:B)</f>
        <v>1-10</v>
      </c>
      <c r="I611" t="str">
        <f>_xlfn.XLOOKUP(A611, OBJETIVO!A:A, OBJETIVO!B:B)</f>
        <v>Ações de marketing/vendas</v>
      </c>
      <c r="J611">
        <f t="shared" si="9"/>
        <v>0</v>
      </c>
    </row>
    <row r="612" spans="1:10" x14ac:dyDescent="0.25">
      <c r="A612">
        <v>10906597</v>
      </c>
      <c r="B612" s="1">
        <v>45664.827430555553</v>
      </c>
      <c r="C612" t="s">
        <v>0</v>
      </c>
      <c r="D612" t="str">
        <f>VLOOKUP(A612,MERCADO!A:B,2,0)</f>
        <v>Industria</v>
      </c>
      <c r="E612" t="str">
        <f>_xlfn.XLOOKUP(A612, ORIGEM!A:A, ORIGEM!B:B)</f>
        <v>Google</v>
      </c>
      <c r="F612" t="str">
        <f>_xlfn.XLOOKUP(A612, ORIGEM!A:A, ORIGEM!C:C)</f>
        <v>google - cpc</v>
      </c>
      <c r="G612" t="str">
        <f>_xlfn.XLOOKUP(A612, LOCAL!A:A, LOCAL!B:B)</f>
        <v>Uba - MG</v>
      </c>
      <c r="H612" t="str">
        <f>_xlfn.XLOOKUP(A612, PORTE!A:A, PORTE!B:B)</f>
        <v>11-50</v>
      </c>
      <c r="I612" t="str">
        <f>_xlfn.XLOOKUP(A612, OBJETIVO!A:A, OBJETIVO!B:B)</f>
        <v>Ações de marketing/vendas</v>
      </c>
      <c r="J612">
        <f t="shared" si="9"/>
        <v>0</v>
      </c>
    </row>
    <row r="613" spans="1:10" x14ac:dyDescent="0.25">
      <c r="A613">
        <v>11847124</v>
      </c>
      <c r="B613" s="1">
        <v>45748.633912037039</v>
      </c>
      <c r="C613" t="s">
        <v>0</v>
      </c>
      <c r="D613" t="str">
        <f>VLOOKUP(A613,MERCADO!A:B,2,0)</f>
        <v>Servicos</v>
      </c>
      <c r="E613" t="str">
        <f>_xlfn.XLOOKUP(A613, ORIGEM!A:A, ORIGEM!B:B)</f>
        <v>Orgânico</v>
      </c>
      <c r="F613">
        <f>_xlfn.XLOOKUP(A613, ORIGEM!A:A, ORIGEM!C:C)</f>
        <v>0</v>
      </c>
      <c r="G613" t="str">
        <f>_xlfn.XLOOKUP(A613, LOCAL!A:A, LOCAL!B:B)</f>
        <v>Uberaba - MG</v>
      </c>
      <c r="H613" t="str">
        <f>_xlfn.XLOOKUP(A613, PORTE!A:A, PORTE!B:B)</f>
        <v>1-10</v>
      </c>
      <c r="I613" t="str">
        <f>_xlfn.XLOOKUP(A613, OBJETIVO!A:A, OBJETIVO!B:B)</f>
        <v>Abertura/Expansão</v>
      </c>
      <c r="J613">
        <f t="shared" si="9"/>
        <v>0</v>
      </c>
    </row>
    <row r="614" spans="1:10" x14ac:dyDescent="0.25">
      <c r="A614">
        <v>10700405</v>
      </c>
      <c r="B614" s="1">
        <v>45637.737280092595</v>
      </c>
      <c r="C614" t="s">
        <v>0</v>
      </c>
      <c r="D614" t="str">
        <f>VLOOKUP(A614,MERCADO!A:B,2,0)</f>
        <v>Marketing/Publicidade/Consultoria</v>
      </c>
      <c r="E614" t="str">
        <f>_xlfn.XLOOKUP(A614, ORIGEM!A:A, ORIGEM!B:B)</f>
        <v>Orgânico</v>
      </c>
      <c r="F614">
        <f>_xlfn.XLOOKUP(A614, ORIGEM!A:A, ORIGEM!C:C)</f>
        <v>0</v>
      </c>
      <c r="G614" t="str">
        <f>_xlfn.XLOOKUP(A614, LOCAL!A:A, LOCAL!B:B)</f>
        <v>Uberlândia - MG</v>
      </c>
      <c r="H614" t="str">
        <f>_xlfn.XLOOKUP(A614, PORTE!A:A, PORTE!B:B)</f>
        <v>11-50</v>
      </c>
      <c r="I614" t="str">
        <f>_xlfn.XLOOKUP(A614, OBJETIVO!A:A, OBJETIVO!B:B)</f>
        <v>Consultoria</v>
      </c>
      <c r="J614">
        <f t="shared" si="9"/>
        <v>0</v>
      </c>
    </row>
    <row r="615" spans="1:10" x14ac:dyDescent="0.25">
      <c r="A615">
        <v>10851617</v>
      </c>
      <c r="B615" s="1">
        <v>45659.925937499997</v>
      </c>
      <c r="C615" t="s">
        <v>0</v>
      </c>
      <c r="D615" t="str">
        <f>VLOOKUP(A615,MERCADO!A:B,2,0)</f>
        <v>Servicos</v>
      </c>
      <c r="E615" t="str">
        <f>_xlfn.XLOOKUP(A615, ORIGEM!A:A, ORIGEM!B:B)</f>
        <v>Orgânico</v>
      </c>
      <c r="F615">
        <f>_xlfn.XLOOKUP(A615, ORIGEM!A:A, ORIGEM!C:C)</f>
        <v>0</v>
      </c>
      <c r="G615" t="str">
        <f>_xlfn.XLOOKUP(A615, LOCAL!A:A, LOCAL!B:B)</f>
        <v>Belo Horizonte - MG</v>
      </c>
      <c r="H615" t="str">
        <f>_xlfn.XLOOKUP(A615, PORTE!A:A, PORTE!B:B)</f>
        <v>0</v>
      </c>
      <c r="I615" t="str">
        <f>_xlfn.XLOOKUP(A615, OBJETIVO!A:A, OBJETIVO!B:B)</f>
        <v>Outro</v>
      </c>
      <c r="J615">
        <f t="shared" si="9"/>
        <v>0</v>
      </c>
    </row>
    <row r="616" spans="1:10" x14ac:dyDescent="0.25">
      <c r="A616">
        <v>11740157</v>
      </c>
      <c r="B616" s="1">
        <v>45740.394004629627</v>
      </c>
      <c r="C616" t="s">
        <v>0</v>
      </c>
      <c r="D616" t="str">
        <f>VLOOKUP(A616,MERCADO!A:B,2,0)</f>
        <v>Marketing/Publicidade/Consultoria</v>
      </c>
      <c r="E616" t="str">
        <f>_xlfn.XLOOKUP(A616, ORIGEM!A:A, ORIGEM!B:B)</f>
        <v>Google</v>
      </c>
      <c r="F616" t="str">
        <f>_xlfn.XLOOKUP(A616, ORIGEM!A:A, ORIGEM!C:C)</f>
        <v>google - cpc</v>
      </c>
      <c r="G616" t="str">
        <f>_xlfn.XLOOKUP(A616, LOCAL!A:A, LOCAL!B:B)</f>
        <v>Uberaba - MG</v>
      </c>
      <c r="H616" t="str">
        <f>_xlfn.XLOOKUP(A616, PORTE!A:A, PORTE!B:B)</f>
        <v>1-10</v>
      </c>
      <c r="I616" t="str">
        <f>_xlfn.XLOOKUP(A616, OBJETIVO!A:A, OBJETIVO!B:B)</f>
        <v>Consultoria</v>
      </c>
      <c r="J616">
        <f t="shared" si="9"/>
        <v>0</v>
      </c>
    </row>
    <row r="617" spans="1:10" x14ac:dyDescent="0.25">
      <c r="A617">
        <v>10921822</v>
      </c>
      <c r="B617" s="1">
        <v>45666.933240740742</v>
      </c>
      <c r="C617" t="s">
        <v>0</v>
      </c>
      <c r="D617" t="str">
        <f>VLOOKUP(A617,MERCADO!A:B,2,0)</f>
        <v>Servicos</v>
      </c>
      <c r="E617" t="str">
        <f>_xlfn.XLOOKUP(A617, ORIGEM!A:A, ORIGEM!B:B)</f>
        <v>Orgânico</v>
      </c>
      <c r="F617">
        <f>_xlfn.XLOOKUP(A617, ORIGEM!A:A, ORIGEM!C:C)</f>
        <v>0</v>
      </c>
      <c r="G617" t="str">
        <f>_xlfn.XLOOKUP(A617, LOCAL!A:A, LOCAL!B:B)</f>
        <v>Uberlândia - MG</v>
      </c>
      <c r="H617" t="str">
        <f>_xlfn.XLOOKUP(A617, PORTE!A:A, PORTE!B:B)</f>
        <v>11-50</v>
      </c>
      <c r="I617" t="str">
        <f>_xlfn.XLOOKUP(A617, OBJETIVO!A:A, OBJETIVO!B:B)</f>
        <v>Outro</v>
      </c>
      <c r="J617">
        <f t="shared" si="9"/>
        <v>0</v>
      </c>
    </row>
    <row r="618" spans="1:10" x14ac:dyDescent="0.25">
      <c r="A618">
        <v>10721256</v>
      </c>
      <c r="B618" s="1">
        <v>45640.688946759263</v>
      </c>
      <c r="C618" t="s">
        <v>0</v>
      </c>
      <c r="D618" t="str">
        <f>VLOOKUP(A618,MERCADO!A:B,2,0)</f>
        <v>Servicos</v>
      </c>
      <c r="E618" t="str">
        <f>_xlfn.XLOOKUP(A618, ORIGEM!A:A, ORIGEM!B:B)</f>
        <v>Google</v>
      </c>
      <c r="F618" t="str">
        <f>_xlfn.XLOOKUP(A618, ORIGEM!A:A, ORIGEM!C:C)</f>
        <v>google - cpc</v>
      </c>
      <c r="G618" t="str">
        <f>_xlfn.XLOOKUP(A618, LOCAL!A:A, LOCAL!B:B)</f>
        <v>Rio de Janeiro - RJ</v>
      </c>
      <c r="H618" t="str">
        <f>_xlfn.XLOOKUP(A618, PORTE!A:A, PORTE!B:B)</f>
        <v>51-300</v>
      </c>
      <c r="I618" t="str">
        <f>_xlfn.XLOOKUP(A618, OBJETIVO!A:A, OBJETIVO!B:B)</f>
        <v>Geração de leads b2b</v>
      </c>
      <c r="J618">
        <f t="shared" si="9"/>
        <v>0</v>
      </c>
    </row>
    <row r="619" spans="1:10" x14ac:dyDescent="0.25">
      <c r="A619">
        <v>11728881</v>
      </c>
      <c r="B619" s="1">
        <v>45739.400891203702</v>
      </c>
      <c r="C619" t="s">
        <v>0</v>
      </c>
      <c r="D619" t="str">
        <f>VLOOKUP(A619,MERCADO!A:B,2,0)</f>
        <v>Servicos</v>
      </c>
      <c r="E619" t="str">
        <f>_xlfn.XLOOKUP(A619, ORIGEM!A:A, ORIGEM!B:B)</f>
        <v>Orgânico</v>
      </c>
      <c r="F619">
        <f>_xlfn.XLOOKUP(A619, ORIGEM!A:A, ORIGEM!C:C)</f>
        <v>0</v>
      </c>
      <c r="G619" t="str">
        <f>_xlfn.XLOOKUP(A619, LOCAL!A:A, LOCAL!B:B)</f>
        <v>Leopoldina - MG</v>
      </c>
      <c r="H619" t="str">
        <f>_xlfn.XLOOKUP(A619, PORTE!A:A, PORTE!B:B)</f>
        <v>11-50</v>
      </c>
      <c r="I619" t="str">
        <f>_xlfn.XLOOKUP(A619, OBJETIVO!A:A, OBJETIVO!B:B)</f>
        <v>Consultoria</v>
      </c>
      <c r="J619">
        <f t="shared" si="9"/>
        <v>0</v>
      </c>
    </row>
    <row r="620" spans="1:10" x14ac:dyDescent="0.25">
      <c r="A620">
        <v>11766700</v>
      </c>
      <c r="B620" s="1">
        <v>45741.800312500003</v>
      </c>
      <c r="C620" t="s">
        <v>0</v>
      </c>
      <c r="D620" t="str">
        <f>VLOOKUP(A620,MERCADO!A:B,2,0)</f>
        <v>Servicos</v>
      </c>
      <c r="E620" t="str">
        <f>_xlfn.XLOOKUP(A620, ORIGEM!A:A, ORIGEM!B:B)</f>
        <v>Google</v>
      </c>
      <c r="F620" t="str">
        <f>_xlfn.XLOOKUP(A620, ORIGEM!A:A, ORIGEM!C:C)</f>
        <v>google - cpc</v>
      </c>
      <c r="G620" t="str">
        <f>_xlfn.XLOOKUP(A620, LOCAL!A:A, LOCAL!B:B)</f>
        <v>Juiz de Fora - MG</v>
      </c>
      <c r="H620" t="str">
        <f>_xlfn.XLOOKUP(A620, PORTE!A:A, PORTE!B:B)</f>
        <v>+ 1000</v>
      </c>
      <c r="I620" t="str">
        <f>_xlfn.XLOOKUP(A620, OBJETIVO!A:A, OBJETIVO!B:B)</f>
        <v>Abertura/Expansão</v>
      </c>
      <c r="J620">
        <f t="shared" si="9"/>
        <v>0</v>
      </c>
    </row>
    <row r="621" spans="1:10" x14ac:dyDescent="0.25">
      <c r="A621">
        <v>12006715</v>
      </c>
      <c r="B621" s="1">
        <v>45762.784930555557</v>
      </c>
      <c r="C621" t="s">
        <v>0</v>
      </c>
      <c r="D621" t="str">
        <f>VLOOKUP(A621,MERCADO!A:B,2,0)</f>
        <v>Marketing/Publicidade/Consultoria</v>
      </c>
      <c r="E621" t="str">
        <f>_xlfn.XLOOKUP(A621, ORIGEM!A:A, ORIGEM!B:B)</f>
        <v>Google</v>
      </c>
      <c r="F621" t="str">
        <f>_xlfn.XLOOKUP(A621, ORIGEM!A:A, ORIGEM!C:C)</f>
        <v>google - cpc</v>
      </c>
      <c r="G621" t="str">
        <f>_xlfn.XLOOKUP(A621, LOCAL!A:A, LOCAL!B:B)</f>
        <v>Petrópolis - RJ</v>
      </c>
      <c r="H621" t="str">
        <f>_xlfn.XLOOKUP(A621, PORTE!A:A, PORTE!B:B)</f>
        <v>1-10</v>
      </c>
      <c r="I621" t="str">
        <f>_xlfn.XLOOKUP(A621, OBJETIVO!A:A, OBJETIVO!B:B)</f>
        <v>Geração de leads b2b</v>
      </c>
      <c r="J621">
        <f t="shared" si="9"/>
        <v>0</v>
      </c>
    </row>
    <row r="622" spans="1:10" x14ac:dyDescent="0.25">
      <c r="A622">
        <v>11277382</v>
      </c>
      <c r="B622" s="1">
        <v>45696.448460648149</v>
      </c>
      <c r="C622" t="s">
        <v>0</v>
      </c>
      <c r="D622" t="str">
        <f>VLOOKUP(A622,MERCADO!A:B,2,0)</f>
        <v>Marketing/Publicidade/Consultoria</v>
      </c>
      <c r="E622" t="str">
        <f>_xlfn.XLOOKUP(A622, ORIGEM!A:A, ORIGEM!B:B)</f>
        <v>Google</v>
      </c>
      <c r="F622" t="str">
        <f>_xlfn.XLOOKUP(A622, ORIGEM!A:A, ORIGEM!C:C)</f>
        <v>google - cpc</v>
      </c>
      <c r="G622" t="str">
        <f>_xlfn.XLOOKUP(A622, LOCAL!A:A, LOCAL!B:B)</f>
        <v>Pompeu - MG</v>
      </c>
      <c r="H622" t="str">
        <f>_xlfn.XLOOKUP(A622, PORTE!A:A, PORTE!B:B)</f>
        <v>11-50</v>
      </c>
      <c r="I622" t="str">
        <f>_xlfn.XLOOKUP(A622, OBJETIVO!A:A, OBJETIVO!B:B)</f>
        <v>Geração de leads b2b</v>
      </c>
      <c r="J622">
        <f t="shared" si="9"/>
        <v>0</v>
      </c>
    </row>
    <row r="623" spans="1:10" x14ac:dyDescent="0.25">
      <c r="A623">
        <v>11797023</v>
      </c>
      <c r="B623" s="1">
        <v>45745.403599537036</v>
      </c>
      <c r="C623" t="s">
        <v>0</v>
      </c>
      <c r="D623" t="str">
        <f>VLOOKUP(A623,MERCADO!A:B,2,0)</f>
        <v>Marketing/Publicidade/Consultoria</v>
      </c>
      <c r="E623" t="str">
        <f>_xlfn.XLOOKUP(A623, ORIGEM!A:A, ORIGEM!B:B)</f>
        <v>Orgânico</v>
      </c>
      <c r="F623">
        <f>_xlfn.XLOOKUP(A623, ORIGEM!A:A, ORIGEM!C:C)</f>
        <v>0</v>
      </c>
      <c r="G623" t="str">
        <f>_xlfn.XLOOKUP(A623, LOCAL!A:A, LOCAL!B:B)</f>
        <v>Petrópolis - RJ</v>
      </c>
      <c r="H623" t="str">
        <f>_xlfn.XLOOKUP(A623, PORTE!A:A, PORTE!B:B)</f>
        <v>1-10</v>
      </c>
      <c r="I623" t="str">
        <f>_xlfn.XLOOKUP(A623, OBJETIVO!A:A, OBJETIVO!B:B)</f>
        <v>Geração de leads b2b</v>
      </c>
      <c r="J623">
        <f t="shared" si="9"/>
        <v>0</v>
      </c>
    </row>
    <row r="624" spans="1:10" x14ac:dyDescent="0.25">
      <c r="A624">
        <v>11544223</v>
      </c>
      <c r="B624" s="1">
        <v>45721.322523148148</v>
      </c>
      <c r="C624" t="s">
        <v>0</v>
      </c>
      <c r="D624" t="str">
        <f>VLOOKUP(A624,MERCADO!A:B,2,0)</f>
        <v>Imobiliaria/Incorporadora/Construtora</v>
      </c>
      <c r="E624" t="str">
        <f>_xlfn.XLOOKUP(A624, ORIGEM!A:A, ORIGEM!B:B)</f>
        <v>Facebook</v>
      </c>
      <c r="F624" t="str">
        <f>_xlfn.XLOOKUP(A624, ORIGEM!A:A, ORIGEM!C:C)</f>
        <v>facebook - cpc</v>
      </c>
      <c r="G624" t="str">
        <f>_xlfn.XLOOKUP(A624, LOCAL!A:A, LOCAL!B:B)</f>
        <v>Juiz de Fora - MG</v>
      </c>
      <c r="H624" t="str">
        <f>_xlfn.XLOOKUP(A624, PORTE!A:A, PORTE!B:B)</f>
        <v>1-10</v>
      </c>
      <c r="I624" t="str">
        <f>_xlfn.XLOOKUP(A624, OBJETIVO!A:A, OBJETIVO!B:B)</f>
        <v>Geração de leads b2b</v>
      </c>
      <c r="J624">
        <f t="shared" si="9"/>
        <v>0</v>
      </c>
    </row>
    <row r="625" spans="1:10" x14ac:dyDescent="0.25">
      <c r="A625">
        <v>11769610</v>
      </c>
      <c r="B625" s="1">
        <v>45741.919942129629</v>
      </c>
      <c r="C625" t="s">
        <v>0</v>
      </c>
      <c r="D625" t="str">
        <f>VLOOKUP(A625,MERCADO!A:B,2,0)</f>
        <v>Varejo</v>
      </c>
      <c r="E625" t="str">
        <f>_xlfn.XLOOKUP(A625, ORIGEM!A:A, ORIGEM!B:B)</f>
        <v>Google</v>
      </c>
      <c r="F625" t="str">
        <f>_xlfn.XLOOKUP(A625, ORIGEM!A:A, ORIGEM!C:C)</f>
        <v>google - cpc</v>
      </c>
      <c r="G625" t="str">
        <f>_xlfn.XLOOKUP(A625, LOCAL!A:A, LOCAL!B:B)</f>
        <v>Manhuacu - MG</v>
      </c>
      <c r="H625" t="str">
        <f>_xlfn.XLOOKUP(A625, PORTE!A:A, PORTE!B:B)</f>
        <v>0</v>
      </c>
      <c r="I625" t="str">
        <f>_xlfn.XLOOKUP(A625, OBJETIVO!A:A, OBJETIVO!B:B)</f>
        <v>Outro</v>
      </c>
      <c r="J625">
        <f t="shared" si="9"/>
        <v>0</v>
      </c>
    </row>
    <row r="626" spans="1:10" x14ac:dyDescent="0.25">
      <c r="A626">
        <v>11391397</v>
      </c>
      <c r="B626" s="1">
        <v>45706.645960648151</v>
      </c>
      <c r="C626" t="s">
        <v>0</v>
      </c>
      <c r="D626" t="str">
        <f>VLOOKUP(A626,MERCADO!A:B,2,0)</f>
        <v>Varejo</v>
      </c>
      <c r="E626" t="str">
        <f>_xlfn.XLOOKUP(A626, ORIGEM!A:A, ORIGEM!B:B)</f>
        <v>Orgânico</v>
      </c>
      <c r="F626">
        <f>_xlfn.XLOOKUP(A626, ORIGEM!A:A, ORIGEM!C:C)</f>
        <v>0</v>
      </c>
      <c r="G626" t="str">
        <f>_xlfn.XLOOKUP(A626, LOCAL!A:A, LOCAL!B:B)</f>
        <v>Mariana, MG</v>
      </c>
      <c r="H626" t="str">
        <f>_xlfn.XLOOKUP(A626, PORTE!A:A, PORTE!B:B)</f>
        <v>1-10</v>
      </c>
      <c r="I626" t="str">
        <f>_xlfn.XLOOKUP(A626, OBJETIVO!A:A, OBJETIVO!B:B)</f>
        <v>Ações de marketing/vendas</v>
      </c>
      <c r="J626">
        <f t="shared" si="9"/>
        <v>0</v>
      </c>
    </row>
    <row r="627" spans="1:10" x14ac:dyDescent="0.25">
      <c r="A627">
        <v>10816792</v>
      </c>
      <c r="B627" s="1">
        <v>45652.064305555556</v>
      </c>
      <c r="C627" t="s">
        <v>0</v>
      </c>
      <c r="D627" t="str">
        <f>VLOOKUP(A627,MERCADO!A:B,2,0)</f>
        <v>Servicos</v>
      </c>
      <c r="E627" t="str">
        <f>_xlfn.XLOOKUP(A627, ORIGEM!A:A, ORIGEM!B:B)</f>
        <v>Google</v>
      </c>
      <c r="F627" t="str">
        <f>_xlfn.XLOOKUP(A627, ORIGEM!A:A, ORIGEM!C:C)</f>
        <v>google - cpc</v>
      </c>
      <c r="G627" t="str">
        <f>_xlfn.XLOOKUP(A627, LOCAL!A:A, LOCAL!B:B)</f>
        <v>Icarai de Minas - MG</v>
      </c>
      <c r="H627" t="str">
        <f>_xlfn.XLOOKUP(A627, PORTE!A:A, PORTE!B:B)</f>
        <v>1-10</v>
      </c>
      <c r="I627" t="str">
        <f>_xlfn.XLOOKUP(A627, OBJETIVO!A:A, OBJETIVO!B:B)</f>
        <v>Abertura/Expansão</v>
      </c>
      <c r="J627">
        <f t="shared" si="9"/>
        <v>0</v>
      </c>
    </row>
    <row r="628" spans="1:10" x14ac:dyDescent="0.25">
      <c r="A628">
        <v>11019482</v>
      </c>
      <c r="B628" s="1">
        <v>45675.504710648151</v>
      </c>
      <c r="C628" t="s">
        <v>0</v>
      </c>
      <c r="D628" t="str">
        <f>VLOOKUP(A628,MERCADO!A:B,2,0)</f>
        <v>Servicos</v>
      </c>
      <c r="E628" t="str">
        <f>_xlfn.XLOOKUP(A628, ORIGEM!A:A, ORIGEM!B:B)</f>
        <v>Google</v>
      </c>
      <c r="F628" t="str">
        <f>_xlfn.XLOOKUP(A628, ORIGEM!A:A, ORIGEM!C:C)</f>
        <v>google - cpc</v>
      </c>
      <c r="G628" t="str">
        <f>_xlfn.XLOOKUP(A628, LOCAL!A:A, LOCAL!B:B)</f>
        <v>Montes Claros - MG</v>
      </c>
      <c r="H628" t="str">
        <f>_xlfn.XLOOKUP(A628, PORTE!A:A, PORTE!B:B)</f>
        <v>1-10</v>
      </c>
      <c r="I628" t="str">
        <f>_xlfn.XLOOKUP(A628, OBJETIVO!A:A, OBJETIVO!B:B)</f>
        <v>Planejamento estratégico</v>
      </c>
      <c r="J628">
        <f t="shared" si="9"/>
        <v>0</v>
      </c>
    </row>
    <row r="629" spans="1:10" x14ac:dyDescent="0.25">
      <c r="A629">
        <v>11393126</v>
      </c>
      <c r="B629" s="1">
        <v>45706.707256944443</v>
      </c>
      <c r="C629" t="s">
        <v>0</v>
      </c>
      <c r="D629" t="str">
        <f>VLOOKUP(A629,MERCADO!A:B,2,0)</f>
        <v>Varejo</v>
      </c>
      <c r="E629" t="str">
        <f>_xlfn.XLOOKUP(A629, ORIGEM!A:A, ORIGEM!B:B)</f>
        <v>Google</v>
      </c>
      <c r="F629" t="str">
        <f>_xlfn.XLOOKUP(A629, ORIGEM!A:A, ORIGEM!C:C)</f>
        <v>google - cpc</v>
      </c>
      <c r="G629" t="str">
        <f>_xlfn.XLOOKUP(A629, LOCAL!A:A, LOCAL!B:B)</f>
        <v>Engenheiro Navarro, MG</v>
      </c>
      <c r="H629" t="str">
        <f>_xlfn.XLOOKUP(A629, PORTE!A:A, PORTE!B:B)</f>
        <v>11-50</v>
      </c>
      <c r="I629" t="str">
        <f>_xlfn.XLOOKUP(A629, OBJETIVO!A:A, OBJETIVO!B:B)</f>
        <v>Abertura/Expansão</v>
      </c>
      <c r="J629">
        <f t="shared" si="9"/>
        <v>0</v>
      </c>
    </row>
    <row r="630" spans="1:10" x14ac:dyDescent="0.25">
      <c r="A630">
        <v>11320857</v>
      </c>
      <c r="B630" s="1">
        <v>45699.420104166667</v>
      </c>
      <c r="C630" t="s">
        <v>0</v>
      </c>
      <c r="D630" t="str">
        <f>VLOOKUP(A630,MERCADO!A:B,2,0)</f>
        <v>Imobiliaria/Incorporadora/Construtora</v>
      </c>
      <c r="E630" t="str">
        <f>_xlfn.XLOOKUP(A630, ORIGEM!A:A, ORIGEM!B:B)</f>
        <v>Orgânico</v>
      </c>
      <c r="F630">
        <f>_xlfn.XLOOKUP(A630, ORIGEM!A:A, ORIGEM!C:C)</f>
        <v>0</v>
      </c>
      <c r="G630" t="str">
        <f>_xlfn.XLOOKUP(A630, LOCAL!A:A, LOCAL!B:B)</f>
        <v>São Paulo - SP</v>
      </c>
      <c r="H630" t="str">
        <f>_xlfn.XLOOKUP(A630, PORTE!A:A, PORTE!B:B)</f>
        <v>11-50</v>
      </c>
      <c r="I630" t="str">
        <f>_xlfn.XLOOKUP(A630, OBJETIVO!A:A, OBJETIVO!B:B)</f>
        <v>Planejamento estratégico</v>
      </c>
      <c r="J630">
        <f t="shared" si="9"/>
        <v>0</v>
      </c>
    </row>
    <row r="631" spans="1:10" x14ac:dyDescent="0.25">
      <c r="A631">
        <v>11109123</v>
      </c>
      <c r="B631" s="1">
        <v>45682.664837962962</v>
      </c>
      <c r="C631" t="s">
        <v>0</v>
      </c>
      <c r="D631" t="str">
        <f>VLOOKUP(A631,MERCADO!A:B,2,0)</f>
        <v>Varejo</v>
      </c>
      <c r="E631" t="str">
        <f>_xlfn.XLOOKUP(A631, ORIGEM!A:A, ORIGEM!B:B)</f>
        <v>Orgânico</v>
      </c>
      <c r="F631">
        <f>_xlfn.XLOOKUP(A631, ORIGEM!A:A, ORIGEM!C:C)</f>
        <v>0</v>
      </c>
      <c r="G631" t="str">
        <f>_xlfn.XLOOKUP(A631, LOCAL!A:A, LOCAL!B:B)</f>
        <v>Paracatu - MG</v>
      </c>
      <c r="H631" t="str">
        <f>_xlfn.XLOOKUP(A631, PORTE!A:A, PORTE!B:B)</f>
        <v>1-10</v>
      </c>
      <c r="I631" t="str">
        <f>_xlfn.XLOOKUP(A631, OBJETIVO!A:A, OBJETIVO!B:B)</f>
        <v>Abertura/Expansão</v>
      </c>
      <c r="J631">
        <f t="shared" si="9"/>
        <v>0</v>
      </c>
    </row>
    <row r="632" spans="1:10" x14ac:dyDescent="0.25">
      <c r="A632">
        <v>11706299</v>
      </c>
      <c r="B632" s="1">
        <v>45735.867060185185</v>
      </c>
      <c r="C632" t="s">
        <v>0</v>
      </c>
      <c r="D632" t="str">
        <f>VLOOKUP(A632,MERCADO!A:B,2,0)</f>
        <v>Servicos</v>
      </c>
      <c r="E632" t="str">
        <f>_xlfn.XLOOKUP(A632, ORIGEM!A:A, ORIGEM!B:B)</f>
        <v>Orgânico</v>
      </c>
      <c r="F632">
        <f>_xlfn.XLOOKUP(A632, ORIGEM!A:A, ORIGEM!C:C)</f>
        <v>0</v>
      </c>
      <c r="G632" t="str">
        <f>_xlfn.XLOOKUP(A632, LOCAL!A:A, LOCAL!B:B)</f>
        <v>Uberlândia - MG</v>
      </c>
      <c r="H632" t="str">
        <f>_xlfn.XLOOKUP(A632, PORTE!A:A, PORTE!B:B)</f>
        <v>11-50</v>
      </c>
      <c r="I632" t="str">
        <f>_xlfn.XLOOKUP(A632, OBJETIVO!A:A, OBJETIVO!B:B)</f>
        <v>Planejamento estratégico</v>
      </c>
      <c r="J632">
        <f t="shared" si="9"/>
        <v>0</v>
      </c>
    </row>
    <row r="633" spans="1:10" x14ac:dyDescent="0.25">
      <c r="A633">
        <v>11560860</v>
      </c>
      <c r="B633" s="1">
        <v>45723.518738425926</v>
      </c>
      <c r="C633" t="s">
        <v>0</v>
      </c>
      <c r="D633" t="str">
        <f>VLOOKUP(A633,MERCADO!A:B,2,0)</f>
        <v>Varejo</v>
      </c>
      <c r="E633" t="str">
        <f>_xlfn.XLOOKUP(A633, ORIGEM!A:A, ORIGEM!B:B)</f>
        <v>Orgânico</v>
      </c>
      <c r="F633">
        <f>_xlfn.XLOOKUP(A633, ORIGEM!A:A, ORIGEM!C:C)</f>
        <v>0</v>
      </c>
      <c r="G633" t="str">
        <f>_xlfn.XLOOKUP(A633, LOCAL!A:A, LOCAL!B:B)</f>
        <v>Santarém - PA</v>
      </c>
      <c r="H633" t="str">
        <f>_xlfn.XLOOKUP(A633, PORTE!A:A, PORTE!B:B)</f>
        <v>301-1000</v>
      </c>
      <c r="I633" t="str">
        <f>_xlfn.XLOOKUP(A633, OBJETIVO!A:A, OBJETIVO!B:B)</f>
        <v>Abertura/Expansão</v>
      </c>
      <c r="J633">
        <f t="shared" si="9"/>
        <v>0</v>
      </c>
    </row>
    <row r="634" spans="1:10" x14ac:dyDescent="0.25">
      <c r="A634">
        <v>11346491</v>
      </c>
      <c r="B634" s="1">
        <v>45702.352002314816</v>
      </c>
      <c r="C634" t="s">
        <v>0</v>
      </c>
      <c r="D634" t="str">
        <f>VLOOKUP(A634,MERCADO!A:B,2,0)</f>
        <v>Marketing/Publicidade/Consultoria</v>
      </c>
      <c r="E634" t="str">
        <f>_xlfn.XLOOKUP(A634, ORIGEM!A:A, ORIGEM!B:B)</f>
        <v>Facebook</v>
      </c>
      <c r="F634" t="str">
        <f>_xlfn.XLOOKUP(A634, ORIGEM!A:A, ORIGEM!C:C)</f>
        <v>facebook - cpc</v>
      </c>
      <c r="G634" t="str">
        <f>_xlfn.XLOOKUP(A634, LOCAL!A:A, LOCAL!B:B)</f>
        <v>Igarape Acu - PA</v>
      </c>
      <c r="H634" t="str">
        <f>_xlfn.XLOOKUP(A634, PORTE!A:A, PORTE!B:B)</f>
        <v>1-10</v>
      </c>
      <c r="I634" t="str">
        <f>_xlfn.XLOOKUP(A634, OBJETIVO!A:A, OBJETIVO!B:B)</f>
        <v>Planejamento estratégico</v>
      </c>
      <c r="J634">
        <f t="shared" si="9"/>
        <v>0</v>
      </c>
    </row>
    <row r="635" spans="1:10" x14ac:dyDescent="0.25">
      <c r="A635">
        <v>11876761</v>
      </c>
      <c r="B635" s="1">
        <v>45753.416018518517</v>
      </c>
      <c r="C635" t="s">
        <v>0</v>
      </c>
      <c r="D635" t="str">
        <f>VLOOKUP(A635,MERCADO!A:B,2,0)</f>
        <v>Servicos</v>
      </c>
      <c r="E635" t="str">
        <f>_xlfn.XLOOKUP(A635, ORIGEM!A:A, ORIGEM!B:B)</f>
        <v>Orgânico</v>
      </c>
      <c r="F635">
        <f>_xlfn.XLOOKUP(A635, ORIGEM!A:A, ORIGEM!C:C)</f>
        <v>0</v>
      </c>
      <c r="G635" t="str">
        <f>_xlfn.XLOOKUP(A635, LOCAL!A:A, LOCAL!B:B)</f>
        <v>João Pessoa - PB</v>
      </c>
      <c r="H635" t="str">
        <f>_xlfn.XLOOKUP(A635, PORTE!A:A, PORTE!B:B)</f>
        <v>+ 1000</v>
      </c>
      <c r="I635" t="str">
        <f>_xlfn.XLOOKUP(A635, OBJETIVO!A:A, OBJETIVO!B:B)</f>
        <v>Ações de marketing/vendas</v>
      </c>
      <c r="J635">
        <f t="shared" si="9"/>
        <v>0</v>
      </c>
    </row>
    <row r="636" spans="1:10" x14ac:dyDescent="0.25">
      <c r="A636">
        <v>11559467</v>
      </c>
      <c r="B636" s="1">
        <v>45722.764444444445</v>
      </c>
      <c r="C636" t="s">
        <v>0</v>
      </c>
      <c r="D636" t="str">
        <f>VLOOKUP(A636,MERCADO!A:B,2,0)</f>
        <v>Empreendedor</v>
      </c>
      <c r="E636" t="str">
        <f>_xlfn.XLOOKUP(A636, ORIGEM!A:A, ORIGEM!B:B)</f>
        <v>Facebook</v>
      </c>
      <c r="F636" t="str">
        <f>_xlfn.XLOOKUP(A636, ORIGEM!A:A, ORIGEM!C:C)</f>
        <v>facebook - cpc</v>
      </c>
      <c r="G636" t="str">
        <f>_xlfn.XLOOKUP(A636, LOCAL!A:A, LOCAL!B:B)</f>
        <v>Brasília - DF</v>
      </c>
      <c r="H636" t="str">
        <f>_xlfn.XLOOKUP(A636, PORTE!A:A, PORTE!B:B)</f>
        <v>1-10</v>
      </c>
      <c r="I636" t="str">
        <f>_xlfn.XLOOKUP(A636, OBJETIVO!A:A, OBJETIVO!B:B)</f>
        <v>Geração de leads b2b</v>
      </c>
      <c r="J636">
        <f t="shared" si="9"/>
        <v>0</v>
      </c>
    </row>
    <row r="637" spans="1:10" x14ac:dyDescent="0.25">
      <c r="A637">
        <v>11223364</v>
      </c>
      <c r="B637" s="1">
        <v>45690.593784722223</v>
      </c>
      <c r="C637" t="s">
        <v>0</v>
      </c>
      <c r="D637" t="str">
        <f>VLOOKUP(A637,MERCADO!A:B,2,0)</f>
        <v>Servicos</v>
      </c>
      <c r="E637" t="str">
        <f>_xlfn.XLOOKUP(A637, ORIGEM!A:A, ORIGEM!B:B)</f>
        <v>Google</v>
      </c>
      <c r="F637" t="str">
        <f>_xlfn.XLOOKUP(A637, ORIGEM!A:A, ORIGEM!C:C)</f>
        <v>google - cpc</v>
      </c>
      <c r="G637" t="str">
        <f>_xlfn.XLOOKUP(A637, LOCAL!A:A, LOCAL!B:B)</f>
        <v>Sinop - MT</v>
      </c>
      <c r="H637" t="str">
        <f>_xlfn.XLOOKUP(A637, PORTE!A:A, PORTE!B:B)</f>
        <v>11-50</v>
      </c>
      <c r="I637" t="str">
        <f>_xlfn.XLOOKUP(A637, OBJETIVO!A:A, OBJETIVO!B:B)</f>
        <v>Outro</v>
      </c>
      <c r="J637">
        <f t="shared" si="9"/>
        <v>0</v>
      </c>
    </row>
    <row r="638" spans="1:10" x14ac:dyDescent="0.25">
      <c r="A638">
        <v>11406027</v>
      </c>
      <c r="B638" s="1">
        <v>45708.017800925925</v>
      </c>
      <c r="C638" t="s">
        <v>0</v>
      </c>
      <c r="D638" t="str">
        <f>VLOOKUP(A638,MERCADO!A:B,2,0)</f>
        <v>Servicos</v>
      </c>
      <c r="E638" t="str">
        <f>_xlfn.XLOOKUP(A638, ORIGEM!A:A, ORIGEM!B:B)</f>
        <v>Facebook</v>
      </c>
      <c r="F638" t="str">
        <f>_xlfn.XLOOKUP(A638, ORIGEM!A:A, ORIGEM!C:C)</f>
        <v>facebook - cpc</v>
      </c>
      <c r="G638" t="str">
        <f>_xlfn.XLOOKUP(A638, LOCAL!A:A, LOCAL!B:B)</f>
        <v>Sorriso - MT</v>
      </c>
      <c r="H638" t="str">
        <f>_xlfn.XLOOKUP(A638, PORTE!A:A, PORTE!B:B)</f>
        <v>1-10</v>
      </c>
      <c r="I638" t="str">
        <f>_xlfn.XLOOKUP(A638, OBJETIVO!A:A, OBJETIVO!B:B)</f>
        <v>Ações de marketing/vendas</v>
      </c>
      <c r="J638">
        <f t="shared" si="9"/>
        <v>0</v>
      </c>
    </row>
    <row r="639" spans="1:10" x14ac:dyDescent="0.25">
      <c r="A639">
        <v>11623862</v>
      </c>
      <c r="B639" s="1">
        <v>45728.515532407408</v>
      </c>
      <c r="C639" t="s">
        <v>0</v>
      </c>
      <c r="D639" t="str">
        <f>VLOOKUP(A639,MERCADO!A:B,2,0)</f>
        <v>Servicos</v>
      </c>
      <c r="E639" t="str">
        <f>_xlfn.XLOOKUP(A639, ORIGEM!A:A, ORIGEM!B:B)</f>
        <v>Google</v>
      </c>
      <c r="F639" t="str">
        <f>_xlfn.XLOOKUP(A639, ORIGEM!A:A, ORIGEM!C:C)</f>
        <v>google - cpc</v>
      </c>
      <c r="G639" t="str">
        <f>_xlfn.XLOOKUP(A639, LOCAL!A:A, LOCAL!B:B)</f>
        <v>Cuiabá - MT</v>
      </c>
      <c r="H639" t="str">
        <f>_xlfn.XLOOKUP(A639, PORTE!A:A, PORTE!B:B)</f>
        <v>0</v>
      </c>
      <c r="I639" t="str">
        <f>_xlfn.XLOOKUP(A639, OBJETIVO!A:A, OBJETIVO!B:B)</f>
        <v>Geração de leads b2b</v>
      </c>
      <c r="J639">
        <f t="shared" si="9"/>
        <v>0</v>
      </c>
    </row>
    <row r="640" spans="1:10" x14ac:dyDescent="0.25">
      <c r="A640">
        <v>11556796</v>
      </c>
      <c r="B640" s="1">
        <v>45721.743344907409</v>
      </c>
      <c r="C640" t="s">
        <v>0</v>
      </c>
      <c r="D640" t="str">
        <f>VLOOKUP(A640,MERCADO!A:B,2,0)</f>
        <v>Servicos</v>
      </c>
      <c r="E640" t="str">
        <f>_xlfn.XLOOKUP(A640, ORIGEM!A:A, ORIGEM!B:B)</f>
        <v>Orgânico</v>
      </c>
      <c r="F640">
        <f>_xlfn.XLOOKUP(A640, ORIGEM!A:A, ORIGEM!C:C)</f>
        <v>0</v>
      </c>
      <c r="G640" t="str">
        <f>_xlfn.XLOOKUP(A640, LOCAL!A:A, LOCAL!B:B)</f>
        <v>Jaciara - MT</v>
      </c>
      <c r="H640" t="str">
        <f>_xlfn.XLOOKUP(A640, PORTE!A:A, PORTE!B:B)</f>
        <v>1-10</v>
      </c>
      <c r="I640" t="str">
        <f>_xlfn.XLOOKUP(A640, OBJETIVO!A:A, OBJETIVO!B:B)</f>
        <v>Planejamento estratégico</v>
      </c>
      <c r="J640">
        <f t="shared" si="9"/>
        <v>0</v>
      </c>
    </row>
    <row r="641" spans="1:10" x14ac:dyDescent="0.25">
      <c r="A641">
        <v>10621630</v>
      </c>
      <c r="B641" s="1">
        <v>45631.520486111112</v>
      </c>
      <c r="C641" t="s">
        <v>0</v>
      </c>
      <c r="D641" t="str">
        <f>VLOOKUP(A641,MERCADO!A:B,2,0)</f>
        <v>Varejo</v>
      </c>
      <c r="E641" t="str">
        <f>_xlfn.XLOOKUP(A641, ORIGEM!A:A, ORIGEM!B:B)</f>
        <v>Orgânico</v>
      </c>
      <c r="F641">
        <f>_xlfn.XLOOKUP(A641, ORIGEM!A:A, ORIGEM!C:C)</f>
        <v>0</v>
      </c>
      <c r="G641" t="str">
        <f>_xlfn.XLOOKUP(A641, LOCAL!A:A, LOCAL!B:B)</f>
        <v>Ananindeua - PA</v>
      </c>
      <c r="H641" t="str">
        <f>_xlfn.XLOOKUP(A641, PORTE!A:A, PORTE!B:B)</f>
        <v>0</v>
      </c>
      <c r="I641" t="str">
        <f>_xlfn.XLOOKUP(A641, OBJETIVO!A:A, OBJETIVO!B:B)</f>
        <v>Planejamento estratégico</v>
      </c>
      <c r="J641">
        <f t="shared" si="9"/>
        <v>0</v>
      </c>
    </row>
    <row r="642" spans="1:10" x14ac:dyDescent="0.25">
      <c r="A642">
        <v>11048291</v>
      </c>
      <c r="B642" s="1">
        <v>45676.817013888889</v>
      </c>
      <c r="C642" t="s">
        <v>0</v>
      </c>
      <c r="D642" t="str">
        <f>VLOOKUP(A642,MERCADO!A:B,2,0)</f>
        <v>Servicos</v>
      </c>
      <c r="E642" t="str">
        <f>_xlfn.XLOOKUP(A642, ORIGEM!A:A, ORIGEM!B:B)</f>
        <v>Google</v>
      </c>
      <c r="F642" t="str">
        <f>_xlfn.XLOOKUP(A642, ORIGEM!A:A, ORIGEM!C:C)</f>
        <v>google - cpc</v>
      </c>
      <c r="G642" t="str">
        <f>_xlfn.XLOOKUP(A642, LOCAL!A:A, LOCAL!B:B)</f>
        <v>Castanhal - PA</v>
      </c>
      <c r="H642" t="str">
        <f>_xlfn.XLOOKUP(A642, PORTE!A:A, PORTE!B:B)</f>
        <v>1-10</v>
      </c>
      <c r="I642" t="str">
        <f>_xlfn.XLOOKUP(A642, OBJETIVO!A:A, OBJETIVO!B:B)</f>
        <v>Outro</v>
      </c>
      <c r="J642">
        <f t="shared" si="9"/>
        <v>0</v>
      </c>
    </row>
    <row r="643" spans="1:10" x14ac:dyDescent="0.25">
      <c r="A643">
        <v>11707617</v>
      </c>
      <c r="B643" s="1">
        <v>45736.446180555555</v>
      </c>
      <c r="C643" t="s">
        <v>0</v>
      </c>
      <c r="D643" t="str">
        <f>VLOOKUP(A643,MERCADO!A:B,2,0)</f>
        <v>Industria</v>
      </c>
      <c r="E643" t="str">
        <f>_xlfn.XLOOKUP(A643, ORIGEM!A:A, ORIGEM!B:B)</f>
        <v>Google</v>
      </c>
      <c r="F643" t="str">
        <f>_xlfn.XLOOKUP(A643, ORIGEM!A:A, ORIGEM!C:C)</f>
        <v>bing - cpc</v>
      </c>
      <c r="G643" t="str">
        <f>_xlfn.XLOOKUP(A643, LOCAL!A:A, LOCAL!B:B)</f>
        <v>Belém - PA</v>
      </c>
      <c r="H643" t="str">
        <f>_xlfn.XLOOKUP(A643, PORTE!A:A, PORTE!B:B)</f>
        <v>+ 1000</v>
      </c>
      <c r="I643" t="str">
        <f>_xlfn.XLOOKUP(A643, OBJETIVO!A:A, OBJETIVO!B:B)</f>
        <v>Abertura/Expansão</v>
      </c>
      <c r="J643">
        <f t="shared" ref="J643:J706" si="10">IF(C643="SIM",1,0)</f>
        <v>0</v>
      </c>
    </row>
    <row r="644" spans="1:10" x14ac:dyDescent="0.25">
      <c r="A644">
        <v>11407763</v>
      </c>
      <c r="B644" s="1">
        <v>45708.698819444442</v>
      </c>
      <c r="C644" t="s">
        <v>0</v>
      </c>
      <c r="D644" t="str">
        <f>VLOOKUP(A644,MERCADO!A:B,2,0)</f>
        <v>Marketing/Publicidade/Consultoria</v>
      </c>
      <c r="E644" t="str">
        <f>_xlfn.XLOOKUP(A644, ORIGEM!A:A, ORIGEM!B:B)</f>
        <v>Facebook</v>
      </c>
      <c r="F644" t="str">
        <f>_xlfn.XLOOKUP(A644, ORIGEM!A:A, ORIGEM!C:C)</f>
        <v>facebook - cpc</v>
      </c>
      <c r="G644" t="str">
        <f>_xlfn.XLOOKUP(A644, LOCAL!A:A, LOCAL!B:B)</f>
        <v>Belém - PA</v>
      </c>
      <c r="H644" t="str">
        <f>_xlfn.XLOOKUP(A644, PORTE!A:A, PORTE!B:B)</f>
        <v>1-10</v>
      </c>
      <c r="I644" t="str">
        <f>_xlfn.XLOOKUP(A644, OBJETIVO!A:A, OBJETIVO!B:B)</f>
        <v>Ações de marketing/vendas</v>
      </c>
      <c r="J644">
        <f t="shared" si="10"/>
        <v>0</v>
      </c>
    </row>
    <row r="645" spans="1:10" x14ac:dyDescent="0.25">
      <c r="A645">
        <v>11905196</v>
      </c>
      <c r="B645" s="1">
        <v>45754.743460648147</v>
      </c>
      <c r="C645" t="s">
        <v>0</v>
      </c>
      <c r="D645" t="str">
        <f>VLOOKUP(A645,MERCADO!A:B,2,0)</f>
        <v>Empreendedor</v>
      </c>
      <c r="E645" t="str">
        <f>_xlfn.XLOOKUP(A645, ORIGEM!A:A, ORIGEM!B:B)</f>
        <v>Google</v>
      </c>
      <c r="F645" t="str">
        <f>_xlfn.XLOOKUP(A645, ORIGEM!A:A, ORIGEM!C:C)</f>
        <v>google - cpc</v>
      </c>
      <c r="G645" t="str">
        <f>_xlfn.XLOOKUP(A645, LOCAL!A:A, LOCAL!B:B)</f>
        <v>Maringá - PR</v>
      </c>
      <c r="H645" t="str">
        <f>_xlfn.XLOOKUP(A645, PORTE!A:A, PORTE!B:B)</f>
        <v>1-10</v>
      </c>
      <c r="I645" t="str">
        <f>_xlfn.XLOOKUP(A645, OBJETIVO!A:A, OBJETIVO!B:B)</f>
        <v>Outro</v>
      </c>
      <c r="J645">
        <f t="shared" si="10"/>
        <v>0</v>
      </c>
    </row>
    <row r="646" spans="1:10" x14ac:dyDescent="0.25">
      <c r="A646">
        <v>11495335</v>
      </c>
      <c r="B646" s="1">
        <v>45717.656770833331</v>
      </c>
      <c r="C646" t="s">
        <v>0</v>
      </c>
      <c r="D646" t="str">
        <f>VLOOKUP(A646,MERCADO!A:B,2,0)</f>
        <v>Servicos</v>
      </c>
      <c r="E646" t="str">
        <f>_xlfn.XLOOKUP(A646, ORIGEM!A:A, ORIGEM!B:B)</f>
        <v>Youtube</v>
      </c>
      <c r="F646" t="str">
        <f>_xlfn.XLOOKUP(A646, ORIGEM!A:A, ORIGEM!C:C)</f>
        <v>youtube - cpc</v>
      </c>
      <c r="G646" t="str">
        <f>_xlfn.XLOOKUP(A646, LOCAL!A:A, LOCAL!B:B)</f>
        <v>Campo Grande - MS</v>
      </c>
      <c r="H646" t="str">
        <f>_xlfn.XLOOKUP(A646, PORTE!A:A, PORTE!B:B)</f>
        <v>1-10</v>
      </c>
      <c r="I646" t="str">
        <f>_xlfn.XLOOKUP(A646, OBJETIVO!A:A, OBJETIVO!B:B)</f>
        <v>Outro</v>
      </c>
      <c r="J646">
        <f t="shared" si="10"/>
        <v>0</v>
      </c>
    </row>
    <row r="647" spans="1:10" x14ac:dyDescent="0.25">
      <c r="A647">
        <v>11390038</v>
      </c>
      <c r="B647" s="1">
        <v>45706.604444444441</v>
      </c>
      <c r="C647" t="s">
        <v>0</v>
      </c>
      <c r="D647" t="str">
        <f>VLOOKUP(A647,MERCADO!A:B,2,0)</f>
        <v>Varejo</v>
      </c>
      <c r="E647" t="str">
        <f>_xlfn.XLOOKUP(A647, ORIGEM!A:A, ORIGEM!B:B)</f>
        <v>Orgânico</v>
      </c>
      <c r="F647">
        <f>_xlfn.XLOOKUP(A647, ORIGEM!A:A, ORIGEM!C:C)</f>
        <v>0</v>
      </c>
      <c r="G647" t="str">
        <f>_xlfn.XLOOKUP(A647, LOCAL!A:A, LOCAL!B:B)</f>
        <v>Paranaiba - MS</v>
      </c>
      <c r="H647" t="str">
        <f>_xlfn.XLOOKUP(A647, PORTE!A:A, PORTE!B:B)</f>
        <v>1-10</v>
      </c>
      <c r="I647" t="str">
        <f>_xlfn.XLOOKUP(A647, OBJETIVO!A:A, OBJETIVO!B:B)</f>
        <v>Planejamento estratégico</v>
      </c>
      <c r="J647">
        <f t="shared" si="10"/>
        <v>0</v>
      </c>
    </row>
    <row r="648" spans="1:10" x14ac:dyDescent="0.25">
      <c r="A648">
        <v>10626499</v>
      </c>
      <c r="B648" s="1">
        <v>45633.399930555555</v>
      </c>
      <c r="C648" t="s">
        <v>0</v>
      </c>
      <c r="D648" t="str">
        <f>VLOOKUP(A648,MERCADO!A:B,2,0)</f>
        <v>Industria</v>
      </c>
      <c r="E648" t="str">
        <f>_xlfn.XLOOKUP(A648, ORIGEM!A:A, ORIGEM!B:B)</f>
        <v>Orgânico</v>
      </c>
      <c r="F648">
        <f>_xlfn.XLOOKUP(A648, ORIGEM!A:A, ORIGEM!C:C)</f>
        <v>0</v>
      </c>
      <c r="G648" t="str">
        <f>_xlfn.XLOOKUP(A648, LOCAL!A:A, LOCAL!B:B)</f>
        <v>-</v>
      </c>
      <c r="H648" t="str">
        <f>_xlfn.XLOOKUP(A648, PORTE!A:A, PORTE!B:B)</f>
        <v>11-50</v>
      </c>
      <c r="I648" t="str">
        <f>_xlfn.XLOOKUP(A648, OBJETIVO!A:A, OBJETIVO!B:B)</f>
        <v>Planejamento estratégico</v>
      </c>
      <c r="J648">
        <f t="shared" si="10"/>
        <v>0</v>
      </c>
    </row>
    <row r="649" spans="1:10" x14ac:dyDescent="0.25">
      <c r="A649">
        <v>11608445</v>
      </c>
      <c r="B649" s="1">
        <v>45727.372349537036</v>
      </c>
      <c r="C649" t="s">
        <v>0</v>
      </c>
      <c r="D649" t="str">
        <f>VLOOKUP(A649,MERCADO!A:B,2,0)</f>
        <v>Varejo</v>
      </c>
      <c r="E649" t="str">
        <f>_xlfn.XLOOKUP(A649, ORIGEM!A:A, ORIGEM!B:B)</f>
        <v>Facebook</v>
      </c>
      <c r="F649" t="str">
        <f>_xlfn.XLOOKUP(A649, ORIGEM!A:A, ORIGEM!C:C)</f>
        <v>facebook - cpc</v>
      </c>
      <c r="G649" t="str">
        <f>_xlfn.XLOOKUP(A649, LOCAL!A:A, LOCAL!B:B)</f>
        <v>Cuiabá - MT</v>
      </c>
      <c r="H649" t="str">
        <f>_xlfn.XLOOKUP(A649, PORTE!A:A, PORTE!B:B)</f>
        <v>1-10</v>
      </c>
      <c r="I649" t="str">
        <f>_xlfn.XLOOKUP(A649, OBJETIVO!A:A, OBJETIVO!B:B)</f>
        <v>Outro</v>
      </c>
      <c r="J649">
        <f t="shared" si="10"/>
        <v>0</v>
      </c>
    </row>
    <row r="650" spans="1:10" x14ac:dyDescent="0.25">
      <c r="A650">
        <v>10784228</v>
      </c>
      <c r="B650" s="1">
        <v>45647.405717592592</v>
      </c>
      <c r="C650" t="s">
        <v>0</v>
      </c>
      <c r="D650" t="str">
        <f>VLOOKUP(A650,MERCADO!A:B,2,0)</f>
        <v>Servicos</v>
      </c>
      <c r="E650" t="str">
        <f>_xlfn.XLOOKUP(A650, ORIGEM!A:A, ORIGEM!B:B)</f>
        <v>Orgânico</v>
      </c>
      <c r="F650">
        <f>_xlfn.XLOOKUP(A650, ORIGEM!A:A, ORIGEM!C:C)</f>
        <v>0</v>
      </c>
      <c r="G650" t="str">
        <f>_xlfn.XLOOKUP(A650, LOCAL!A:A, LOCAL!B:B)</f>
        <v>-</v>
      </c>
      <c r="H650" t="str">
        <f>_xlfn.XLOOKUP(A650, PORTE!A:A, PORTE!B:B)</f>
        <v>1-10</v>
      </c>
      <c r="I650">
        <f>_xlfn.XLOOKUP(A650, OBJETIVO!A:A, OBJETIVO!B:B)</f>
        <v>0</v>
      </c>
      <c r="J650">
        <f t="shared" si="10"/>
        <v>0</v>
      </c>
    </row>
    <row r="651" spans="1:10" x14ac:dyDescent="0.25">
      <c r="A651">
        <v>11607959</v>
      </c>
      <c r="B651" s="1">
        <v>45727.32980324074</v>
      </c>
      <c r="C651" t="s">
        <v>0</v>
      </c>
      <c r="D651" t="str">
        <f>VLOOKUP(A651,MERCADO!A:B,2,0)</f>
        <v>Industria</v>
      </c>
      <c r="E651" t="str">
        <f>_xlfn.XLOOKUP(A651, ORIGEM!A:A, ORIGEM!B:B)</f>
        <v>Facebook</v>
      </c>
      <c r="F651" t="str">
        <f>_xlfn.XLOOKUP(A651, ORIGEM!A:A, ORIGEM!C:C)</f>
        <v>facebook - cpc</v>
      </c>
      <c r="G651" t="str">
        <f>_xlfn.XLOOKUP(A651, LOCAL!A:A, LOCAL!B:B)</f>
        <v>São Miguel do Oeste - SC</v>
      </c>
      <c r="H651" t="str">
        <f>_xlfn.XLOOKUP(A651, PORTE!A:A, PORTE!B:B)</f>
        <v>0</v>
      </c>
      <c r="I651" t="str">
        <f>_xlfn.XLOOKUP(A651, OBJETIVO!A:A, OBJETIVO!B:B)</f>
        <v>Geração de leads b2b</v>
      </c>
      <c r="J651">
        <f t="shared" si="10"/>
        <v>0</v>
      </c>
    </row>
    <row r="652" spans="1:10" x14ac:dyDescent="0.25">
      <c r="A652">
        <v>11559552</v>
      </c>
      <c r="B652" s="1">
        <v>45722.804976851854</v>
      </c>
      <c r="C652" t="s">
        <v>0</v>
      </c>
      <c r="D652" t="str">
        <f>VLOOKUP(A652,MERCADO!A:B,2,0)</f>
        <v>Imobiliaria/Incorporadora/Construtora</v>
      </c>
      <c r="E652" t="str">
        <f>_xlfn.XLOOKUP(A652, ORIGEM!A:A, ORIGEM!B:B)</f>
        <v>Facebook</v>
      </c>
      <c r="F652" t="str">
        <f>_xlfn.XLOOKUP(A652, ORIGEM!A:A, ORIGEM!C:C)</f>
        <v>facebook - cpc</v>
      </c>
      <c r="G652" t="str">
        <f>_xlfn.XLOOKUP(A652, LOCAL!A:A, LOCAL!B:B)</f>
        <v>Cuiabá - MT</v>
      </c>
      <c r="H652" t="str">
        <f>_xlfn.XLOOKUP(A652, PORTE!A:A, PORTE!B:B)</f>
        <v>1-10</v>
      </c>
      <c r="I652" t="str">
        <f>_xlfn.XLOOKUP(A652, OBJETIVO!A:A, OBJETIVO!B:B)</f>
        <v>Abertura/Expansão</v>
      </c>
      <c r="J652">
        <f t="shared" si="10"/>
        <v>0</v>
      </c>
    </row>
    <row r="653" spans="1:10" x14ac:dyDescent="0.25">
      <c r="A653">
        <v>11607907</v>
      </c>
      <c r="B653" s="1">
        <v>45727.314502314817</v>
      </c>
      <c r="C653" t="s">
        <v>0</v>
      </c>
      <c r="D653" t="str">
        <f>VLOOKUP(A653,MERCADO!A:B,2,0)</f>
        <v>Imobiliaria/Incorporadora/Construtora</v>
      </c>
      <c r="E653" t="str">
        <f>_xlfn.XLOOKUP(A653, ORIGEM!A:A, ORIGEM!B:B)</f>
        <v>Facebook</v>
      </c>
      <c r="F653" t="str">
        <f>_xlfn.XLOOKUP(A653, ORIGEM!A:A, ORIGEM!C:C)</f>
        <v>facebook - cpc</v>
      </c>
      <c r="G653" t="str">
        <f>_xlfn.XLOOKUP(A653, LOCAL!A:A, LOCAL!B:B)</f>
        <v>Várzea Grande - MT</v>
      </c>
      <c r="H653" t="str">
        <f>_xlfn.XLOOKUP(A653, PORTE!A:A, PORTE!B:B)</f>
        <v>0</v>
      </c>
      <c r="I653" t="str">
        <f>_xlfn.XLOOKUP(A653, OBJETIVO!A:A, OBJETIVO!B:B)</f>
        <v>Geração de leads b2b</v>
      </c>
      <c r="J653">
        <f t="shared" si="10"/>
        <v>0</v>
      </c>
    </row>
    <row r="654" spans="1:10" x14ac:dyDescent="0.25">
      <c r="A654">
        <v>10703869</v>
      </c>
      <c r="B654" s="1">
        <v>45638.728483796294</v>
      </c>
      <c r="C654" t="s">
        <v>0</v>
      </c>
      <c r="D654" t="str">
        <f>VLOOKUP(A654,MERCADO!A:B,2,0)</f>
        <v>Servicos</v>
      </c>
      <c r="E654" t="str">
        <f>_xlfn.XLOOKUP(A654, ORIGEM!A:A, ORIGEM!B:B)</f>
        <v>Google</v>
      </c>
      <c r="F654" t="str">
        <f>_xlfn.XLOOKUP(A654, ORIGEM!A:A, ORIGEM!C:C)</f>
        <v>google - cpc</v>
      </c>
      <c r="G654" t="str">
        <f>_xlfn.XLOOKUP(A654, LOCAL!A:A, LOCAL!B:B)</f>
        <v>Cuiabá - MT</v>
      </c>
      <c r="H654" t="str">
        <f>_xlfn.XLOOKUP(A654, PORTE!A:A, PORTE!B:B)</f>
        <v>11-50</v>
      </c>
      <c r="I654" t="str">
        <f>_xlfn.XLOOKUP(A654, OBJETIVO!A:A, OBJETIVO!B:B)</f>
        <v>Abertura/Expansão</v>
      </c>
      <c r="J654">
        <f t="shared" si="10"/>
        <v>0</v>
      </c>
    </row>
    <row r="655" spans="1:10" x14ac:dyDescent="0.25">
      <c r="A655">
        <v>11891250</v>
      </c>
      <c r="B655" s="1">
        <v>45753.751458333332</v>
      </c>
      <c r="C655" t="s">
        <v>0</v>
      </c>
      <c r="D655" t="str">
        <f>VLOOKUP(A655,MERCADO!A:B,2,0)</f>
        <v>Servicos</v>
      </c>
      <c r="E655" t="str">
        <f>_xlfn.XLOOKUP(A655, ORIGEM!A:A, ORIGEM!B:B)</f>
        <v>Google</v>
      </c>
      <c r="F655">
        <f>_xlfn.XLOOKUP(A655, ORIGEM!A:A, ORIGEM!C:C)</f>
        <v>0</v>
      </c>
      <c r="G655" t="str">
        <f>_xlfn.XLOOKUP(A655, LOCAL!A:A, LOCAL!B:B)</f>
        <v>-</v>
      </c>
      <c r="H655" t="str">
        <f>_xlfn.XLOOKUP(A655, PORTE!A:A, PORTE!B:B)</f>
        <v>51-300</v>
      </c>
      <c r="I655" t="str">
        <f>_xlfn.XLOOKUP(A655, OBJETIVO!A:A, OBJETIVO!B:B)</f>
        <v>Planejamento estratégico</v>
      </c>
      <c r="J655">
        <f t="shared" si="10"/>
        <v>0</v>
      </c>
    </row>
    <row r="656" spans="1:10" x14ac:dyDescent="0.25">
      <c r="A656">
        <v>11407295</v>
      </c>
      <c r="B656" s="1">
        <v>45708.536932870367</v>
      </c>
      <c r="C656" t="s">
        <v>0</v>
      </c>
      <c r="D656" t="str">
        <f>VLOOKUP(A656,MERCADO!A:B,2,0)</f>
        <v>Servicos</v>
      </c>
      <c r="E656" t="str">
        <f>_xlfn.XLOOKUP(A656, ORIGEM!A:A, ORIGEM!B:B)</f>
        <v>Facebook</v>
      </c>
      <c r="F656">
        <f>_xlfn.XLOOKUP(A656, ORIGEM!A:A, ORIGEM!C:C)</f>
        <v>0</v>
      </c>
      <c r="G656" t="str">
        <f>_xlfn.XLOOKUP(A656, LOCAL!A:A, LOCAL!B:B)</f>
        <v>São Luís - MA</v>
      </c>
      <c r="H656" t="str">
        <f>_xlfn.XLOOKUP(A656, PORTE!A:A, PORTE!B:B)</f>
        <v>11-50</v>
      </c>
      <c r="I656" t="str">
        <f>_xlfn.XLOOKUP(A656, OBJETIVO!A:A, OBJETIVO!B:B)</f>
        <v>Geração de leads b2b</v>
      </c>
      <c r="J656">
        <f t="shared" si="10"/>
        <v>0</v>
      </c>
    </row>
    <row r="657" spans="1:10" x14ac:dyDescent="0.25">
      <c r="A657">
        <v>11022861</v>
      </c>
      <c r="B657" s="1">
        <v>45675.611759259256</v>
      </c>
      <c r="C657" t="s">
        <v>0</v>
      </c>
      <c r="D657" t="str">
        <f>VLOOKUP(A657,MERCADO!A:B,2,0)</f>
        <v>Servicos</v>
      </c>
      <c r="E657" t="str">
        <f>_xlfn.XLOOKUP(A657, ORIGEM!A:A, ORIGEM!B:B)</f>
        <v>Google</v>
      </c>
      <c r="F657" t="str">
        <f>_xlfn.XLOOKUP(A657, ORIGEM!A:A, ORIGEM!C:C)</f>
        <v>google - cpc</v>
      </c>
      <c r="G657" t="str">
        <f>_xlfn.XLOOKUP(A657, LOCAL!A:A, LOCAL!B:B)</f>
        <v>São Luís - MA</v>
      </c>
      <c r="H657" t="str">
        <f>_xlfn.XLOOKUP(A657, PORTE!A:A, PORTE!B:B)</f>
        <v>1-10</v>
      </c>
      <c r="I657" t="str">
        <f>_xlfn.XLOOKUP(A657, OBJETIVO!A:A, OBJETIVO!B:B)</f>
        <v>Abertura/Expansão</v>
      </c>
      <c r="J657">
        <f t="shared" si="10"/>
        <v>0</v>
      </c>
    </row>
    <row r="658" spans="1:10" x14ac:dyDescent="0.25">
      <c r="A658">
        <v>11578188</v>
      </c>
      <c r="B658" s="1">
        <v>45724.989421296297</v>
      </c>
      <c r="C658" t="s">
        <v>0</v>
      </c>
      <c r="D658" t="str">
        <f>VLOOKUP(A658,MERCADO!A:B,2,0)</f>
        <v>Imobiliaria/Incorporadora/Construtora</v>
      </c>
      <c r="E658" t="str">
        <f>_xlfn.XLOOKUP(A658, ORIGEM!A:A, ORIGEM!B:B)</f>
        <v>Facebook</v>
      </c>
      <c r="F658" t="str">
        <f>_xlfn.XLOOKUP(A658, ORIGEM!A:A, ORIGEM!C:C)</f>
        <v>facebook - cpc</v>
      </c>
      <c r="G658" t="str">
        <f>_xlfn.XLOOKUP(A658, LOCAL!A:A, LOCAL!B:B)</f>
        <v>Goiânia - GO</v>
      </c>
      <c r="H658" t="str">
        <f>_xlfn.XLOOKUP(A658, PORTE!A:A, PORTE!B:B)</f>
        <v>0</v>
      </c>
      <c r="I658" t="str">
        <f>_xlfn.XLOOKUP(A658, OBJETIVO!A:A, OBJETIVO!B:B)</f>
        <v>Ações de marketing/vendas</v>
      </c>
      <c r="J658">
        <f t="shared" si="10"/>
        <v>0</v>
      </c>
    </row>
    <row r="659" spans="1:10" x14ac:dyDescent="0.25">
      <c r="A659">
        <v>11783911</v>
      </c>
      <c r="B659" s="1">
        <v>45742.731620370374</v>
      </c>
      <c r="C659" t="s">
        <v>0</v>
      </c>
      <c r="D659" t="str">
        <f>VLOOKUP(A659,MERCADO!A:B,2,0)</f>
        <v>Servicos</v>
      </c>
      <c r="E659" t="str">
        <f>_xlfn.XLOOKUP(A659, ORIGEM!A:A, ORIGEM!B:B)</f>
        <v>Orgânico</v>
      </c>
      <c r="F659">
        <f>_xlfn.XLOOKUP(A659, ORIGEM!A:A, ORIGEM!C:C)</f>
        <v>0</v>
      </c>
      <c r="G659" t="str">
        <f>_xlfn.XLOOKUP(A659, LOCAL!A:A, LOCAL!B:B)</f>
        <v>Goiânia - GO</v>
      </c>
      <c r="H659" t="str">
        <f>_xlfn.XLOOKUP(A659, PORTE!A:A, PORTE!B:B)</f>
        <v>+ 1000</v>
      </c>
      <c r="I659" t="str">
        <f>_xlfn.XLOOKUP(A659, OBJETIVO!A:A, OBJETIVO!B:B)</f>
        <v>Abertura/Expansão</v>
      </c>
      <c r="J659">
        <f t="shared" si="10"/>
        <v>0</v>
      </c>
    </row>
    <row r="660" spans="1:10" x14ac:dyDescent="0.25">
      <c r="A660">
        <v>11857166</v>
      </c>
      <c r="B660" s="1">
        <v>45750.438761574071</v>
      </c>
      <c r="C660" t="s">
        <v>0</v>
      </c>
      <c r="D660" t="str">
        <f>VLOOKUP(A660,MERCADO!A:B,2,0)</f>
        <v>Empreendedor</v>
      </c>
      <c r="E660" t="str">
        <f>_xlfn.XLOOKUP(A660, ORIGEM!A:A, ORIGEM!B:B)</f>
        <v>Google</v>
      </c>
      <c r="F660" t="str">
        <f>_xlfn.XLOOKUP(A660, ORIGEM!A:A, ORIGEM!C:C)</f>
        <v>google - cpc</v>
      </c>
      <c r="G660" t="str">
        <f>_xlfn.XLOOKUP(A660, LOCAL!A:A, LOCAL!B:B)</f>
        <v>Goiânia - GO</v>
      </c>
      <c r="H660" t="str">
        <f>_xlfn.XLOOKUP(A660, PORTE!A:A, PORTE!B:B)</f>
        <v>1-10</v>
      </c>
      <c r="I660" t="str">
        <f>_xlfn.XLOOKUP(A660, OBJETIVO!A:A, OBJETIVO!B:B)</f>
        <v>Ações de marketing/vendas</v>
      </c>
      <c r="J660">
        <f t="shared" si="10"/>
        <v>0</v>
      </c>
    </row>
    <row r="661" spans="1:10" x14ac:dyDescent="0.25">
      <c r="A661">
        <v>11026499</v>
      </c>
      <c r="B661" s="1">
        <v>45675.6953125</v>
      </c>
      <c r="C661" t="s">
        <v>0</v>
      </c>
      <c r="D661" t="str">
        <f>VLOOKUP(A661,MERCADO!A:B,2,0)</f>
        <v>Empreendedor</v>
      </c>
      <c r="E661" t="str">
        <f>_xlfn.XLOOKUP(A661, ORIGEM!A:A, ORIGEM!B:B)</f>
        <v>Orgânico</v>
      </c>
      <c r="F661">
        <f>_xlfn.XLOOKUP(A661, ORIGEM!A:A, ORIGEM!C:C)</f>
        <v>0</v>
      </c>
      <c r="G661" t="str">
        <f>_xlfn.XLOOKUP(A661, LOCAL!A:A, LOCAL!B:B)</f>
        <v>Goiânia - GO</v>
      </c>
      <c r="H661" t="str">
        <f>_xlfn.XLOOKUP(A661, PORTE!A:A, PORTE!B:B)</f>
        <v>1-10</v>
      </c>
      <c r="I661" t="str">
        <f>_xlfn.XLOOKUP(A661, OBJETIVO!A:A, OBJETIVO!B:B)</f>
        <v>Geração de leads b2b</v>
      </c>
      <c r="J661">
        <f t="shared" si="10"/>
        <v>0</v>
      </c>
    </row>
    <row r="662" spans="1:10" x14ac:dyDescent="0.25">
      <c r="A662">
        <v>10919744</v>
      </c>
      <c r="B662" s="1">
        <v>45665.93445601852</v>
      </c>
      <c r="C662" t="s">
        <v>0</v>
      </c>
      <c r="D662" t="str">
        <f>VLOOKUP(A662,MERCADO!A:B,2,0)</f>
        <v>Varejo</v>
      </c>
      <c r="E662" t="str">
        <f>_xlfn.XLOOKUP(A662, ORIGEM!A:A, ORIGEM!B:B)</f>
        <v>Google</v>
      </c>
      <c r="F662" t="str">
        <f>_xlfn.XLOOKUP(A662, ORIGEM!A:A, ORIGEM!C:C)</f>
        <v>google - cpc</v>
      </c>
      <c r="G662" t="str">
        <f>_xlfn.XLOOKUP(A662, LOCAL!A:A, LOCAL!B:B)</f>
        <v>Goiânia - GO</v>
      </c>
      <c r="H662" t="str">
        <f>_xlfn.XLOOKUP(A662, PORTE!A:A, PORTE!B:B)</f>
        <v>1-10</v>
      </c>
      <c r="I662" t="str">
        <f>_xlfn.XLOOKUP(A662, OBJETIVO!A:A, OBJETIVO!B:B)</f>
        <v>Ações de marketing/vendas</v>
      </c>
      <c r="J662">
        <f t="shared" si="10"/>
        <v>0</v>
      </c>
    </row>
    <row r="663" spans="1:10" x14ac:dyDescent="0.25">
      <c r="A663">
        <v>11423882</v>
      </c>
      <c r="B663" s="1">
        <v>45710.699131944442</v>
      </c>
      <c r="C663" t="s">
        <v>0</v>
      </c>
      <c r="D663" t="str">
        <f>VLOOKUP(A663,MERCADO!A:B,2,0)</f>
        <v>Varejo</v>
      </c>
      <c r="E663" t="str">
        <f>_xlfn.XLOOKUP(A663, ORIGEM!A:A, ORIGEM!B:B)</f>
        <v>Google</v>
      </c>
      <c r="F663" t="str">
        <f>_xlfn.XLOOKUP(A663, ORIGEM!A:A, ORIGEM!C:C)</f>
        <v>google - cpc</v>
      </c>
      <c r="G663" t="str">
        <f>_xlfn.XLOOKUP(A663, LOCAL!A:A, LOCAL!B:B)</f>
        <v>Brasília - DF</v>
      </c>
      <c r="H663" t="str">
        <f>_xlfn.XLOOKUP(A663, PORTE!A:A, PORTE!B:B)</f>
        <v>1-10</v>
      </c>
      <c r="I663" t="str">
        <f>_xlfn.XLOOKUP(A663, OBJETIVO!A:A, OBJETIVO!B:B)</f>
        <v>Abertura/Expansão</v>
      </c>
      <c r="J663">
        <f t="shared" si="10"/>
        <v>0</v>
      </c>
    </row>
    <row r="664" spans="1:10" x14ac:dyDescent="0.25">
      <c r="A664">
        <v>11395337</v>
      </c>
      <c r="B664" s="1">
        <v>45706.961319444446</v>
      </c>
      <c r="C664" t="s">
        <v>0</v>
      </c>
      <c r="D664" t="str">
        <f>VLOOKUP(A664,MERCADO!A:B,2,0)</f>
        <v>Tecnologia</v>
      </c>
      <c r="E664" t="str">
        <f>_xlfn.XLOOKUP(A664, ORIGEM!A:A, ORIGEM!B:B)</f>
        <v>Facebook</v>
      </c>
      <c r="F664" t="str">
        <f>_xlfn.XLOOKUP(A664, ORIGEM!A:A, ORIGEM!C:C)</f>
        <v>facebook - cpc</v>
      </c>
      <c r="G664" t="str">
        <f>_xlfn.XLOOKUP(A664, LOCAL!A:A, LOCAL!B:B)</f>
        <v>Rio Verde - GO</v>
      </c>
      <c r="H664" t="str">
        <f>_xlfn.XLOOKUP(A664, PORTE!A:A, PORTE!B:B)</f>
        <v>1-10</v>
      </c>
      <c r="I664" t="str">
        <f>_xlfn.XLOOKUP(A664, OBJETIVO!A:A, OBJETIVO!B:B)</f>
        <v>Geração de leads b2b</v>
      </c>
      <c r="J664">
        <f t="shared" si="10"/>
        <v>0</v>
      </c>
    </row>
    <row r="665" spans="1:10" x14ac:dyDescent="0.25">
      <c r="A665">
        <v>10578004</v>
      </c>
      <c r="B665" s="1">
        <v>45627.649293981478</v>
      </c>
      <c r="C665" t="s">
        <v>0</v>
      </c>
      <c r="D665">
        <f>VLOOKUP(A665,MERCADO!A:B,2,0)</f>
        <v>0</v>
      </c>
      <c r="E665" t="str">
        <f>_xlfn.XLOOKUP(A665, ORIGEM!A:A, ORIGEM!B:B)</f>
        <v>Google</v>
      </c>
      <c r="F665" t="str">
        <f>_xlfn.XLOOKUP(A665, ORIGEM!A:A, ORIGEM!C:C)</f>
        <v>google - cpc</v>
      </c>
      <c r="G665" t="str">
        <f>_xlfn.XLOOKUP(A665, LOCAL!A:A, LOCAL!B:B)</f>
        <v>Terezopolis de Goias - GO</v>
      </c>
      <c r="H665" t="str">
        <f>_xlfn.XLOOKUP(A665, PORTE!A:A, PORTE!B:B)</f>
        <v>1-10</v>
      </c>
      <c r="I665" t="str">
        <f>_xlfn.XLOOKUP(A665, OBJETIVO!A:A, OBJETIVO!B:B)</f>
        <v>Abertura/Expansão</v>
      </c>
      <c r="J665">
        <f t="shared" si="10"/>
        <v>0</v>
      </c>
    </row>
    <row r="666" spans="1:10" x14ac:dyDescent="0.25">
      <c r="A666">
        <v>11630545</v>
      </c>
      <c r="B666" s="1">
        <v>45729.016655092593</v>
      </c>
      <c r="C666" t="s">
        <v>0</v>
      </c>
      <c r="D666" t="str">
        <f>VLOOKUP(A666,MERCADO!A:B,2,0)</f>
        <v>Franqueadora</v>
      </c>
      <c r="E666" t="str">
        <f>_xlfn.XLOOKUP(A666, ORIGEM!A:A, ORIGEM!B:B)</f>
        <v>Google</v>
      </c>
      <c r="F666" t="str">
        <f>_xlfn.XLOOKUP(A666, ORIGEM!A:A, ORIGEM!C:C)</f>
        <v>google - cpc</v>
      </c>
      <c r="G666" t="str">
        <f>_xlfn.XLOOKUP(A666, LOCAL!A:A, LOCAL!B:B)</f>
        <v>Imperatriz - MA</v>
      </c>
      <c r="H666" t="str">
        <f>_xlfn.XLOOKUP(A666, PORTE!A:A, PORTE!B:B)</f>
        <v>11-50</v>
      </c>
      <c r="I666" t="str">
        <f>_xlfn.XLOOKUP(A666, OBJETIVO!A:A, OBJETIVO!B:B)</f>
        <v>Ações de marketing/vendas</v>
      </c>
      <c r="J666">
        <f t="shared" si="10"/>
        <v>0</v>
      </c>
    </row>
    <row r="667" spans="1:10" x14ac:dyDescent="0.25">
      <c r="A667">
        <v>11348409</v>
      </c>
      <c r="B667" s="1">
        <v>45703.042939814812</v>
      </c>
      <c r="C667" t="s">
        <v>0</v>
      </c>
      <c r="D667" t="str">
        <f>VLOOKUP(A667,MERCADO!A:B,2,0)</f>
        <v>Empreendedor</v>
      </c>
      <c r="E667" t="str">
        <f>_xlfn.XLOOKUP(A667, ORIGEM!A:A, ORIGEM!B:B)</f>
        <v>Instagram</v>
      </c>
      <c r="F667" t="str">
        <f>_xlfn.XLOOKUP(A667, ORIGEM!A:A, ORIGEM!C:C)</f>
        <v>instagram - social</v>
      </c>
      <c r="G667" t="str">
        <f>_xlfn.XLOOKUP(A667, LOCAL!A:A, LOCAL!B:B)</f>
        <v>São Luís - MA</v>
      </c>
      <c r="H667" t="str">
        <f>_xlfn.XLOOKUP(A667, PORTE!A:A, PORTE!B:B)</f>
        <v>0</v>
      </c>
      <c r="I667" t="str">
        <f>_xlfn.XLOOKUP(A667, OBJETIVO!A:A, OBJETIVO!B:B)</f>
        <v>Planejamento estratégico</v>
      </c>
      <c r="J667">
        <f t="shared" si="10"/>
        <v>0</v>
      </c>
    </row>
    <row r="668" spans="1:10" x14ac:dyDescent="0.25">
      <c r="A668">
        <v>10708462</v>
      </c>
      <c r="B668" s="1">
        <v>45640.403692129628</v>
      </c>
      <c r="C668" t="s">
        <v>0</v>
      </c>
      <c r="D668" t="str">
        <f>VLOOKUP(A668,MERCADO!A:B,2,0)</f>
        <v>Servicos</v>
      </c>
      <c r="E668" t="str">
        <f>_xlfn.XLOOKUP(A668, ORIGEM!A:A, ORIGEM!B:B)</f>
        <v>Orgânico</v>
      </c>
      <c r="F668">
        <f>_xlfn.XLOOKUP(A668, ORIGEM!A:A, ORIGEM!C:C)</f>
        <v>0</v>
      </c>
      <c r="G668" t="str">
        <f>_xlfn.XLOOKUP(A668, LOCAL!A:A, LOCAL!B:B)</f>
        <v>-</v>
      </c>
      <c r="H668" t="str">
        <f>_xlfn.XLOOKUP(A668, PORTE!A:A, PORTE!B:B)</f>
        <v>11-50</v>
      </c>
      <c r="I668">
        <f>_xlfn.XLOOKUP(A668, OBJETIVO!A:A, OBJETIVO!B:B)</f>
        <v>0</v>
      </c>
      <c r="J668">
        <f t="shared" si="10"/>
        <v>0</v>
      </c>
    </row>
    <row r="669" spans="1:10" x14ac:dyDescent="0.25">
      <c r="A669">
        <v>11606454</v>
      </c>
      <c r="B669" s="1">
        <v>45726.77721064815</v>
      </c>
      <c r="C669" t="s">
        <v>0</v>
      </c>
      <c r="D669" t="str">
        <f>VLOOKUP(A669,MERCADO!A:B,2,0)</f>
        <v>Marketing/Publicidade/Consultoria</v>
      </c>
      <c r="E669" t="str">
        <f>_xlfn.XLOOKUP(A669, ORIGEM!A:A, ORIGEM!B:B)</f>
        <v>Facebook</v>
      </c>
      <c r="F669" t="str">
        <f>_xlfn.XLOOKUP(A669, ORIGEM!A:A, ORIGEM!C:C)</f>
        <v>facebook - cpc</v>
      </c>
      <c r="G669" t="str">
        <f>_xlfn.XLOOKUP(A669, LOCAL!A:A, LOCAL!B:B)</f>
        <v>Goiânia - GO</v>
      </c>
      <c r="H669" t="str">
        <f>_xlfn.XLOOKUP(A669, PORTE!A:A, PORTE!B:B)</f>
        <v>11-50</v>
      </c>
      <c r="I669" t="str">
        <f>_xlfn.XLOOKUP(A669, OBJETIVO!A:A, OBJETIVO!B:B)</f>
        <v>Geração de leads b2b</v>
      </c>
      <c r="J669">
        <f t="shared" si="10"/>
        <v>0</v>
      </c>
    </row>
    <row r="670" spans="1:10" x14ac:dyDescent="0.25">
      <c r="A670">
        <v>11543100</v>
      </c>
      <c r="B670" s="1">
        <v>45720.83452546296</v>
      </c>
      <c r="C670" t="s">
        <v>0</v>
      </c>
      <c r="D670" t="str">
        <f>VLOOKUP(A670,MERCADO!A:B,2,0)</f>
        <v>Industria</v>
      </c>
      <c r="E670" t="str">
        <f>_xlfn.XLOOKUP(A670, ORIGEM!A:A, ORIGEM!B:B)</f>
        <v>Facebook</v>
      </c>
      <c r="F670" t="str">
        <f>_xlfn.XLOOKUP(A670, ORIGEM!A:A, ORIGEM!C:C)</f>
        <v>facebook - cpc</v>
      </c>
      <c r="G670" t="str">
        <f>_xlfn.XLOOKUP(A670, LOCAL!A:A, LOCAL!B:B)</f>
        <v>Inhumas - GO</v>
      </c>
      <c r="H670" t="str">
        <f>_xlfn.XLOOKUP(A670, PORTE!A:A, PORTE!B:B)</f>
        <v>1-10</v>
      </c>
      <c r="I670" t="str">
        <f>_xlfn.XLOOKUP(A670, OBJETIVO!A:A, OBJETIVO!B:B)</f>
        <v>Planejamento estratégico</v>
      </c>
      <c r="J670">
        <f t="shared" si="10"/>
        <v>0</v>
      </c>
    </row>
    <row r="671" spans="1:10" x14ac:dyDescent="0.25">
      <c r="A671">
        <v>10876945</v>
      </c>
      <c r="B671" s="1">
        <v>45662.620972222219</v>
      </c>
      <c r="C671" t="s">
        <v>0</v>
      </c>
      <c r="D671" t="str">
        <f>VLOOKUP(A671,MERCADO!A:B,2,0)</f>
        <v>Servicos</v>
      </c>
      <c r="E671" t="str">
        <f>_xlfn.XLOOKUP(A671, ORIGEM!A:A, ORIGEM!B:B)</f>
        <v>Google</v>
      </c>
      <c r="F671" t="str">
        <f>_xlfn.XLOOKUP(A671, ORIGEM!A:A, ORIGEM!C:C)</f>
        <v>google - cpc</v>
      </c>
      <c r="G671" t="str">
        <f>_xlfn.XLOOKUP(A671, LOCAL!A:A, LOCAL!B:B)</f>
        <v>Vitória - ES</v>
      </c>
      <c r="H671" t="str">
        <f>_xlfn.XLOOKUP(A671, PORTE!A:A, PORTE!B:B)</f>
        <v>51-300</v>
      </c>
      <c r="I671" t="str">
        <f>_xlfn.XLOOKUP(A671, OBJETIVO!A:A, OBJETIVO!B:B)</f>
        <v>Geração de leads b2b</v>
      </c>
      <c r="J671">
        <f t="shared" si="10"/>
        <v>0</v>
      </c>
    </row>
    <row r="672" spans="1:10" x14ac:dyDescent="0.25">
      <c r="A672">
        <v>11562526</v>
      </c>
      <c r="B672" s="1">
        <v>45724.028611111113</v>
      </c>
      <c r="C672" t="s">
        <v>0</v>
      </c>
      <c r="D672" t="str">
        <f>VLOOKUP(A672,MERCADO!A:B,2,0)</f>
        <v>Servicos</v>
      </c>
      <c r="E672" t="str">
        <f>_xlfn.XLOOKUP(A672, ORIGEM!A:A, ORIGEM!B:B)</f>
        <v>Facebook</v>
      </c>
      <c r="F672" t="str">
        <f>_xlfn.XLOOKUP(A672, ORIGEM!A:A, ORIGEM!C:C)</f>
        <v>facebook - cpc</v>
      </c>
      <c r="G672" t="str">
        <f>_xlfn.XLOOKUP(A672, LOCAL!A:A, LOCAL!B:B)</f>
        <v>Vitória - ES</v>
      </c>
      <c r="H672" t="str">
        <f>_xlfn.XLOOKUP(A672, PORTE!A:A, PORTE!B:B)</f>
        <v>0</v>
      </c>
      <c r="I672" t="str">
        <f>_xlfn.XLOOKUP(A672, OBJETIVO!A:A, OBJETIVO!B:B)</f>
        <v>Consultoria</v>
      </c>
      <c r="J672">
        <f t="shared" si="10"/>
        <v>0</v>
      </c>
    </row>
    <row r="673" spans="1:10" x14ac:dyDescent="0.25">
      <c r="A673">
        <v>11552141</v>
      </c>
      <c r="B673" s="1">
        <v>45721.540798611109</v>
      </c>
      <c r="C673" t="s">
        <v>0</v>
      </c>
      <c r="D673" t="str">
        <f>VLOOKUP(A673,MERCADO!A:B,2,0)</f>
        <v>Servicos</v>
      </c>
      <c r="E673" t="str">
        <f>_xlfn.XLOOKUP(A673, ORIGEM!A:A, ORIGEM!B:B)</f>
        <v>Facebook</v>
      </c>
      <c r="F673" t="str">
        <f>_xlfn.XLOOKUP(A673, ORIGEM!A:A, ORIGEM!C:C)</f>
        <v>facebook - cpc</v>
      </c>
      <c r="G673" t="str">
        <f>_xlfn.XLOOKUP(A673, LOCAL!A:A, LOCAL!B:B)</f>
        <v>Vila Velha - ES</v>
      </c>
      <c r="H673" t="str">
        <f>_xlfn.XLOOKUP(A673, PORTE!A:A, PORTE!B:B)</f>
        <v>1-10</v>
      </c>
      <c r="I673" t="str">
        <f>_xlfn.XLOOKUP(A673, OBJETIVO!A:A, OBJETIVO!B:B)</f>
        <v>Ações de marketing/vendas</v>
      </c>
      <c r="J673">
        <f t="shared" si="10"/>
        <v>0</v>
      </c>
    </row>
    <row r="674" spans="1:10" x14ac:dyDescent="0.25">
      <c r="A674">
        <v>11645999</v>
      </c>
      <c r="B674" s="1">
        <v>45731.683819444443</v>
      </c>
      <c r="C674" t="s">
        <v>0</v>
      </c>
      <c r="D674" t="str">
        <f>VLOOKUP(A674,MERCADO!A:B,2,0)</f>
        <v>Franqueadora</v>
      </c>
      <c r="E674" t="str">
        <f>_xlfn.XLOOKUP(A674, ORIGEM!A:A, ORIGEM!B:B)</f>
        <v>Orgânico</v>
      </c>
      <c r="F674">
        <f>_xlfn.XLOOKUP(A674, ORIGEM!A:A, ORIGEM!C:C)</f>
        <v>0</v>
      </c>
      <c r="G674" t="str">
        <f>_xlfn.XLOOKUP(A674, LOCAL!A:A, LOCAL!B:B)</f>
        <v>São Paulo - SP</v>
      </c>
      <c r="H674" t="str">
        <f>_xlfn.XLOOKUP(A674, PORTE!A:A, PORTE!B:B)</f>
        <v>11-50</v>
      </c>
      <c r="I674" t="str">
        <f>_xlfn.XLOOKUP(A674, OBJETIVO!A:A, OBJETIVO!B:B)</f>
        <v>Abertura/Expansão</v>
      </c>
      <c r="J674">
        <f t="shared" si="10"/>
        <v>0</v>
      </c>
    </row>
    <row r="675" spans="1:10" x14ac:dyDescent="0.25">
      <c r="A675">
        <v>10809501</v>
      </c>
      <c r="B675" s="1">
        <v>45649.620520833334</v>
      </c>
      <c r="C675" t="s">
        <v>0</v>
      </c>
      <c r="D675" t="str">
        <f>VLOOKUP(A675,MERCADO!A:B,2,0)</f>
        <v>Industria</v>
      </c>
      <c r="E675" t="str">
        <f>_xlfn.XLOOKUP(A675, ORIGEM!A:A, ORIGEM!B:B)</f>
        <v>Google</v>
      </c>
      <c r="F675" t="str">
        <f>_xlfn.XLOOKUP(A675, ORIGEM!A:A, ORIGEM!C:C)</f>
        <v>google - cpc</v>
      </c>
      <c r="G675" t="str">
        <f>_xlfn.XLOOKUP(A675, LOCAL!A:A, LOCAL!B:B)</f>
        <v>São Bernardo do Campo - SP</v>
      </c>
      <c r="H675" t="str">
        <f>_xlfn.XLOOKUP(A675, PORTE!A:A, PORTE!B:B)</f>
        <v>1-10</v>
      </c>
      <c r="I675" t="str">
        <f>_xlfn.XLOOKUP(A675, OBJETIVO!A:A, OBJETIVO!B:B)</f>
        <v>Abertura/Expansão</v>
      </c>
      <c r="J675">
        <f t="shared" si="10"/>
        <v>0</v>
      </c>
    </row>
    <row r="676" spans="1:10" x14ac:dyDescent="0.25">
      <c r="A676">
        <v>11734676</v>
      </c>
      <c r="B676" s="1">
        <v>45739.639722222222</v>
      </c>
      <c r="C676" t="s">
        <v>0</v>
      </c>
      <c r="D676" t="str">
        <f>VLOOKUP(A676,MERCADO!A:B,2,0)</f>
        <v>Servicos</v>
      </c>
      <c r="E676" t="str">
        <f>_xlfn.XLOOKUP(A676, ORIGEM!A:A, ORIGEM!B:B)</f>
        <v>Google</v>
      </c>
      <c r="F676" t="str">
        <f>_xlfn.XLOOKUP(A676, ORIGEM!A:A, ORIGEM!C:C)</f>
        <v>google - cpc</v>
      </c>
      <c r="G676" t="str">
        <f>_xlfn.XLOOKUP(A676, LOCAL!A:A, LOCAL!B:B)</f>
        <v>Fernandopolis - SP</v>
      </c>
      <c r="H676" t="str">
        <f>_xlfn.XLOOKUP(A676, PORTE!A:A, PORTE!B:B)</f>
        <v>11-50</v>
      </c>
      <c r="I676" t="str">
        <f>_xlfn.XLOOKUP(A676, OBJETIVO!A:A, OBJETIVO!B:B)</f>
        <v>Geração de leads b2b</v>
      </c>
      <c r="J676">
        <f t="shared" si="10"/>
        <v>0</v>
      </c>
    </row>
    <row r="677" spans="1:10" x14ac:dyDescent="0.25">
      <c r="A677">
        <v>11667217</v>
      </c>
      <c r="B677" s="1">
        <v>45733.404178240744</v>
      </c>
      <c r="C677" t="s">
        <v>0</v>
      </c>
      <c r="D677" t="str">
        <f>VLOOKUP(A677,MERCADO!A:B,2,0)</f>
        <v>Tecnologia</v>
      </c>
      <c r="E677" t="str">
        <f>_xlfn.XLOOKUP(A677, ORIGEM!A:A, ORIGEM!B:B)</f>
        <v>Bing</v>
      </c>
      <c r="F677" t="str">
        <f>_xlfn.XLOOKUP(A677, ORIGEM!A:A, ORIGEM!C:C)</f>
        <v>bing - cpc</v>
      </c>
      <c r="G677" t="str">
        <f>_xlfn.XLOOKUP(A677, LOCAL!A:A, LOCAL!B:B)</f>
        <v>São Paulo - SP</v>
      </c>
      <c r="H677" t="str">
        <f>_xlfn.XLOOKUP(A677, PORTE!A:A, PORTE!B:B)</f>
        <v>51-300</v>
      </c>
      <c r="I677" t="str">
        <f>_xlfn.XLOOKUP(A677, OBJETIVO!A:A, OBJETIVO!B:B)</f>
        <v>Geração de leads b2b</v>
      </c>
      <c r="J677">
        <f t="shared" si="10"/>
        <v>0</v>
      </c>
    </row>
    <row r="678" spans="1:10" x14ac:dyDescent="0.25">
      <c r="A678">
        <v>11698452</v>
      </c>
      <c r="B678" s="1">
        <v>45735.51226851852</v>
      </c>
      <c r="C678" t="s">
        <v>0</v>
      </c>
      <c r="D678" t="str">
        <f>VLOOKUP(A678,MERCADO!A:B,2,0)</f>
        <v>Tecnologia</v>
      </c>
      <c r="E678" t="str">
        <f>_xlfn.XLOOKUP(A678, ORIGEM!A:A, ORIGEM!B:B)</f>
        <v>Google</v>
      </c>
      <c r="F678">
        <f>_xlfn.XLOOKUP(A678, ORIGEM!A:A, ORIGEM!C:C)</f>
        <v>0</v>
      </c>
      <c r="G678" t="str">
        <f>_xlfn.XLOOKUP(A678, LOCAL!A:A, LOCAL!B:B)</f>
        <v>Belo Horizonte, MG</v>
      </c>
      <c r="H678" t="str">
        <f>_xlfn.XLOOKUP(A678, PORTE!A:A, PORTE!B:B)</f>
        <v>51-300</v>
      </c>
      <c r="I678" t="str">
        <f>_xlfn.XLOOKUP(A678, OBJETIVO!A:A, OBJETIVO!B:B)</f>
        <v>Planejamento estratégico</v>
      </c>
      <c r="J678">
        <f t="shared" si="10"/>
        <v>0</v>
      </c>
    </row>
    <row r="679" spans="1:10" x14ac:dyDescent="0.25">
      <c r="A679">
        <v>11104423</v>
      </c>
      <c r="B679" s="1">
        <v>45682.492430555554</v>
      </c>
      <c r="C679" t="s">
        <v>0</v>
      </c>
      <c r="D679" t="str">
        <f>VLOOKUP(A679,MERCADO!A:B,2,0)</f>
        <v>Servicos</v>
      </c>
      <c r="E679" t="str">
        <f>_xlfn.XLOOKUP(A679, ORIGEM!A:A, ORIGEM!B:B)</f>
        <v>Orgânico</v>
      </c>
      <c r="F679">
        <f>_xlfn.XLOOKUP(A679, ORIGEM!A:A, ORIGEM!C:C)</f>
        <v>0</v>
      </c>
      <c r="G679" t="str">
        <f>_xlfn.XLOOKUP(A679, LOCAL!A:A, LOCAL!B:B)</f>
        <v>Belo Horizonte - MG</v>
      </c>
      <c r="H679" t="str">
        <f>_xlfn.XLOOKUP(A679, PORTE!A:A, PORTE!B:B)</f>
        <v>51-300</v>
      </c>
      <c r="I679" t="str">
        <f>_xlfn.XLOOKUP(A679, OBJETIVO!A:A, OBJETIVO!B:B)</f>
        <v>Ações de marketing/vendas</v>
      </c>
      <c r="J679">
        <f t="shared" si="10"/>
        <v>0</v>
      </c>
    </row>
    <row r="680" spans="1:10" x14ac:dyDescent="0.25">
      <c r="A680">
        <v>11089774</v>
      </c>
      <c r="B680" s="1">
        <v>45679.733703703707</v>
      </c>
      <c r="C680" t="s">
        <v>0</v>
      </c>
      <c r="D680" t="str">
        <f>VLOOKUP(A680,MERCADO!A:B,2,0)</f>
        <v>Servicos</v>
      </c>
      <c r="E680" t="str">
        <f>_xlfn.XLOOKUP(A680, ORIGEM!A:A, ORIGEM!B:B)</f>
        <v>Orgânico</v>
      </c>
      <c r="F680">
        <f>_xlfn.XLOOKUP(A680, ORIGEM!A:A, ORIGEM!C:C)</f>
        <v>0</v>
      </c>
      <c r="G680" t="str">
        <f>_xlfn.XLOOKUP(A680, LOCAL!A:A, LOCAL!B:B)</f>
        <v>São Paulo - SP</v>
      </c>
      <c r="H680" t="str">
        <f>_xlfn.XLOOKUP(A680, PORTE!A:A, PORTE!B:B)</f>
        <v>11-50</v>
      </c>
      <c r="I680" t="str">
        <f>_xlfn.XLOOKUP(A680, OBJETIVO!A:A, OBJETIVO!B:B)</f>
        <v>Geração de leads b2b</v>
      </c>
      <c r="J680">
        <f t="shared" si="10"/>
        <v>0</v>
      </c>
    </row>
    <row r="681" spans="1:10" x14ac:dyDescent="0.25">
      <c r="A681">
        <v>11772727</v>
      </c>
      <c r="B681" s="1">
        <v>45742.418252314812</v>
      </c>
      <c r="C681" t="s">
        <v>0</v>
      </c>
      <c r="D681" t="str">
        <f>VLOOKUP(A681,MERCADO!A:B,2,0)</f>
        <v>Empreendedor</v>
      </c>
      <c r="E681" t="str">
        <f>_xlfn.XLOOKUP(A681, ORIGEM!A:A, ORIGEM!B:B)</f>
        <v>Orgânico</v>
      </c>
      <c r="F681">
        <f>_xlfn.XLOOKUP(A681, ORIGEM!A:A, ORIGEM!C:C)</f>
        <v>0</v>
      </c>
      <c r="G681" t="str">
        <f>_xlfn.XLOOKUP(A681, LOCAL!A:A, LOCAL!B:B)</f>
        <v>Baependi - MG</v>
      </c>
      <c r="H681" t="str">
        <f>_xlfn.XLOOKUP(A681, PORTE!A:A, PORTE!B:B)</f>
        <v>11-50</v>
      </c>
      <c r="I681" t="str">
        <f>_xlfn.XLOOKUP(A681, OBJETIVO!A:A, OBJETIVO!B:B)</f>
        <v>Ações de marketing/vendas</v>
      </c>
      <c r="J681">
        <f t="shared" si="10"/>
        <v>0</v>
      </c>
    </row>
    <row r="682" spans="1:10" x14ac:dyDescent="0.25">
      <c r="A682">
        <v>11556630</v>
      </c>
      <c r="B682" s="1">
        <v>45721.738668981481</v>
      </c>
      <c r="C682" t="s">
        <v>0</v>
      </c>
      <c r="D682" t="str">
        <f>VLOOKUP(A682,MERCADO!A:B,2,0)</f>
        <v>Tecnologia</v>
      </c>
      <c r="E682" t="str">
        <f>_xlfn.XLOOKUP(A682, ORIGEM!A:A, ORIGEM!B:B)</f>
        <v>Orgânico</v>
      </c>
      <c r="F682">
        <f>_xlfn.XLOOKUP(A682, ORIGEM!A:A, ORIGEM!C:C)</f>
        <v>0</v>
      </c>
      <c r="G682" t="str">
        <f>_xlfn.XLOOKUP(A682, LOCAL!A:A, LOCAL!B:B)</f>
        <v>Baependi - MG</v>
      </c>
      <c r="H682" t="str">
        <f>_xlfn.XLOOKUP(A682, PORTE!A:A, PORTE!B:B)</f>
        <v>1-10</v>
      </c>
      <c r="I682" t="str">
        <f>_xlfn.XLOOKUP(A682, OBJETIVO!A:A, OBJETIVO!B:B)</f>
        <v>Ações de marketing/vendas</v>
      </c>
      <c r="J682">
        <f t="shared" si="10"/>
        <v>0</v>
      </c>
    </row>
    <row r="683" spans="1:10" x14ac:dyDescent="0.25">
      <c r="A683">
        <v>11630006</v>
      </c>
      <c r="B683" s="1">
        <v>45728.832627314812</v>
      </c>
      <c r="C683" t="s">
        <v>0</v>
      </c>
      <c r="D683" t="str">
        <f>VLOOKUP(A683,MERCADO!A:B,2,0)</f>
        <v>Tecnologia</v>
      </c>
      <c r="E683" t="str">
        <f>_xlfn.XLOOKUP(A683, ORIGEM!A:A, ORIGEM!B:B)</f>
        <v>Orgânico</v>
      </c>
      <c r="F683">
        <f>_xlfn.XLOOKUP(A683, ORIGEM!A:A, ORIGEM!C:C)</f>
        <v>0</v>
      </c>
      <c r="G683" t="str">
        <f>_xlfn.XLOOKUP(A683, LOCAL!A:A, LOCAL!B:B)</f>
        <v>Belo Horizonte - MG</v>
      </c>
      <c r="H683" t="str">
        <f>_xlfn.XLOOKUP(A683, PORTE!A:A, PORTE!B:B)</f>
        <v>1-10</v>
      </c>
      <c r="I683" t="str">
        <f>_xlfn.XLOOKUP(A683, OBJETIVO!A:A, OBJETIVO!B:B)</f>
        <v>Planejamento estratégico</v>
      </c>
      <c r="J683">
        <f t="shared" si="10"/>
        <v>0</v>
      </c>
    </row>
    <row r="684" spans="1:10" x14ac:dyDescent="0.25">
      <c r="A684">
        <v>11562403</v>
      </c>
      <c r="B684" s="1">
        <v>45723.973912037036</v>
      </c>
      <c r="C684" t="s">
        <v>0</v>
      </c>
      <c r="D684" t="str">
        <f>VLOOKUP(A684,MERCADO!A:B,2,0)</f>
        <v>Servicos</v>
      </c>
      <c r="E684" t="str">
        <f>_xlfn.XLOOKUP(A684, ORIGEM!A:A, ORIGEM!B:B)</f>
        <v>Facebook</v>
      </c>
      <c r="F684" t="str">
        <f>_xlfn.XLOOKUP(A684, ORIGEM!A:A, ORIGEM!C:C)</f>
        <v>facebook - cpc</v>
      </c>
      <c r="G684" t="str">
        <f>_xlfn.XLOOKUP(A684, LOCAL!A:A, LOCAL!B:B)</f>
        <v>Belo Horizonte - MG</v>
      </c>
      <c r="H684" t="str">
        <f>_xlfn.XLOOKUP(A684, PORTE!A:A, PORTE!B:B)</f>
        <v>51-300</v>
      </c>
      <c r="I684" t="str">
        <f>_xlfn.XLOOKUP(A684, OBJETIVO!A:A, OBJETIVO!B:B)</f>
        <v>Ações de marketing/vendas</v>
      </c>
      <c r="J684">
        <f t="shared" si="10"/>
        <v>0</v>
      </c>
    </row>
    <row r="685" spans="1:10" x14ac:dyDescent="0.25">
      <c r="A685">
        <v>11621115</v>
      </c>
      <c r="B685" s="1">
        <v>45728.422476851854</v>
      </c>
      <c r="C685" t="s">
        <v>0</v>
      </c>
      <c r="D685" t="str">
        <f>VLOOKUP(A685,MERCADO!A:B,2,0)</f>
        <v>Servicos</v>
      </c>
      <c r="E685" t="str">
        <f>_xlfn.XLOOKUP(A685, ORIGEM!A:A, ORIGEM!B:B)</f>
        <v>Leads</v>
      </c>
      <c r="F685" t="str">
        <f>_xlfn.XLOOKUP(A685, ORIGEM!A:A, ORIGEM!C:C)</f>
        <v>leads - email</v>
      </c>
      <c r="G685" t="str">
        <f>_xlfn.XLOOKUP(A685, LOCAL!A:A, LOCAL!B:B)</f>
        <v>Belo Horizonte - MG</v>
      </c>
      <c r="H685" t="str">
        <f>_xlfn.XLOOKUP(A685, PORTE!A:A, PORTE!B:B)</f>
        <v>1-10</v>
      </c>
      <c r="I685" t="str">
        <f>_xlfn.XLOOKUP(A685, OBJETIVO!A:A, OBJETIVO!B:B)</f>
        <v>Abertura/Expansão</v>
      </c>
      <c r="J685">
        <f t="shared" si="10"/>
        <v>0</v>
      </c>
    </row>
    <row r="686" spans="1:10" x14ac:dyDescent="0.25">
      <c r="A686">
        <v>11382055</v>
      </c>
      <c r="B686" s="1">
        <v>45705.868472222224</v>
      </c>
      <c r="C686" t="s">
        <v>0</v>
      </c>
      <c r="D686" t="str">
        <f>VLOOKUP(A686,MERCADO!A:B,2,0)</f>
        <v>Empreendedor</v>
      </c>
      <c r="E686" t="str">
        <f>_xlfn.XLOOKUP(A686, ORIGEM!A:A, ORIGEM!B:B)</f>
        <v>Facebook</v>
      </c>
      <c r="F686" t="str">
        <f>_xlfn.XLOOKUP(A686, ORIGEM!A:A, ORIGEM!C:C)</f>
        <v>facebook - cpc</v>
      </c>
      <c r="G686" t="str">
        <f>_xlfn.XLOOKUP(A686, LOCAL!A:A, LOCAL!B:B)</f>
        <v>Parauapebas - PA</v>
      </c>
      <c r="H686" t="str">
        <f>_xlfn.XLOOKUP(A686, PORTE!A:A, PORTE!B:B)</f>
        <v>0</v>
      </c>
      <c r="I686" t="str">
        <f>_xlfn.XLOOKUP(A686, OBJETIVO!A:A, OBJETIVO!B:B)</f>
        <v>Abertura/Expansão</v>
      </c>
      <c r="J686">
        <f t="shared" si="10"/>
        <v>0</v>
      </c>
    </row>
    <row r="687" spans="1:10" x14ac:dyDescent="0.25">
      <c r="A687">
        <v>11664768</v>
      </c>
      <c r="B687" s="1">
        <v>45732.930439814816</v>
      </c>
      <c r="C687" t="s">
        <v>0</v>
      </c>
      <c r="D687" t="str">
        <f>VLOOKUP(A687,MERCADO!A:B,2,0)</f>
        <v>Varejo</v>
      </c>
      <c r="E687" t="str">
        <f>_xlfn.XLOOKUP(A687, ORIGEM!A:A, ORIGEM!B:B)</f>
        <v>Google</v>
      </c>
      <c r="F687" t="str">
        <f>_xlfn.XLOOKUP(A687, ORIGEM!A:A, ORIGEM!C:C)</f>
        <v>google - cpc</v>
      </c>
      <c r="G687" t="str">
        <f>_xlfn.XLOOKUP(A687, LOCAL!A:A, LOCAL!B:B)</f>
        <v>Viana - MA</v>
      </c>
      <c r="H687" t="str">
        <f>_xlfn.XLOOKUP(A687, PORTE!A:A, PORTE!B:B)</f>
        <v>1-10</v>
      </c>
      <c r="I687" t="str">
        <f>_xlfn.XLOOKUP(A687, OBJETIVO!A:A, OBJETIVO!B:B)</f>
        <v>Outro</v>
      </c>
      <c r="J687">
        <f t="shared" si="10"/>
        <v>0</v>
      </c>
    </row>
    <row r="688" spans="1:10" x14ac:dyDescent="0.25">
      <c r="A688">
        <v>11948685</v>
      </c>
      <c r="B688" s="1">
        <v>45759.482499999998</v>
      </c>
      <c r="C688" t="s">
        <v>0</v>
      </c>
      <c r="D688" t="str">
        <f>VLOOKUP(A688,MERCADO!A:B,2,0)</f>
        <v>Empreendedor</v>
      </c>
      <c r="E688" t="str">
        <f>_xlfn.XLOOKUP(A688, ORIGEM!A:A, ORIGEM!B:B)</f>
        <v>Google</v>
      </c>
      <c r="F688" t="str">
        <f>_xlfn.XLOOKUP(A688, ORIGEM!A:A, ORIGEM!C:C)</f>
        <v>google - cpc</v>
      </c>
      <c r="G688" t="str">
        <f>_xlfn.XLOOKUP(A688, LOCAL!A:A, LOCAL!B:B)</f>
        <v>Conselheiro Lafaiete - MG</v>
      </c>
      <c r="H688" t="str">
        <f>_xlfn.XLOOKUP(A688, PORTE!A:A, PORTE!B:B)</f>
        <v>1-10</v>
      </c>
      <c r="I688" t="str">
        <f>_xlfn.XLOOKUP(A688, OBJETIVO!A:A, OBJETIVO!B:B)</f>
        <v>Abertura/Expansão</v>
      </c>
      <c r="J688">
        <f t="shared" si="10"/>
        <v>0</v>
      </c>
    </row>
    <row r="689" spans="1:10" x14ac:dyDescent="0.25">
      <c r="A689">
        <v>10937639</v>
      </c>
      <c r="B689" s="1">
        <v>45668.733877314815</v>
      </c>
      <c r="C689" t="s">
        <v>0</v>
      </c>
      <c r="D689" t="str">
        <f>VLOOKUP(A689,MERCADO!A:B,2,0)</f>
        <v>Imobiliaria/Incorporadora/Construtora</v>
      </c>
      <c r="E689" t="str">
        <f>_xlfn.XLOOKUP(A689, ORIGEM!A:A, ORIGEM!B:B)</f>
        <v>Orgânico</v>
      </c>
      <c r="F689">
        <f>_xlfn.XLOOKUP(A689, ORIGEM!A:A, ORIGEM!C:C)</f>
        <v>0</v>
      </c>
      <c r="G689" t="str">
        <f>_xlfn.XLOOKUP(A689, LOCAL!A:A, LOCAL!B:B)</f>
        <v>Para de Minas, MG</v>
      </c>
      <c r="H689" t="str">
        <f>_xlfn.XLOOKUP(A689, PORTE!A:A, PORTE!B:B)</f>
        <v>1-10</v>
      </c>
      <c r="I689" t="str">
        <f>_xlfn.XLOOKUP(A689, OBJETIVO!A:A, OBJETIVO!B:B)</f>
        <v>Planejamento estratégico</v>
      </c>
      <c r="J689">
        <f t="shared" si="10"/>
        <v>0</v>
      </c>
    </row>
    <row r="690" spans="1:10" x14ac:dyDescent="0.25">
      <c r="A690">
        <v>10931004</v>
      </c>
      <c r="B690" s="1">
        <v>45668.491678240738</v>
      </c>
      <c r="C690" t="s">
        <v>0</v>
      </c>
      <c r="D690" t="str">
        <f>VLOOKUP(A690,MERCADO!A:B,2,0)</f>
        <v>Marketing/Publicidade/Consultoria</v>
      </c>
      <c r="E690" t="str">
        <f>_xlfn.XLOOKUP(A690, ORIGEM!A:A, ORIGEM!B:B)</f>
        <v>Google</v>
      </c>
      <c r="F690" t="str">
        <f>_xlfn.XLOOKUP(A690, ORIGEM!A:A, ORIGEM!C:C)</f>
        <v>google - cpc</v>
      </c>
      <c r="G690" t="str">
        <f>_xlfn.XLOOKUP(A690, LOCAL!A:A, LOCAL!B:B)</f>
        <v>Rio Preto - MG</v>
      </c>
      <c r="H690" t="str">
        <f>_xlfn.XLOOKUP(A690, PORTE!A:A, PORTE!B:B)</f>
        <v>0</v>
      </c>
      <c r="I690" t="str">
        <f>_xlfn.XLOOKUP(A690, OBJETIVO!A:A, OBJETIVO!B:B)</f>
        <v>Planejamento estratégico</v>
      </c>
      <c r="J690">
        <f t="shared" si="10"/>
        <v>0</v>
      </c>
    </row>
    <row r="691" spans="1:10" x14ac:dyDescent="0.25">
      <c r="A691">
        <v>10838230</v>
      </c>
      <c r="B691" s="1">
        <v>45656.434791666667</v>
      </c>
      <c r="C691" t="s">
        <v>0</v>
      </c>
      <c r="D691" t="str">
        <f>VLOOKUP(A691,MERCADO!A:B,2,0)</f>
        <v>Empreendedor</v>
      </c>
      <c r="E691" t="str">
        <f>_xlfn.XLOOKUP(A691, ORIGEM!A:A, ORIGEM!B:B)</f>
        <v>Bing</v>
      </c>
      <c r="F691" t="str">
        <f>_xlfn.XLOOKUP(A691, ORIGEM!A:A, ORIGEM!C:C)</f>
        <v>bing - cpc</v>
      </c>
      <c r="G691" t="str">
        <f>_xlfn.XLOOKUP(A691, LOCAL!A:A, LOCAL!B:B)</f>
        <v>Merces de agua Limpa - MG</v>
      </c>
      <c r="H691" t="str">
        <f>_xlfn.XLOOKUP(A691, PORTE!A:A, PORTE!B:B)</f>
        <v>+ 1000</v>
      </c>
      <c r="I691" t="str">
        <f>_xlfn.XLOOKUP(A691, OBJETIVO!A:A, OBJETIVO!B:B)</f>
        <v>Geração de leads b2b</v>
      </c>
      <c r="J691">
        <f t="shared" si="10"/>
        <v>0</v>
      </c>
    </row>
    <row r="692" spans="1:10" x14ac:dyDescent="0.25">
      <c r="A692">
        <v>11710571</v>
      </c>
      <c r="B692" s="1">
        <v>45737.65289351852</v>
      </c>
      <c r="C692" t="s">
        <v>0</v>
      </c>
      <c r="D692" t="str">
        <f>VLOOKUP(A692,MERCADO!A:B,2,0)</f>
        <v>Empreendedor</v>
      </c>
      <c r="E692" t="str">
        <f>_xlfn.XLOOKUP(A692, ORIGEM!A:A, ORIGEM!B:B)</f>
        <v>Google</v>
      </c>
      <c r="F692" t="str">
        <f>_xlfn.XLOOKUP(A692, ORIGEM!A:A, ORIGEM!C:C)</f>
        <v>google - cpc</v>
      </c>
      <c r="G692" t="str">
        <f>_xlfn.XLOOKUP(A692, LOCAL!A:A, LOCAL!B:B)</f>
        <v>Londrina - PR</v>
      </c>
      <c r="H692" t="str">
        <f>_xlfn.XLOOKUP(A692, PORTE!A:A, PORTE!B:B)</f>
        <v>1-10</v>
      </c>
      <c r="I692" t="str">
        <f>_xlfn.XLOOKUP(A692, OBJETIVO!A:A, OBJETIVO!B:B)</f>
        <v>Abertura/Expansão</v>
      </c>
      <c r="J692">
        <f t="shared" si="10"/>
        <v>0</v>
      </c>
    </row>
    <row r="693" spans="1:10" x14ac:dyDescent="0.25">
      <c r="A693">
        <v>11403261</v>
      </c>
      <c r="B693" s="1">
        <v>45707.656469907408</v>
      </c>
      <c r="C693" t="s">
        <v>0</v>
      </c>
      <c r="D693" t="str">
        <f>VLOOKUP(A693,MERCADO!A:B,2,0)</f>
        <v>Servicos</v>
      </c>
      <c r="E693" t="str">
        <f>_xlfn.XLOOKUP(A693, ORIGEM!A:A, ORIGEM!B:B)</f>
        <v>Google</v>
      </c>
      <c r="F693" t="str">
        <f>_xlfn.XLOOKUP(A693, ORIGEM!A:A, ORIGEM!C:C)</f>
        <v>google - cpc</v>
      </c>
      <c r="G693" t="str">
        <f>_xlfn.XLOOKUP(A693, LOCAL!A:A, LOCAL!B:B)</f>
        <v>Londrina - PR</v>
      </c>
      <c r="H693" t="str">
        <f>_xlfn.XLOOKUP(A693, PORTE!A:A, PORTE!B:B)</f>
        <v>0</v>
      </c>
      <c r="I693" t="str">
        <f>_xlfn.XLOOKUP(A693, OBJETIVO!A:A, OBJETIVO!B:B)</f>
        <v>Abertura/Expansão</v>
      </c>
      <c r="J693">
        <f t="shared" si="10"/>
        <v>0</v>
      </c>
    </row>
    <row r="694" spans="1:10" x14ac:dyDescent="0.25">
      <c r="A694">
        <v>11027262</v>
      </c>
      <c r="B694" s="1">
        <v>45675.726168981484</v>
      </c>
      <c r="C694" t="s">
        <v>0</v>
      </c>
      <c r="D694" t="str">
        <f>VLOOKUP(A694,MERCADO!A:B,2,0)</f>
        <v>Servicos</v>
      </c>
      <c r="E694" t="str">
        <f>_xlfn.XLOOKUP(A694, ORIGEM!A:A, ORIGEM!B:B)</f>
        <v>Orgânico</v>
      </c>
      <c r="F694">
        <f>_xlfn.XLOOKUP(A694, ORIGEM!A:A, ORIGEM!C:C)</f>
        <v>0</v>
      </c>
      <c r="G694" t="str">
        <f>_xlfn.XLOOKUP(A694, LOCAL!A:A, LOCAL!B:B)</f>
        <v>Londrina - PR</v>
      </c>
      <c r="H694" t="str">
        <f>_xlfn.XLOOKUP(A694, PORTE!A:A, PORTE!B:B)</f>
        <v>0</v>
      </c>
      <c r="I694" t="str">
        <f>_xlfn.XLOOKUP(A694, OBJETIVO!A:A, OBJETIVO!B:B)</f>
        <v>Outro</v>
      </c>
      <c r="J694">
        <f t="shared" si="10"/>
        <v>0</v>
      </c>
    </row>
    <row r="695" spans="1:10" x14ac:dyDescent="0.25">
      <c r="A695">
        <v>11812580</v>
      </c>
      <c r="B695" s="1">
        <v>45745.78087962963</v>
      </c>
      <c r="C695" t="s">
        <v>0</v>
      </c>
      <c r="D695" t="str">
        <f>VLOOKUP(A695,MERCADO!A:B,2,0)</f>
        <v>Marketing/Publicidade/Consultoria</v>
      </c>
      <c r="E695" t="str">
        <f>_xlfn.XLOOKUP(A695, ORIGEM!A:A, ORIGEM!B:B)</f>
        <v>Orgânico</v>
      </c>
      <c r="F695" t="str">
        <f>_xlfn.XLOOKUP(A695, ORIGEM!A:A, ORIGEM!C:C)</f>
        <v>Orgânico</v>
      </c>
      <c r="G695" t="str">
        <f>_xlfn.XLOOKUP(A695, LOCAL!A:A, LOCAL!B:B)</f>
        <v>-</v>
      </c>
      <c r="H695" t="str">
        <f>_xlfn.XLOOKUP(A695, PORTE!A:A, PORTE!B:B)</f>
        <v>1-10</v>
      </c>
      <c r="I695" t="str">
        <f>_xlfn.XLOOKUP(A695, OBJETIVO!A:A, OBJETIVO!B:B)</f>
        <v>Ações de marketing/vendas</v>
      </c>
      <c r="J695">
        <f t="shared" si="10"/>
        <v>0</v>
      </c>
    </row>
    <row r="696" spans="1:10" x14ac:dyDescent="0.25">
      <c r="A696">
        <v>11670357</v>
      </c>
      <c r="B696" s="1">
        <v>45733.505196759259</v>
      </c>
      <c r="C696" t="s">
        <v>0</v>
      </c>
      <c r="D696" t="str">
        <f>VLOOKUP(A696,MERCADO!A:B,2,0)</f>
        <v>Marketing/Publicidade/Consultoria</v>
      </c>
      <c r="E696" t="str">
        <f>_xlfn.XLOOKUP(A696, ORIGEM!A:A, ORIGEM!B:B)</f>
        <v>Orgânico</v>
      </c>
      <c r="F696">
        <f>_xlfn.XLOOKUP(A696, ORIGEM!A:A, ORIGEM!C:C)</f>
        <v>0</v>
      </c>
      <c r="G696" t="str">
        <f>_xlfn.XLOOKUP(A696, LOCAL!A:A, LOCAL!B:B)</f>
        <v>Londrina - PR</v>
      </c>
      <c r="H696" t="str">
        <f>_xlfn.XLOOKUP(A696, PORTE!A:A, PORTE!B:B)</f>
        <v>11-50</v>
      </c>
      <c r="I696" t="str">
        <f>_xlfn.XLOOKUP(A696, OBJETIVO!A:A, OBJETIVO!B:B)</f>
        <v>Geração de leads b2b</v>
      </c>
      <c r="J696">
        <f t="shared" si="10"/>
        <v>0</v>
      </c>
    </row>
    <row r="697" spans="1:10" x14ac:dyDescent="0.25">
      <c r="A697">
        <v>11456770</v>
      </c>
      <c r="B697" s="1">
        <v>45713.405752314815</v>
      </c>
      <c r="C697" t="s">
        <v>0</v>
      </c>
      <c r="D697" t="str">
        <f>VLOOKUP(A697,MERCADO!A:B,2,0)</f>
        <v>Servicos</v>
      </c>
      <c r="E697" t="str">
        <f>_xlfn.XLOOKUP(A697, ORIGEM!A:A, ORIGEM!B:B)</f>
        <v>Orgânico</v>
      </c>
      <c r="F697">
        <f>_xlfn.XLOOKUP(A697, ORIGEM!A:A, ORIGEM!C:C)</f>
        <v>0</v>
      </c>
      <c r="G697" t="str">
        <f>_xlfn.XLOOKUP(A697, LOCAL!A:A, LOCAL!B:B)</f>
        <v>Curitiba - PR</v>
      </c>
      <c r="H697" t="str">
        <f>_xlfn.XLOOKUP(A697, PORTE!A:A, PORTE!B:B)</f>
        <v>1-10</v>
      </c>
      <c r="I697" t="str">
        <f>_xlfn.XLOOKUP(A697, OBJETIVO!A:A, OBJETIVO!B:B)</f>
        <v>Consultoria</v>
      </c>
      <c r="J697">
        <f t="shared" si="10"/>
        <v>0</v>
      </c>
    </row>
    <row r="698" spans="1:10" x14ac:dyDescent="0.25">
      <c r="A698">
        <v>11383213</v>
      </c>
      <c r="B698" s="1">
        <v>45706.349351851852</v>
      </c>
      <c r="C698" t="s">
        <v>0</v>
      </c>
      <c r="D698" t="str">
        <f>VLOOKUP(A698,MERCADO!A:B,2,0)</f>
        <v>Industria</v>
      </c>
      <c r="E698" t="str">
        <f>_xlfn.XLOOKUP(A698, ORIGEM!A:A, ORIGEM!B:B)</f>
        <v>Orgânico</v>
      </c>
      <c r="F698">
        <f>_xlfn.XLOOKUP(A698, ORIGEM!A:A, ORIGEM!C:C)</f>
        <v>0</v>
      </c>
      <c r="G698" t="str">
        <f>_xlfn.XLOOKUP(A698, LOCAL!A:A, LOCAL!B:B)</f>
        <v>Cascavel - PR</v>
      </c>
      <c r="H698" t="str">
        <f>_xlfn.XLOOKUP(A698, PORTE!A:A, PORTE!B:B)</f>
        <v>11-50</v>
      </c>
      <c r="I698" t="str">
        <f>_xlfn.XLOOKUP(A698, OBJETIVO!A:A, OBJETIVO!B:B)</f>
        <v>Planejamento estratégico</v>
      </c>
      <c r="J698">
        <f t="shared" si="10"/>
        <v>0</v>
      </c>
    </row>
    <row r="699" spans="1:10" x14ac:dyDescent="0.25">
      <c r="A699">
        <v>11593583</v>
      </c>
      <c r="B699" s="1">
        <v>45726.312800925924</v>
      </c>
      <c r="C699" t="s">
        <v>0</v>
      </c>
      <c r="D699" t="str">
        <f>VLOOKUP(A699,MERCADO!A:B,2,0)</f>
        <v>Industria</v>
      </c>
      <c r="E699" t="str">
        <f>_xlfn.XLOOKUP(A699, ORIGEM!A:A, ORIGEM!B:B)</f>
        <v>Facebook</v>
      </c>
      <c r="F699" t="str">
        <f>_xlfn.XLOOKUP(A699, ORIGEM!A:A, ORIGEM!C:C)</f>
        <v>facebook - cpc</v>
      </c>
      <c r="G699" t="str">
        <f>_xlfn.XLOOKUP(A699, LOCAL!A:A, LOCAL!B:B)</f>
        <v>Londrina - PR</v>
      </c>
      <c r="H699" t="str">
        <f>_xlfn.XLOOKUP(A699, PORTE!A:A, PORTE!B:B)</f>
        <v>11-50</v>
      </c>
      <c r="I699" t="str">
        <f>_xlfn.XLOOKUP(A699, OBJETIVO!A:A, OBJETIVO!B:B)</f>
        <v>Planejamento estratégico</v>
      </c>
      <c r="J699">
        <f t="shared" si="10"/>
        <v>0</v>
      </c>
    </row>
    <row r="700" spans="1:10" x14ac:dyDescent="0.25">
      <c r="A700">
        <v>10700664</v>
      </c>
      <c r="B700" s="1">
        <v>45637.743425925924</v>
      </c>
      <c r="C700" t="s">
        <v>0</v>
      </c>
      <c r="D700" t="str">
        <f>VLOOKUP(A700,MERCADO!A:B,2,0)</f>
        <v>Servicos</v>
      </c>
      <c r="E700" t="str">
        <f>_xlfn.XLOOKUP(A700, ORIGEM!A:A, ORIGEM!B:B)</f>
        <v>Google</v>
      </c>
      <c r="F700" t="str">
        <f>_xlfn.XLOOKUP(A700, ORIGEM!A:A, ORIGEM!C:C)</f>
        <v>google - cpc</v>
      </c>
      <c r="G700" t="str">
        <f>_xlfn.XLOOKUP(A700, LOCAL!A:A, LOCAL!B:B)</f>
        <v>Curitiba - PR</v>
      </c>
      <c r="H700" t="str">
        <f>_xlfn.XLOOKUP(A700, PORTE!A:A, PORTE!B:B)</f>
        <v>0</v>
      </c>
      <c r="I700" t="str">
        <f>_xlfn.XLOOKUP(A700, OBJETIVO!A:A, OBJETIVO!B:B)</f>
        <v>Consultoria</v>
      </c>
      <c r="J700">
        <f t="shared" si="10"/>
        <v>0</v>
      </c>
    </row>
    <row r="701" spans="1:10" x14ac:dyDescent="0.25">
      <c r="A701">
        <v>10835291</v>
      </c>
      <c r="B701" s="1">
        <v>45655.995335648149</v>
      </c>
      <c r="C701" t="s">
        <v>0</v>
      </c>
      <c r="D701" t="str">
        <f>VLOOKUP(A701,MERCADO!A:B,2,0)</f>
        <v>Marketing/Publicidade/Consultoria</v>
      </c>
      <c r="E701" t="str">
        <f>_xlfn.XLOOKUP(A701, ORIGEM!A:A, ORIGEM!B:B)</f>
        <v>Google</v>
      </c>
      <c r="F701" t="str">
        <f>_xlfn.XLOOKUP(A701, ORIGEM!A:A, ORIGEM!C:C)</f>
        <v>google - cpc</v>
      </c>
      <c r="G701" t="str">
        <f>_xlfn.XLOOKUP(A701, LOCAL!A:A, LOCAL!B:B)</f>
        <v>Campo Largo - PR</v>
      </c>
      <c r="H701" t="str">
        <f>_xlfn.XLOOKUP(A701, PORTE!A:A, PORTE!B:B)</f>
        <v>1-10</v>
      </c>
      <c r="I701" t="str">
        <f>_xlfn.XLOOKUP(A701, OBJETIVO!A:A, OBJETIVO!B:B)</f>
        <v>Consultoria</v>
      </c>
      <c r="J701">
        <f t="shared" si="10"/>
        <v>0</v>
      </c>
    </row>
    <row r="702" spans="1:10" x14ac:dyDescent="0.25">
      <c r="A702">
        <v>10849171</v>
      </c>
      <c r="B702" s="1">
        <v>45658.694606481484</v>
      </c>
      <c r="C702" t="s">
        <v>0</v>
      </c>
      <c r="D702" t="str">
        <f>VLOOKUP(A702,MERCADO!A:B,2,0)</f>
        <v>Varejo</v>
      </c>
      <c r="E702" t="str">
        <f>_xlfn.XLOOKUP(A702, ORIGEM!A:A, ORIGEM!B:B)</f>
        <v>Google</v>
      </c>
      <c r="F702" t="str">
        <f>_xlfn.XLOOKUP(A702, ORIGEM!A:A, ORIGEM!C:C)</f>
        <v>google - cpc</v>
      </c>
      <c r="G702" t="str">
        <f>_xlfn.XLOOKUP(A702, LOCAL!A:A, LOCAL!B:B)</f>
        <v>João Pessoa - PB</v>
      </c>
      <c r="H702" t="str">
        <f>_xlfn.XLOOKUP(A702, PORTE!A:A, PORTE!B:B)</f>
        <v>1-10</v>
      </c>
      <c r="I702" t="str">
        <f>_xlfn.XLOOKUP(A702, OBJETIVO!A:A, OBJETIVO!B:B)</f>
        <v>Abertura/Expansão</v>
      </c>
      <c r="J702">
        <f t="shared" si="10"/>
        <v>0</v>
      </c>
    </row>
    <row r="703" spans="1:10" x14ac:dyDescent="0.25">
      <c r="A703">
        <v>11310938</v>
      </c>
      <c r="B703" s="1">
        <v>45698.505844907406</v>
      </c>
      <c r="C703" t="s">
        <v>0</v>
      </c>
      <c r="D703" t="str">
        <f>VLOOKUP(A703,MERCADO!A:B,2,0)</f>
        <v>Industria</v>
      </c>
      <c r="E703" t="str">
        <f>_xlfn.XLOOKUP(A703, ORIGEM!A:A, ORIGEM!B:B)</f>
        <v>Orgânico</v>
      </c>
      <c r="F703">
        <f>_xlfn.XLOOKUP(A703, ORIGEM!A:A, ORIGEM!C:C)</f>
        <v>0</v>
      </c>
      <c r="G703" t="str">
        <f>_xlfn.XLOOKUP(A703, LOCAL!A:A, LOCAL!B:B)</f>
        <v>João Pessoa - PB</v>
      </c>
      <c r="H703" t="str">
        <f>_xlfn.XLOOKUP(A703, PORTE!A:A, PORTE!B:B)</f>
        <v>11-50</v>
      </c>
      <c r="I703" t="str">
        <f>_xlfn.XLOOKUP(A703, OBJETIVO!A:A, OBJETIVO!B:B)</f>
        <v>Abertura/Expansão</v>
      </c>
      <c r="J703">
        <f t="shared" si="10"/>
        <v>0</v>
      </c>
    </row>
    <row r="704" spans="1:10" x14ac:dyDescent="0.25">
      <c r="A704">
        <v>10931540</v>
      </c>
      <c r="B704" s="1">
        <v>45668.509942129633</v>
      </c>
      <c r="C704" t="s">
        <v>0</v>
      </c>
      <c r="D704" t="str">
        <f>VLOOKUP(A704,MERCADO!A:B,2,0)</f>
        <v>Empreendedor</v>
      </c>
      <c r="E704" t="str">
        <f>_xlfn.XLOOKUP(A704, ORIGEM!A:A, ORIGEM!B:B)</f>
        <v>Orgânico</v>
      </c>
      <c r="F704">
        <f>_xlfn.XLOOKUP(A704, ORIGEM!A:A, ORIGEM!C:C)</f>
        <v>0</v>
      </c>
      <c r="G704" t="str">
        <f>_xlfn.XLOOKUP(A704, LOCAL!A:A, LOCAL!B:B)</f>
        <v>Aparecida - PB</v>
      </c>
      <c r="H704" t="str">
        <f>_xlfn.XLOOKUP(A704, PORTE!A:A, PORTE!B:B)</f>
        <v>0</v>
      </c>
      <c r="I704" t="str">
        <f>_xlfn.XLOOKUP(A704, OBJETIVO!A:A, OBJETIVO!B:B)</f>
        <v>Abertura/Expansão</v>
      </c>
      <c r="J704">
        <f t="shared" si="10"/>
        <v>0</v>
      </c>
    </row>
    <row r="705" spans="1:10" x14ac:dyDescent="0.25">
      <c r="A705">
        <v>10940586</v>
      </c>
      <c r="B705" s="1">
        <v>45669.393425925926</v>
      </c>
      <c r="C705" t="s">
        <v>0</v>
      </c>
      <c r="D705" t="str">
        <f>VLOOKUP(A705,MERCADO!A:B,2,0)</f>
        <v>Empreendedor</v>
      </c>
      <c r="E705" t="str">
        <f>_xlfn.XLOOKUP(A705, ORIGEM!A:A, ORIGEM!B:B)</f>
        <v>Orgânico</v>
      </c>
      <c r="F705">
        <f>_xlfn.XLOOKUP(A705, ORIGEM!A:A, ORIGEM!C:C)</f>
        <v>0</v>
      </c>
      <c r="G705" t="str">
        <f>_xlfn.XLOOKUP(A705, LOCAL!A:A, LOCAL!B:B)</f>
        <v>Araripina - PE</v>
      </c>
      <c r="H705" t="str">
        <f>_xlfn.XLOOKUP(A705, PORTE!A:A, PORTE!B:B)</f>
        <v>0</v>
      </c>
      <c r="I705" t="str">
        <f>_xlfn.XLOOKUP(A705, OBJETIVO!A:A, OBJETIVO!B:B)</f>
        <v>Ações de marketing/vendas</v>
      </c>
      <c r="J705">
        <f t="shared" si="10"/>
        <v>0</v>
      </c>
    </row>
    <row r="706" spans="1:10" x14ac:dyDescent="0.25">
      <c r="A706">
        <v>10848765</v>
      </c>
      <c r="B706" s="1">
        <v>45658.48265046296</v>
      </c>
      <c r="C706" t="s">
        <v>0</v>
      </c>
      <c r="D706" t="str">
        <f>VLOOKUP(A706,MERCADO!A:B,2,0)</f>
        <v>Marketing/Publicidade/Consultoria</v>
      </c>
      <c r="E706" t="str">
        <f>_xlfn.XLOOKUP(A706, ORIGEM!A:A, ORIGEM!B:B)</f>
        <v>Google</v>
      </c>
      <c r="F706" t="str">
        <f>_xlfn.XLOOKUP(A706, ORIGEM!A:A, ORIGEM!C:C)</f>
        <v>google - cpc</v>
      </c>
      <c r="G706" t="str">
        <f>_xlfn.XLOOKUP(A706, LOCAL!A:A, LOCAL!B:B)</f>
        <v>Saloa - PE</v>
      </c>
      <c r="H706" t="str">
        <f>_xlfn.XLOOKUP(A706, PORTE!A:A, PORTE!B:B)</f>
        <v>1-10</v>
      </c>
      <c r="I706" t="str">
        <f>_xlfn.XLOOKUP(A706, OBJETIVO!A:A, OBJETIVO!B:B)</f>
        <v>Consultoria</v>
      </c>
      <c r="J706">
        <f t="shared" si="10"/>
        <v>0</v>
      </c>
    </row>
    <row r="707" spans="1:10" x14ac:dyDescent="0.25">
      <c r="A707">
        <v>11942913</v>
      </c>
      <c r="B707" s="1">
        <v>45759.324837962966</v>
      </c>
      <c r="C707" t="s">
        <v>0</v>
      </c>
      <c r="D707" t="str">
        <f>VLOOKUP(A707,MERCADO!A:B,2,0)</f>
        <v>Empreendedor</v>
      </c>
      <c r="E707" t="str">
        <f>_xlfn.XLOOKUP(A707, ORIGEM!A:A, ORIGEM!B:B)</f>
        <v>Instagram</v>
      </c>
      <c r="F707" t="str">
        <f>_xlfn.XLOOKUP(A707, ORIGEM!A:A, ORIGEM!C:C)</f>
        <v>instagram - social</v>
      </c>
      <c r="G707" t="str">
        <f>_xlfn.XLOOKUP(A707, LOCAL!A:A, LOCAL!B:B)</f>
        <v>Buenos Aires - PE</v>
      </c>
      <c r="H707" t="str">
        <f>_xlfn.XLOOKUP(A707, PORTE!A:A, PORTE!B:B)</f>
        <v>0</v>
      </c>
      <c r="I707" t="str">
        <f>_xlfn.XLOOKUP(A707, OBJETIVO!A:A, OBJETIVO!B:B)</f>
        <v>Planejamento estratégico</v>
      </c>
      <c r="J707">
        <f t="shared" ref="J707:J770" si="11">IF(C707="SIM",1,0)</f>
        <v>0</v>
      </c>
    </row>
    <row r="708" spans="1:10" x14ac:dyDescent="0.25">
      <c r="A708">
        <v>11708412</v>
      </c>
      <c r="B708" s="1">
        <v>45736.689328703702</v>
      </c>
      <c r="C708" t="s">
        <v>0</v>
      </c>
      <c r="D708" t="str">
        <f>VLOOKUP(A708,MERCADO!A:B,2,0)</f>
        <v>Servicos</v>
      </c>
      <c r="E708" t="str">
        <f>_xlfn.XLOOKUP(A708, ORIGEM!A:A, ORIGEM!B:B)</f>
        <v>Google</v>
      </c>
      <c r="F708" t="str">
        <f>_xlfn.XLOOKUP(A708, ORIGEM!A:A, ORIGEM!C:C)</f>
        <v>google - cpc</v>
      </c>
      <c r="G708" t="str">
        <f>_xlfn.XLOOKUP(A708, LOCAL!A:A, LOCAL!B:B)</f>
        <v>Jaboatao dos Guararapes - PE</v>
      </c>
      <c r="H708" t="str">
        <f>_xlfn.XLOOKUP(A708, PORTE!A:A, PORTE!B:B)</f>
        <v>1-10</v>
      </c>
      <c r="I708" t="str">
        <f>_xlfn.XLOOKUP(A708, OBJETIVO!A:A, OBJETIVO!B:B)</f>
        <v>Outro</v>
      </c>
      <c r="J708">
        <f t="shared" si="11"/>
        <v>0</v>
      </c>
    </row>
    <row r="709" spans="1:10" x14ac:dyDescent="0.25">
      <c r="A709">
        <v>11407359</v>
      </c>
      <c r="B709" s="1">
        <v>45708.559108796297</v>
      </c>
      <c r="C709" t="s">
        <v>0</v>
      </c>
      <c r="D709" t="str">
        <f>VLOOKUP(A709,MERCADO!A:B,2,0)</f>
        <v>Servicos</v>
      </c>
      <c r="E709" t="str">
        <f>_xlfn.XLOOKUP(A709, ORIGEM!A:A, ORIGEM!B:B)</f>
        <v>Facebook</v>
      </c>
      <c r="F709" t="str">
        <f>_xlfn.XLOOKUP(A709, ORIGEM!A:A, ORIGEM!C:C)</f>
        <v>facebook - cpc</v>
      </c>
      <c r="G709" t="str">
        <f>_xlfn.XLOOKUP(A709, LOCAL!A:A, LOCAL!B:B)</f>
        <v>Carpina - PE</v>
      </c>
      <c r="H709" t="str">
        <f>_xlfn.XLOOKUP(A709, PORTE!A:A, PORTE!B:B)</f>
        <v>11-50</v>
      </c>
      <c r="I709" t="str">
        <f>_xlfn.XLOOKUP(A709, OBJETIVO!A:A, OBJETIVO!B:B)</f>
        <v>Abertura/Expansão</v>
      </c>
      <c r="J709">
        <f t="shared" si="11"/>
        <v>0</v>
      </c>
    </row>
    <row r="710" spans="1:10" x14ac:dyDescent="0.25">
      <c r="A710">
        <v>10889329</v>
      </c>
      <c r="B710" s="1">
        <v>45663.598090277781</v>
      </c>
      <c r="C710" t="s">
        <v>0</v>
      </c>
      <c r="D710" t="str">
        <f>VLOOKUP(A710,MERCADO!A:B,2,0)</f>
        <v>Servicos</v>
      </c>
      <c r="E710" t="str">
        <f>_xlfn.XLOOKUP(A710, ORIGEM!A:A, ORIGEM!B:B)</f>
        <v>Orgânico</v>
      </c>
      <c r="F710">
        <f>_xlfn.XLOOKUP(A710, ORIGEM!A:A, ORIGEM!C:C)</f>
        <v>0</v>
      </c>
      <c r="G710" t="str">
        <f>_xlfn.XLOOKUP(A710, LOCAL!A:A, LOCAL!B:B)</f>
        <v>-</v>
      </c>
      <c r="H710" t="str">
        <f>_xlfn.XLOOKUP(A710, PORTE!A:A, PORTE!B:B)</f>
        <v>+ 1000</v>
      </c>
      <c r="I710">
        <f>_xlfn.XLOOKUP(A710, OBJETIVO!A:A, OBJETIVO!B:B)</f>
        <v>0</v>
      </c>
      <c r="J710">
        <f t="shared" si="11"/>
        <v>0</v>
      </c>
    </row>
    <row r="711" spans="1:10" x14ac:dyDescent="0.25">
      <c r="A711">
        <v>11725316</v>
      </c>
      <c r="B711" s="1">
        <v>45738.859247685185</v>
      </c>
      <c r="C711" t="s">
        <v>0</v>
      </c>
      <c r="D711" t="str">
        <f>VLOOKUP(A711,MERCADO!A:B,2,0)</f>
        <v>Servicos</v>
      </c>
      <c r="E711" t="str">
        <f>_xlfn.XLOOKUP(A711, ORIGEM!A:A, ORIGEM!B:B)</f>
        <v>Bing</v>
      </c>
      <c r="F711" t="str">
        <f>_xlfn.XLOOKUP(A711, ORIGEM!A:A, ORIGEM!C:C)</f>
        <v>bing - cpc</v>
      </c>
      <c r="G711" t="str">
        <f>_xlfn.XLOOKUP(A711, LOCAL!A:A, LOCAL!B:B)</f>
        <v>Recife - PE</v>
      </c>
      <c r="H711" t="str">
        <f>_xlfn.XLOOKUP(A711, PORTE!A:A, PORTE!B:B)</f>
        <v>301-1000</v>
      </c>
      <c r="I711" t="str">
        <f>_xlfn.XLOOKUP(A711, OBJETIVO!A:A, OBJETIVO!B:B)</f>
        <v>Outro</v>
      </c>
      <c r="J711">
        <f t="shared" si="11"/>
        <v>0</v>
      </c>
    </row>
    <row r="712" spans="1:10" x14ac:dyDescent="0.25">
      <c r="A712">
        <v>11543633</v>
      </c>
      <c r="B712" s="1">
        <v>45720.963761574072</v>
      </c>
      <c r="C712" t="s">
        <v>0</v>
      </c>
      <c r="D712" t="str">
        <f>VLOOKUP(A712,MERCADO!A:B,2,0)</f>
        <v>Imobiliaria/Incorporadora/Construtora</v>
      </c>
      <c r="E712" t="str">
        <f>_xlfn.XLOOKUP(A712, ORIGEM!A:A, ORIGEM!B:B)</f>
        <v>Facebook</v>
      </c>
      <c r="F712" t="str">
        <f>_xlfn.XLOOKUP(A712, ORIGEM!A:A, ORIGEM!C:C)</f>
        <v>facebook - cpc</v>
      </c>
      <c r="G712" t="str">
        <f>_xlfn.XLOOKUP(A712, LOCAL!A:A, LOCAL!B:B)</f>
        <v>Recife - PE</v>
      </c>
      <c r="H712" t="str">
        <f>_xlfn.XLOOKUP(A712, PORTE!A:A, PORTE!B:B)</f>
        <v>11-50</v>
      </c>
      <c r="I712" t="str">
        <f>_xlfn.XLOOKUP(A712, OBJETIVO!A:A, OBJETIVO!B:B)</f>
        <v>Geração de leads b2b</v>
      </c>
      <c r="J712">
        <f t="shared" si="11"/>
        <v>0</v>
      </c>
    </row>
    <row r="713" spans="1:10" x14ac:dyDescent="0.25">
      <c r="A713">
        <v>11405918</v>
      </c>
      <c r="B713" s="1">
        <v>45707.96638888889</v>
      </c>
      <c r="C713" t="s">
        <v>0</v>
      </c>
      <c r="D713" t="str">
        <f>VLOOKUP(A713,MERCADO!A:B,2,0)</f>
        <v>Servicos</v>
      </c>
      <c r="E713" t="str">
        <f>_xlfn.XLOOKUP(A713, ORIGEM!A:A, ORIGEM!B:B)</f>
        <v>Facebook</v>
      </c>
      <c r="F713" t="str">
        <f>_xlfn.XLOOKUP(A713, ORIGEM!A:A, ORIGEM!C:C)</f>
        <v>facebook - cpc</v>
      </c>
      <c r="G713" t="str">
        <f>_xlfn.XLOOKUP(A713, LOCAL!A:A, LOCAL!B:B)</f>
        <v>Recife - PE</v>
      </c>
      <c r="H713" t="str">
        <f>_xlfn.XLOOKUP(A713, PORTE!A:A, PORTE!B:B)</f>
        <v>1-10</v>
      </c>
      <c r="I713" t="str">
        <f>_xlfn.XLOOKUP(A713, OBJETIVO!A:A, OBJETIVO!B:B)</f>
        <v>Geração de leads b2b</v>
      </c>
      <c r="J713">
        <f t="shared" si="11"/>
        <v>0</v>
      </c>
    </row>
    <row r="714" spans="1:10" x14ac:dyDescent="0.25">
      <c r="A714">
        <v>10957865</v>
      </c>
      <c r="B714" s="1">
        <v>45670.420231481483</v>
      </c>
      <c r="C714" t="s">
        <v>0</v>
      </c>
      <c r="D714" t="str">
        <f>VLOOKUP(A714,MERCADO!A:B,2,0)</f>
        <v>Tecnologia</v>
      </c>
      <c r="E714" t="str">
        <f>_xlfn.XLOOKUP(A714, ORIGEM!A:A, ORIGEM!B:B)</f>
        <v>Orgânico</v>
      </c>
      <c r="F714">
        <f>_xlfn.XLOOKUP(A714, ORIGEM!A:A, ORIGEM!C:C)</f>
        <v>0</v>
      </c>
      <c r="G714" t="str">
        <f>_xlfn.XLOOKUP(A714, LOCAL!A:A, LOCAL!B:B)</f>
        <v>Salvador - BA</v>
      </c>
      <c r="H714" t="str">
        <f>_xlfn.XLOOKUP(A714, PORTE!A:A, PORTE!B:B)</f>
        <v>51-300</v>
      </c>
      <c r="I714" t="str">
        <f>_xlfn.XLOOKUP(A714, OBJETIVO!A:A, OBJETIVO!B:B)</f>
        <v>Geração de leads b2b</v>
      </c>
      <c r="J714">
        <f t="shared" si="11"/>
        <v>0</v>
      </c>
    </row>
    <row r="715" spans="1:10" x14ac:dyDescent="0.25">
      <c r="A715">
        <v>11543871</v>
      </c>
      <c r="B715" s="1">
        <v>45721.060740740744</v>
      </c>
      <c r="C715" t="s">
        <v>0</v>
      </c>
      <c r="D715" t="str">
        <f>VLOOKUP(A715,MERCADO!A:B,2,0)</f>
        <v>Franqueadora</v>
      </c>
      <c r="E715" t="str">
        <f>_xlfn.XLOOKUP(A715, ORIGEM!A:A, ORIGEM!B:B)</f>
        <v>Facebook</v>
      </c>
      <c r="F715" t="str">
        <f>_xlfn.XLOOKUP(A715, ORIGEM!A:A, ORIGEM!C:C)</f>
        <v>facebook - cpc</v>
      </c>
      <c r="G715" t="str">
        <f>_xlfn.XLOOKUP(A715, LOCAL!A:A, LOCAL!B:B)</f>
        <v>Vitoria de Santo Antao - PE</v>
      </c>
      <c r="H715" t="str">
        <f>_xlfn.XLOOKUP(A715, PORTE!A:A, PORTE!B:B)</f>
        <v>11-50</v>
      </c>
      <c r="I715" t="str">
        <f>_xlfn.XLOOKUP(A715, OBJETIVO!A:A, OBJETIVO!B:B)</f>
        <v>Abertura/Expansão</v>
      </c>
      <c r="J715">
        <f t="shared" si="11"/>
        <v>0</v>
      </c>
    </row>
    <row r="716" spans="1:10" x14ac:dyDescent="0.25">
      <c r="A716">
        <v>11427456</v>
      </c>
      <c r="B716" s="1">
        <v>45711.327928240738</v>
      </c>
      <c r="C716" t="s">
        <v>0</v>
      </c>
      <c r="D716" t="str">
        <f>VLOOKUP(A716,MERCADO!A:B,2,0)</f>
        <v>Varejo</v>
      </c>
      <c r="E716" t="str">
        <f>_xlfn.XLOOKUP(A716, ORIGEM!A:A, ORIGEM!B:B)</f>
        <v>Google</v>
      </c>
      <c r="F716" t="str">
        <f>_xlfn.XLOOKUP(A716, ORIGEM!A:A, ORIGEM!C:C)</f>
        <v>google - cpc</v>
      </c>
      <c r="G716" t="str">
        <f>_xlfn.XLOOKUP(A716, LOCAL!A:A, LOCAL!B:B)</f>
        <v>Teresina - PI</v>
      </c>
      <c r="H716" t="str">
        <f>_xlfn.XLOOKUP(A716, PORTE!A:A, PORTE!B:B)</f>
        <v>1-10</v>
      </c>
      <c r="I716" t="str">
        <f>_xlfn.XLOOKUP(A716, OBJETIVO!A:A, OBJETIVO!B:B)</f>
        <v>Planejamento estratégico</v>
      </c>
      <c r="J716">
        <f t="shared" si="11"/>
        <v>0</v>
      </c>
    </row>
    <row r="717" spans="1:10" x14ac:dyDescent="0.25">
      <c r="A717">
        <v>11300428</v>
      </c>
      <c r="B717" s="1">
        <v>45697.621990740743</v>
      </c>
      <c r="C717" t="s">
        <v>0</v>
      </c>
      <c r="D717" t="str">
        <f>VLOOKUP(A717,MERCADO!A:B,2,0)</f>
        <v>Franqueadora</v>
      </c>
      <c r="E717" t="str">
        <f>_xlfn.XLOOKUP(A717, ORIGEM!A:A, ORIGEM!B:B)</f>
        <v>Google</v>
      </c>
      <c r="F717" t="str">
        <f>_xlfn.XLOOKUP(A717, ORIGEM!A:A, ORIGEM!C:C)</f>
        <v>google - cpc</v>
      </c>
      <c r="G717" t="str">
        <f>_xlfn.XLOOKUP(A717, LOCAL!A:A, LOCAL!B:B)</f>
        <v>Curitiba - PR</v>
      </c>
      <c r="H717" t="str">
        <f>_xlfn.XLOOKUP(A717, PORTE!A:A, PORTE!B:B)</f>
        <v>11-50</v>
      </c>
      <c r="I717" t="str">
        <f>_xlfn.XLOOKUP(A717, OBJETIVO!A:A, OBJETIVO!B:B)</f>
        <v>Planejamento estratégico</v>
      </c>
      <c r="J717">
        <f t="shared" si="11"/>
        <v>0</v>
      </c>
    </row>
    <row r="718" spans="1:10" x14ac:dyDescent="0.25">
      <c r="A718">
        <v>11870485</v>
      </c>
      <c r="B718" s="1">
        <v>45752.673900462964</v>
      </c>
      <c r="C718" t="s">
        <v>0</v>
      </c>
      <c r="D718" t="str">
        <f>VLOOKUP(A718,MERCADO!A:B,2,0)</f>
        <v>Empreendedor</v>
      </c>
      <c r="E718" t="str">
        <f>_xlfn.XLOOKUP(A718, ORIGEM!A:A, ORIGEM!B:B)</f>
        <v>Orgânico</v>
      </c>
      <c r="F718">
        <f>_xlfn.XLOOKUP(A718, ORIGEM!A:A, ORIGEM!C:C)</f>
        <v>0</v>
      </c>
      <c r="G718" t="str">
        <f>_xlfn.XLOOKUP(A718, LOCAL!A:A, LOCAL!B:B)</f>
        <v>Curitiba - PR</v>
      </c>
      <c r="H718" t="str">
        <f>_xlfn.XLOOKUP(A718, PORTE!A:A, PORTE!B:B)</f>
        <v>0</v>
      </c>
      <c r="I718" t="str">
        <f>_xlfn.XLOOKUP(A718, OBJETIVO!A:A, OBJETIVO!B:B)</f>
        <v>Ações de marketing/vendas</v>
      </c>
      <c r="J718">
        <f t="shared" si="11"/>
        <v>0</v>
      </c>
    </row>
    <row r="719" spans="1:10" x14ac:dyDescent="0.25">
      <c r="A719">
        <v>11828805</v>
      </c>
      <c r="B719" s="1">
        <v>45747.351793981485</v>
      </c>
      <c r="C719" t="s">
        <v>0</v>
      </c>
      <c r="D719" t="str">
        <f>VLOOKUP(A719,MERCADO!A:B,2,0)</f>
        <v>Varejo</v>
      </c>
      <c r="E719" t="str">
        <f>_xlfn.XLOOKUP(A719, ORIGEM!A:A, ORIGEM!B:B)</f>
        <v>Google</v>
      </c>
      <c r="F719" t="str">
        <f>_xlfn.XLOOKUP(A719, ORIGEM!A:A, ORIGEM!C:C)</f>
        <v>google - cpc</v>
      </c>
      <c r="G719" t="str">
        <f>_xlfn.XLOOKUP(A719, LOCAL!A:A, LOCAL!B:B)</f>
        <v>São José dos Pinhais - PR</v>
      </c>
      <c r="H719" t="str">
        <f>_xlfn.XLOOKUP(A719, PORTE!A:A, PORTE!B:B)</f>
        <v>1-10</v>
      </c>
      <c r="I719" t="str">
        <f>_xlfn.XLOOKUP(A719, OBJETIVO!A:A, OBJETIVO!B:B)</f>
        <v>Ações de marketing/vendas</v>
      </c>
      <c r="J719">
        <f t="shared" si="11"/>
        <v>0</v>
      </c>
    </row>
    <row r="720" spans="1:10" x14ac:dyDescent="0.25">
      <c r="A720">
        <v>11116799</v>
      </c>
      <c r="B720" s="1">
        <v>45683.448888888888</v>
      </c>
      <c r="C720" t="s">
        <v>0</v>
      </c>
      <c r="D720" t="str">
        <f>VLOOKUP(A720,MERCADO!A:B,2,0)</f>
        <v>Servicos</v>
      </c>
      <c r="E720" t="str">
        <f>_xlfn.XLOOKUP(A720, ORIGEM!A:A, ORIGEM!B:B)</f>
        <v>Orgânico</v>
      </c>
      <c r="F720">
        <f>_xlfn.XLOOKUP(A720, ORIGEM!A:A, ORIGEM!C:C)</f>
        <v>0</v>
      </c>
      <c r="G720" t="str">
        <f>_xlfn.XLOOKUP(A720, LOCAL!A:A, LOCAL!B:B)</f>
        <v>Tapejara - PR</v>
      </c>
      <c r="H720" t="str">
        <f>_xlfn.XLOOKUP(A720, PORTE!A:A, PORTE!B:B)</f>
        <v>1-10</v>
      </c>
      <c r="I720" t="str">
        <f>_xlfn.XLOOKUP(A720, OBJETIVO!A:A, OBJETIVO!B:B)</f>
        <v>Outro</v>
      </c>
      <c r="J720">
        <f t="shared" si="11"/>
        <v>0</v>
      </c>
    </row>
    <row r="721" spans="1:10" x14ac:dyDescent="0.25">
      <c r="A721">
        <v>11593129</v>
      </c>
      <c r="B721" s="1">
        <v>45726.000590277778</v>
      </c>
      <c r="C721" t="s">
        <v>0</v>
      </c>
      <c r="D721" t="str">
        <f>VLOOKUP(A721,MERCADO!A:B,2,0)</f>
        <v>Servicos</v>
      </c>
      <c r="E721" t="str">
        <f>_xlfn.XLOOKUP(A721, ORIGEM!A:A, ORIGEM!B:B)</f>
        <v>Facebook</v>
      </c>
      <c r="F721" t="str">
        <f>_xlfn.XLOOKUP(A721, ORIGEM!A:A, ORIGEM!C:C)</f>
        <v>facebook - cpc</v>
      </c>
      <c r="G721" t="str">
        <f>_xlfn.XLOOKUP(A721, LOCAL!A:A, LOCAL!B:B)</f>
        <v>Curitiba - PR</v>
      </c>
      <c r="H721" t="str">
        <f>_xlfn.XLOOKUP(A721, PORTE!A:A, PORTE!B:B)</f>
        <v>1-10</v>
      </c>
      <c r="I721" t="str">
        <f>_xlfn.XLOOKUP(A721, OBJETIVO!A:A, OBJETIVO!B:B)</f>
        <v>Ações de marketing/vendas</v>
      </c>
      <c r="J721">
        <f t="shared" si="11"/>
        <v>0</v>
      </c>
    </row>
    <row r="722" spans="1:10" x14ac:dyDescent="0.25">
      <c r="A722">
        <v>11483746</v>
      </c>
      <c r="B722" s="1">
        <v>45716.535150462965</v>
      </c>
      <c r="C722" t="s">
        <v>0</v>
      </c>
      <c r="D722" t="str">
        <f>VLOOKUP(A722,MERCADO!A:B,2,0)</f>
        <v>Industria</v>
      </c>
      <c r="E722" t="str">
        <f>_xlfn.XLOOKUP(A722, ORIGEM!A:A, ORIGEM!B:B)</f>
        <v>Google</v>
      </c>
      <c r="F722" t="str">
        <f>_xlfn.XLOOKUP(A722, ORIGEM!A:A, ORIGEM!C:C)</f>
        <v>google - cpc</v>
      </c>
      <c r="G722" t="str">
        <f>_xlfn.XLOOKUP(A722, LOCAL!A:A, LOCAL!B:B)</f>
        <v>Curitiba - PR</v>
      </c>
      <c r="H722" t="str">
        <f>_xlfn.XLOOKUP(A722, PORTE!A:A, PORTE!B:B)</f>
        <v>11-50</v>
      </c>
      <c r="I722" t="str">
        <f>_xlfn.XLOOKUP(A722, OBJETIVO!A:A, OBJETIVO!B:B)</f>
        <v>Abertura/Expansão</v>
      </c>
      <c r="J722">
        <f t="shared" si="11"/>
        <v>0</v>
      </c>
    </row>
    <row r="723" spans="1:10" x14ac:dyDescent="0.25">
      <c r="A723">
        <v>11037020</v>
      </c>
      <c r="B723" s="1">
        <v>45676.507905092592</v>
      </c>
      <c r="C723" t="s">
        <v>0</v>
      </c>
      <c r="D723" t="str">
        <f>VLOOKUP(A723,MERCADO!A:B,2,0)</f>
        <v>Tecnologia</v>
      </c>
      <c r="E723" t="str">
        <f>_xlfn.XLOOKUP(A723, ORIGEM!A:A, ORIGEM!B:B)</f>
        <v>Google</v>
      </c>
      <c r="F723" t="str">
        <f>_xlfn.XLOOKUP(A723, ORIGEM!A:A, ORIGEM!C:C)</f>
        <v>google - cpc</v>
      </c>
      <c r="G723" t="str">
        <f>_xlfn.XLOOKUP(A723, LOCAL!A:A, LOCAL!B:B)</f>
        <v>Curitiba - PR</v>
      </c>
      <c r="H723" t="str">
        <f>_xlfn.XLOOKUP(A723, PORTE!A:A, PORTE!B:B)</f>
        <v>51-300</v>
      </c>
      <c r="I723" t="str">
        <f>_xlfn.XLOOKUP(A723, OBJETIVO!A:A, OBJETIVO!B:B)</f>
        <v>Ações de marketing/vendas</v>
      </c>
      <c r="J723">
        <f t="shared" si="11"/>
        <v>0</v>
      </c>
    </row>
    <row r="724" spans="1:10" x14ac:dyDescent="0.25">
      <c r="A724">
        <v>11300155</v>
      </c>
      <c r="B724" s="1">
        <v>45697.610474537039</v>
      </c>
      <c r="C724" t="s">
        <v>0</v>
      </c>
      <c r="D724" t="str">
        <f>VLOOKUP(A724,MERCADO!A:B,2,0)</f>
        <v>Servicos</v>
      </c>
      <c r="E724" t="str">
        <f>_xlfn.XLOOKUP(A724, ORIGEM!A:A, ORIGEM!B:B)</f>
        <v>Orgânico</v>
      </c>
      <c r="F724">
        <f>_xlfn.XLOOKUP(A724, ORIGEM!A:A, ORIGEM!C:C)</f>
        <v>0</v>
      </c>
      <c r="G724" t="str">
        <f>_xlfn.XLOOKUP(A724, LOCAL!A:A, LOCAL!B:B)</f>
        <v>Porto União - SC</v>
      </c>
      <c r="H724" t="str">
        <f>_xlfn.XLOOKUP(A724, PORTE!A:A, PORTE!B:B)</f>
        <v>0</v>
      </c>
      <c r="I724" t="str">
        <f>_xlfn.XLOOKUP(A724, OBJETIVO!A:A, OBJETIVO!B:B)</f>
        <v>Outro</v>
      </c>
      <c r="J724">
        <f t="shared" si="11"/>
        <v>0</v>
      </c>
    </row>
    <row r="725" spans="1:10" x14ac:dyDescent="0.25">
      <c r="A725">
        <v>10817894</v>
      </c>
      <c r="B725" s="1">
        <v>45652.812800925924</v>
      </c>
      <c r="C725" t="s">
        <v>0</v>
      </c>
      <c r="D725" t="str">
        <f>VLOOKUP(A725,MERCADO!A:B,2,0)</f>
        <v>Servicos</v>
      </c>
      <c r="E725" t="str">
        <f>_xlfn.XLOOKUP(A725, ORIGEM!A:A, ORIGEM!B:B)</f>
        <v>Google</v>
      </c>
      <c r="F725" t="str">
        <f>_xlfn.XLOOKUP(A725, ORIGEM!A:A, ORIGEM!C:C)</f>
        <v>google - cpc</v>
      </c>
      <c r="G725" t="str">
        <f>_xlfn.XLOOKUP(A725, LOCAL!A:A, LOCAL!B:B)</f>
        <v>Curitiba - PR</v>
      </c>
      <c r="H725" t="str">
        <f>_xlfn.XLOOKUP(A725, PORTE!A:A, PORTE!B:B)</f>
        <v>1-10</v>
      </c>
      <c r="I725" t="str">
        <f>_xlfn.XLOOKUP(A725, OBJETIVO!A:A, OBJETIVO!B:B)</f>
        <v>Abertura/Expansão</v>
      </c>
      <c r="J725">
        <f t="shared" si="11"/>
        <v>0</v>
      </c>
    </row>
    <row r="726" spans="1:10" x14ac:dyDescent="0.25">
      <c r="A726">
        <v>11282287</v>
      </c>
      <c r="B726" s="1">
        <v>45696.61078703704</v>
      </c>
      <c r="C726" t="s">
        <v>0</v>
      </c>
      <c r="D726" t="str">
        <f>VLOOKUP(A726,MERCADO!A:B,2,0)</f>
        <v>Varejo</v>
      </c>
      <c r="E726" t="str">
        <f>_xlfn.XLOOKUP(A726, ORIGEM!A:A, ORIGEM!B:B)</f>
        <v>Orgânico</v>
      </c>
      <c r="F726">
        <f>_xlfn.XLOOKUP(A726, ORIGEM!A:A, ORIGEM!C:C)</f>
        <v>0</v>
      </c>
      <c r="G726" t="str">
        <f>_xlfn.XLOOKUP(A726, LOCAL!A:A, LOCAL!B:B)</f>
        <v>Maringá - PR</v>
      </c>
      <c r="H726" t="str">
        <f>_xlfn.XLOOKUP(A726, PORTE!A:A, PORTE!B:B)</f>
        <v>0</v>
      </c>
      <c r="I726" t="str">
        <f>_xlfn.XLOOKUP(A726, OBJETIVO!A:A, OBJETIVO!B:B)</f>
        <v>Outro</v>
      </c>
      <c r="J726">
        <f t="shared" si="11"/>
        <v>0</v>
      </c>
    </row>
    <row r="727" spans="1:10" x14ac:dyDescent="0.25">
      <c r="A727">
        <v>10964370</v>
      </c>
      <c r="B727" s="1">
        <v>45670.615937499999</v>
      </c>
      <c r="C727" t="s">
        <v>0</v>
      </c>
      <c r="D727" t="str">
        <f>VLOOKUP(A727,MERCADO!A:B,2,0)</f>
        <v>Servicos</v>
      </c>
      <c r="E727" t="str">
        <f>_xlfn.XLOOKUP(A727, ORIGEM!A:A, ORIGEM!B:B)</f>
        <v>Orgânico</v>
      </c>
      <c r="F727">
        <f>_xlfn.XLOOKUP(A727, ORIGEM!A:A, ORIGEM!C:C)</f>
        <v>0</v>
      </c>
      <c r="G727" t="str">
        <f>_xlfn.XLOOKUP(A727, LOCAL!A:A, LOCAL!B:B)</f>
        <v>Maringá - PR</v>
      </c>
      <c r="H727" t="str">
        <f>_xlfn.XLOOKUP(A727, PORTE!A:A, PORTE!B:B)</f>
        <v>11-50</v>
      </c>
      <c r="I727" t="str">
        <f>_xlfn.XLOOKUP(A727, OBJETIVO!A:A, OBJETIVO!B:B)</f>
        <v>Planejamento estratégico</v>
      </c>
      <c r="J727">
        <f t="shared" si="11"/>
        <v>0</v>
      </c>
    </row>
    <row r="728" spans="1:10" x14ac:dyDescent="0.25">
      <c r="A728">
        <v>11396005</v>
      </c>
      <c r="B728" s="1">
        <v>45707.26363425926</v>
      </c>
      <c r="C728" t="s">
        <v>0</v>
      </c>
      <c r="D728" t="str">
        <f>VLOOKUP(A728,MERCADO!A:B,2,0)</f>
        <v>Tecnologia</v>
      </c>
      <c r="E728" t="str">
        <f>_xlfn.XLOOKUP(A728, ORIGEM!A:A, ORIGEM!B:B)</f>
        <v>Facebook</v>
      </c>
      <c r="F728" t="str">
        <f>_xlfn.XLOOKUP(A728, ORIGEM!A:A, ORIGEM!C:C)</f>
        <v>facebook - cpc</v>
      </c>
      <c r="G728" t="str">
        <f>_xlfn.XLOOKUP(A728, LOCAL!A:A, LOCAL!B:B)</f>
        <v>Pato Branco - PR</v>
      </c>
      <c r="H728" t="str">
        <f>_xlfn.XLOOKUP(A728, PORTE!A:A, PORTE!B:B)</f>
        <v>1-10</v>
      </c>
      <c r="I728" t="str">
        <f>_xlfn.XLOOKUP(A728, OBJETIVO!A:A, OBJETIVO!B:B)</f>
        <v>Outro</v>
      </c>
      <c r="J728">
        <f t="shared" si="11"/>
        <v>0</v>
      </c>
    </row>
    <row r="729" spans="1:10" x14ac:dyDescent="0.25">
      <c r="A729">
        <v>11397580</v>
      </c>
      <c r="B729" s="1">
        <v>45707.405960648146</v>
      </c>
      <c r="C729" t="s">
        <v>0</v>
      </c>
      <c r="D729" t="str">
        <f>VLOOKUP(A729,MERCADO!A:B,2,0)</f>
        <v>Industria</v>
      </c>
      <c r="E729" t="str">
        <f>_xlfn.XLOOKUP(A729, ORIGEM!A:A, ORIGEM!B:B)</f>
        <v>Facebook</v>
      </c>
      <c r="F729" t="str">
        <f>_xlfn.XLOOKUP(A729, ORIGEM!A:A, ORIGEM!C:C)</f>
        <v>facebook - cpc</v>
      </c>
      <c r="G729" t="str">
        <f>_xlfn.XLOOKUP(A729, LOCAL!A:A, LOCAL!B:B)</f>
        <v>Curitiba - PR</v>
      </c>
      <c r="H729" t="str">
        <f>_xlfn.XLOOKUP(A729, PORTE!A:A, PORTE!B:B)</f>
        <v>1-10</v>
      </c>
      <c r="I729" t="str">
        <f>_xlfn.XLOOKUP(A729, OBJETIVO!A:A, OBJETIVO!B:B)</f>
        <v>Ações de marketing/vendas</v>
      </c>
      <c r="J729">
        <f t="shared" si="11"/>
        <v>0</v>
      </c>
    </row>
    <row r="730" spans="1:10" x14ac:dyDescent="0.25">
      <c r="A730">
        <v>11916493</v>
      </c>
      <c r="B730" s="1">
        <v>45755.614664351851</v>
      </c>
      <c r="C730" t="s">
        <v>0</v>
      </c>
      <c r="D730" t="str">
        <f>VLOOKUP(A730,MERCADO!A:B,2,0)</f>
        <v>Industria</v>
      </c>
      <c r="E730" t="str">
        <f>_xlfn.XLOOKUP(A730, ORIGEM!A:A, ORIGEM!B:B)</f>
        <v>Orgânico</v>
      </c>
      <c r="F730">
        <f>_xlfn.XLOOKUP(A730, ORIGEM!A:A, ORIGEM!C:C)</f>
        <v>0</v>
      </c>
      <c r="G730" t="str">
        <f>_xlfn.XLOOKUP(A730, LOCAL!A:A, LOCAL!B:B)</f>
        <v>Pinhais - PR</v>
      </c>
      <c r="H730" t="str">
        <f>_xlfn.XLOOKUP(A730, PORTE!A:A, PORTE!B:B)</f>
        <v>1-10</v>
      </c>
      <c r="I730" t="str">
        <f>_xlfn.XLOOKUP(A730, OBJETIVO!A:A, OBJETIVO!B:B)</f>
        <v>Ações de marketing/vendas</v>
      </c>
      <c r="J730">
        <f t="shared" si="11"/>
        <v>0</v>
      </c>
    </row>
    <row r="731" spans="1:10" x14ac:dyDescent="0.25">
      <c r="A731">
        <v>10619822</v>
      </c>
      <c r="B731" s="1">
        <v>45630.750821759262</v>
      </c>
      <c r="C731" t="s">
        <v>0</v>
      </c>
      <c r="D731" t="str">
        <f>VLOOKUP(A731,MERCADO!A:B,2,0)</f>
        <v>Tecnologia</v>
      </c>
      <c r="E731" t="str">
        <f>_xlfn.XLOOKUP(A731, ORIGEM!A:A, ORIGEM!B:B)</f>
        <v>Google</v>
      </c>
      <c r="F731" t="str">
        <f>_xlfn.XLOOKUP(A731, ORIGEM!A:A, ORIGEM!C:C)</f>
        <v>google - cpc</v>
      </c>
      <c r="G731" t="str">
        <f>_xlfn.XLOOKUP(A731, LOCAL!A:A, LOCAL!B:B)</f>
        <v>Curitiba - PR</v>
      </c>
      <c r="H731" t="str">
        <f>_xlfn.XLOOKUP(A731, PORTE!A:A, PORTE!B:B)</f>
        <v>0</v>
      </c>
      <c r="I731" t="str">
        <f>_xlfn.XLOOKUP(A731, OBJETIVO!A:A, OBJETIVO!B:B)</f>
        <v>Abertura/Expansão</v>
      </c>
      <c r="J731">
        <f t="shared" si="11"/>
        <v>0</v>
      </c>
    </row>
    <row r="732" spans="1:10" x14ac:dyDescent="0.25">
      <c r="A732">
        <v>10877427</v>
      </c>
      <c r="B732" s="1">
        <v>45662.641967592594</v>
      </c>
      <c r="C732" t="s">
        <v>0</v>
      </c>
      <c r="D732" t="str">
        <f>VLOOKUP(A732,MERCADO!A:B,2,0)</f>
        <v>Tecnologia</v>
      </c>
      <c r="E732" t="str">
        <f>_xlfn.XLOOKUP(A732, ORIGEM!A:A, ORIGEM!B:B)</f>
        <v>Orgânico</v>
      </c>
      <c r="F732">
        <f>_xlfn.XLOOKUP(A732, ORIGEM!A:A, ORIGEM!C:C)</f>
        <v>0</v>
      </c>
      <c r="G732" t="str">
        <f>_xlfn.XLOOKUP(A732, LOCAL!A:A, LOCAL!B:B)</f>
        <v>Curitiba - PR</v>
      </c>
      <c r="H732" t="str">
        <f>_xlfn.XLOOKUP(A732, PORTE!A:A, PORTE!B:B)</f>
        <v>1-10</v>
      </c>
      <c r="I732" t="str">
        <f>_xlfn.XLOOKUP(A732, OBJETIVO!A:A, OBJETIVO!B:B)</f>
        <v>Abertura/Expansão</v>
      </c>
      <c r="J732">
        <f t="shared" si="11"/>
        <v>0</v>
      </c>
    </row>
    <row r="733" spans="1:10" x14ac:dyDescent="0.25">
      <c r="A733">
        <v>11262017</v>
      </c>
      <c r="B733" s="1">
        <v>45693.565520833334</v>
      </c>
      <c r="C733" t="s">
        <v>0</v>
      </c>
      <c r="D733" t="str">
        <f>VLOOKUP(A733,MERCADO!A:B,2,0)</f>
        <v>Franqueadora</v>
      </c>
      <c r="E733" t="str">
        <f>_xlfn.XLOOKUP(A733, ORIGEM!A:A, ORIGEM!B:B)</f>
        <v>rep</v>
      </c>
      <c r="F733" t="str">
        <f>_xlfn.XLOOKUP(A733, ORIGEM!A:A, ORIGEM!C:C)</f>
        <v>rep - ximena-cubillos</v>
      </c>
      <c r="G733" t="str">
        <f>_xlfn.XLOOKUP(A733, LOCAL!A:A, LOCAL!B:B)</f>
        <v>Curitiba - PR</v>
      </c>
      <c r="H733" t="str">
        <f>_xlfn.XLOOKUP(A733, PORTE!A:A, PORTE!B:B)</f>
        <v>11-50</v>
      </c>
      <c r="I733" t="str">
        <f>_xlfn.XLOOKUP(A733, OBJETIVO!A:A, OBJETIVO!B:B)</f>
        <v>Geração de leads b2b</v>
      </c>
      <c r="J733">
        <f t="shared" si="11"/>
        <v>0</v>
      </c>
    </row>
    <row r="734" spans="1:10" x14ac:dyDescent="0.25">
      <c r="A734">
        <v>11546153</v>
      </c>
      <c r="B734" s="1">
        <v>45721.385289351849</v>
      </c>
      <c r="C734" t="s">
        <v>0</v>
      </c>
      <c r="D734" t="str">
        <f>VLOOKUP(A734,MERCADO!A:B,2,0)</f>
        <v>Marketing/Publicidade/Consultoria</v>
      </c>
      <c r="E734" t="str">
        <f>_xlfn.XLOOKUP(A734, ORIGEM!A:A, ORIGEM!B:B)</f>
        <v>Orgânico</v>
      </c>
      <c r="F734">
        <f>_xlfn.XLOOKUP(A734, ORIGEM!A:A, ORIGEM!C:C)</f>
        <v>0</v>
      </c>
      <c r="G734" t="str">
        <f>_xlfn.XLOOKUP(A734, LOCAL!A:A, LOCAL!B:B)</f>
        <v>Maringá - PR</v>
      </c>
      <c r="H734" t="str">
        <f>_xlfn.XLOOKUP(A734, PORTE!A:A, PORTE!B:B)</f>
        <v>1-10</v>
      </c>
      <c r="I734" t="str">
        <f>_xlfn.XLOOKUP(A734, OBJETIVO!A:A, OBJETIVO!B:B)</f>
        <v>Outro</v>
      </c>
      <c r="J734">
        <f t="shared" si="11"/>
        <v>0</v>
      </c>
    </row>
    <row r="735" spans="1:10" x14ac:dyDescent="0.25">
      <c r="A735">
        <v>11890620</v>
      </c>
      <c r="B735" s="1">
        <v>45753.720752314817</v>
      </c>
      <c r="C735" t="s">
        <v>0</v>
      </c>
      <c r="D735" t="str">
        <f>VLOOKUP(A735,MERCADO!A:B,2,0)</f>
        <v>Industria</v>
      </c>
      <c r="E735" t="str">
        <f>_xlfn.XLOOKUP(A735, ORIGEM!A:A, ORIGEM!B:B)</f>
        <v>Google</v>
      </c>
      <c r="F735">
        <f>_xlfn.XLOOKUP(A735, ORIGEM!A:A, ORIGEM!C:C)</f>
        <v>0</v>
      </c>
      <c r="G735" t="str">
        <f>_xlfn.XLOOKUP(A735, LOCAL!A:A, LOCAL!B:B)</f>
        <v>Campo Grande - MS</v>
      </c>
      <c r="H735" t="str">
        <f>_xlfn.XLOOKUP(A735, PORTE!A:A, PORTE!B:B)</f>
        <v>11-50</v>
      </c>
      <c r="I735" t="str">
        <f>_xlfn.XLOOKUP(A735, OBJETIVO!A:A, OBJETIVO!B:B)</f>
        <v>Geração de leads b2b</v>
      </c>
      <c r="J735">
        <f t="shared" si="11"/>
        <v>0</v>
      </c>
    </row>
    <row r="736" spans="1:10" x14ac:dyDescent="0.25">
      <c r="A736">
        <v>11965527</v>
      </c>
      <c r="B736" s="1">
        <v>45760.457766203705</v>
      </c>
      <c r="C736" t="s">
        <v>0</v>
      </c>
      <c r="D736" t="str">
        <f>VLOOKUP(A736,MERCADO!A:B,2,0)</f>
        <v>Franqueadora</v>
      </c>
      <c r="E736" t="str">
        <f>_xlfn.XLOOKUP(A736, ORIGEM!A:A, ORIGEM!B:B)</f>
        <v>Google</v>
      </c>
      <c r="F736">
        <f>_xlfn.XLOOKUP(A736, ORIGEM!A:A, ORIGEM!C:C)</f>
        <v>0</v>
      </c>
      <c r="G736" t="str">
        <f>_xlfn.XLOOKUP(A736, LOCAL!A:A, LOCAL!B:B)</f>
        <v>Curitiba - PR</v>
      </c>
      <c r="H736" t="str">
        <f>_xlfn.XLOOKUP(A736, PORTE!A:A, PORTE!B:B)</f>
        <v>11-50</v>
      </c>
      <c r="I736" t="str">
        <f>_xlfn.XLOOKUP(A736, OBJETIVO!A:A, OBJETIVO!B:B)</f>
        <v>Ações de marketing/vendas</v>
      </c>
      <c r="J736">
        <f t="shared" si="11"/>
        <v>0</v>
      </c>
    </row>
    <row r="737" spans="1:10" x14ac:dyDescent="0.25">
      <c r="A737">
        <v>11242878</v>
      </c>
      <c r="B737" s="1">
        <v>45691.907905092594</v>
      </c>
      <c r="C737" t="s">
        <v>0</v>
      </c>
      <c r="D737" t="str">
        <f>VLOOKUP(A737,MERCADO!A:B,2,0)</f>
        <v>Empreendedor</v>
      </c>
      <c r="E737" t="str">
        <f>_xlfn.XLOOKUP(A737, ORIGEM!A:A, ORIGEM!B:B)</f>
        <v>Bing</v>
      </c>
      <c r="F737" t="str">
        <f>_xlfn.XLOOKUP(A737, ORIGEM!A:A, ORIGEM!C:C)</f>
        <v>bing - cpc</v>
      </c>
      <c r="G737" t="str">
        <f>_xlfn.XLOOKUP(A737, LOCAL!A:A, LOCAL!B:B)</f>
        <v>Palmas - PR</v>
      </c>
      <c r="H737" t="str">
        <f>_xlfn.XLOOKUP(A737, PORTE!A:A, PORTE!B:B)</f>
        <v>0</v>
      </c>
      <c r="I737" t="str">
        <f>_xlfn.XLOOKUP(A737, OBJETIVO!A:A, OBJETIVO!B:B)</f>
        <v>Abertura/Expansão</v>
      </c>
      <c r="J737">
        <f t="shared" si="11"/>
        <v>0</v>
      </c>
    </row>
    <row r="738" spans="1:10" x14ac:dyDescent="0.25">
      <c r="A738">
        <v>11725616</v>
      </c>
      <c r="B738" s="1">
        <v>45738.907835648148</v>
      </c>
      <c r="C738" t="s">
        <v>0</v>
      </c>
      <c r="D738" t="str">
        <f>VLOOKUP(A738,MERCADO!A:B,2,0)</f>
        <v>Empreendedor</v>
      </c>
      <c r="E738" t="str">
        <f>_xlfn.XLOOKUP(A738, ORIGEM!A:A, ORIGEM!B:B)</f>
        <v>Bing</v>
      </c>
      <c r="F738" t="str">
        <f>_xlfn.XLOOKUP(A738, ORIGEM!A:A, ORIGEM!C:C)</f>
        <v>bing - cpc</v>
      </c>
      <c r="G738" t="str">
        <f>_xlfn.XLOOKUP(A738, LOCAL!A:A, LOCAL!B:B)</f>
        <v>Curitiba - PR</v>
      </c>
      <c r="H738" t="str">
        <f>_xlfn.XLOOKUP(A738, PORTE!A:A, PORTE!B:B)</f>
        <v>1-10</v>
      </c>
      <c r="I738" t="str">
        <f>_xlfn.XLOOKUP(A738, OBJETIVO!A:A, OBJETIVO!B:B)</f>
        <v>Outro</v>
      </c>
      <c r="J738">
        <f t="shared" si="11"/>
        <v>0</v>
      </c>
    </row>
    <row r="739" spans="1:10" x14ac:dyDescent="0.25">
      <c r="A739">
        <v>11858224</v>
      </c>
      <c r="B739" s="1">
        <v>45750.729212962964</v>
      </c>
      <c r="C739" t="s">
        <v>0</v>
      </c>
      <c r="D739" t="str">
        <f>VLOOKUP(A739,MERCADO!A:B,2,0)</f>
        <v>Varejo</v>
      </c>
      <c r="E739" t="str">
        <f>_xlfn.XLOOKUP(A739, ORIGEM!A:A, ORIGEM!B:B)</f>
        <v>Google</v>
      </c>
      <c r="F739" t="str">
        <f>_xlfn.XLOOKUP(A739, ORIGEM!A:A, ORIGEM!C:C)</f>
        <v>google - cpc</v>
      </c>
      <c r="G739" t="str">
        <f>_xlfn.XLOOKUP(A739, LOCAL!A:A, LOCAL!B:B)</f>
        <v>Sao Jose - SC</v>
      </c>
      <c r="H739" t="str">
        <f>_xlfn.XLOOKUP(A739, PORTE!A:A, PORTE!B:B)</f>
        <v>+ 1000</v>
      </c>
      <c r="I739" t="str">
        <f>_xlfn.XLOOKUP(A739, OBJETIVO!A:A, OBJETIVO!B:B)</f>
        <v>Ações de marketing/vendas</v>
      </c>
      <c r="J739">
        <f t="shared" si="11"/>
        <v>0</v>
      </c>
    </row>
    <row r="740" spans="1:10" x14ac:dyDescent="0.25">
      <c r="A740">
        <v>10612933</v>
      </c>
      <c r="B740" s="1">
        <v>45630.406643518516</v>
      </c>
      <c r="C740" t="s">
        <v>0</v>
      </c>
      <c r="D740" t="str">
        <f>VLOOKUP(A740,MERCADO!A:B,2,0)</f>
        <v>Varejo</v>
      </c>
      <c r="E740" t="str">
        <f>_xlfn.XLOOKUP(A740, ORIGEM!A:A, ORIGEM!B:B)</f>
        <v>Orgânico</v>
      </c>
      <c r="F740">
        <f>_xlfn.XLOOKUP(A740, ORIGEM!A:A, ORIGEM!C:C)</f>
        <v>0</v>
      </c>
      <c r="G740" t="str">
        <f>_xlfn.XLOOKUP(A740, LOCAL!A:A, LOCAL!B:B)</f>
        <v>-</v>
      </c>
      <c r="H740" t="str">
        <f>_xlfn.XLOOKUP(A740, PORTE!A:A, PORTE!B:B)</f>
        <v>1-10</v>
      </c>
      <c r="I740">
        <f>_xlfn.XLOOKUP(A740, OBJETIVO!A:A, OBJETIVO!B:B)</f>
        <v>0</v>
      </c>
      <c r="J740">
        <f t="shared" si="11"/>
        <v>0</v>
      </c>
    </row>
    <row r="741" spans="1:10" x14ac:dyDescent="0.25">
      <c r="A741">
        <v>11790438</v>
      </c>
      <c r="B741" s="1">
        <v>45744.539594907408</v>
      </c>
      <c r="C741" t="s">
        <v>0</v>
      </c>
      <c r="D741" t="str">
        <f>VLOOKUP(A741,MERCADO!A:B,2,0)</f>
        <v>Empreendedor</v>
      </c>
      <c r="E741" t="str">
        <f>_xlfn.XLOOKUP(A741, ORIGEM!A:A, ORIGEM!B:B)</f>
        <v>Google</v>
      </c>
      <c r="F741" t="str">
        <f>_xlfn.XLOOKUP(A741, ORIGEM!A:A, ORIGEM!C:C)</f>
        <v>google - cpc</v>
      </c>
      <c r="G741" t="str">
        <f>_xlfn.XLOOKUP(A741, LOCAL!A:A, LOCAL!B:B)</f>
        <v>Rio de Janeiro - RJ</v>
      </c>
      <c r="H741" t="str">
        <f>_xlfn.XLOOKUP(A741, PORTE!A:A, PORTE!B:B)</f>
        <v>0</v>
      </c>
      <c r="I741" t="str">
        <f>_xlfn.XLOOKUP(A741, OBJETIVO!A:A, OBJETIVO!B:B)</f>
        <v>Planejamento estratégico</v>
      </c>
      <c r="J741">
        <f t="shared" si="11"/>
        <v>0</v>
      </c>
    </row>
    <row r="742" spans="1:10" x14ac:dyDescent="0.25">
      <c r="A742">
        <v>11394935</v>
      </c>
      <c r="B742" s="1">
        <v>45706.863958333335</v>
      </c>
      <c r="C742" t="s">
        <v>0</v>
      </c>
      <c r="D742" t="str">
        <f>VLOOKUP(A742,MERCADO!A:B,2,0)</f>
        <v>Empreendedor</v>
      </c>
      <c r="E742" t="str">
        <f>_xlfn.XLOOKUP(A742, ORIGEM!A:A, ORIGEM!B:B)</f>
        <v>Orgânico</v>
      </c>
      <c r="F742">
        <f>_xlfn.XLOOKUP(A742, ORIGEM!A:A, ORIGEM!C:C)</f>
        <v>0</v>
      </c>
      <c r="G742" t="str">
        <f>_xlfn.XLOOKUP(A742, LOCAL!A:A, LOCAL!B:B)</f>
        <v>Angra dos Reis - RJ</v>
      </c>
      <c r="H742" t="str">
        <f>_xlfn.XLOOKUP(A742, PORTE!A:A, PORTE!B:B)</f>
        <v>0</v>
      </c>
      <c r="I742" t="str">
        <f>_xlfn.XLOOKUP(A742, OBJETIVO!A:A, OBJETIVO!B:B)</f>
        <v>Abertura/Expansão</v>
      </c>
      <c r="J742">
        <f t="shared" si="11"/>
        <v>0</v>
      </c>
    </row>
    <row r="743" spans="1:10" x14ac:dyDescent="0.25">
      <c r="A743">
        <v>11981766</v>
      </c>
      <c r="B743" s="1">
        <v>45761.433587962965</v>
      </c>
      <c r="C743" t="s">
        <v>0</v>
      </c>
      <c r="D743" t="str">
        <f>VLOOKUP(A743,MERCADO!A:B,2,0)</f>
        <v>Empreendedor</v>
      </c>
      <c r="E743" t="str">
        <f>_xlfn.XLOOKUP(A743, ORIGEM!A:A, ORIGEM!B:B)</f>
        <v>Google</v>
      </c>
      <c r="F743" t="str">
        <f>_xlfn.XLOOKUP(A743, ORIGEM!A:A, ORIGEM!C:C)</f>
        <v>google - cpc</v>
      </c>
      <c r="G743" t="str">
        <f>_xlfn.XLOOKUP(A743, LOCAL!A:A, LOCAL!B:B)</f>
        <v>Rio de Janeiro - RJ</v>
      </c>
      <c r="H743" t="str">
        <f>_xlfn.XLOOKUP(A743, PORTE!A:A, PORTE!B:B)</f>
        <v>1-10</v>
      </c>
      <c r="I743" t="str">
        <f>_xlfn.XLOOKUP(A743, OBJETIVO!A:A, OBJETIVO!B:B)</f>
        <v>Ações de marketing/vendas</v>
      </c>
      <c r="J743">
        <f t="shared" si="11"/>
        <v>0</v>
      </c>
    </row>
    <row r="744" spans="1:10" x14ac:dyDescent="0.25">
      <c r="A744">
        <v>11592970</v>
      </c>
      <c r="B744" s="1">
        <v>45725.951145833336</v>
      </c>
      <c r="C744" t="s">
        <v>0</v>
      </c>
      <c r="D744" t="str">
        <f>VLOOKUP(A744,MERCADO!A:B,2,0)</f>
        <v>Franqueadora</v>
      </c>
      <c r="E744" t="str">
        <f>_xlfn.XLOOKUP(A744, ORIGEM!A:A, ORIGEM!B:B)</f>
        <v>Google</v>
      </c>
      <c r="F744" t="str">
        <f>_xlfn.XLOOKUP(A744, ORIGEM!A:A, ORIGEM!C:C)</f>
        <v>google - cpc</v>
      </c>
      <c r="G744" t="str">
        <f>_xlfn.XLOOKUP(A744, LOCAL!A:A, LOCAL!B:B)</f>
        <v>Rio de Janeiro - RJ</v>
      </c>
      <c r="H744" t="str">
        <f>_xlfn.XLOOKUP(A744, PORTE!A:A, PORTE!B:B)</f>
        <v>1-10</v>
      </c>
      <c r="I744" t="str">
        <f>_xlfn.XLOOKUP(A744, OBJETIVO!A:A, OBJETIVO!B:B)</f>
        <v>Geração de leads b2b</v>
      </c>
      <c r="J744">
        <f t="shared" si="11"/>
        <v>0</v>
      </c>
    </row>
    <row r="745" spans="1:10" x14ac:dyDescent="0.25">
      <c r="A745">
        <v>11124836</v>
      </c>
      <c r="B745" s="1">
        <v>45683.708043981482</v>
      </c>
      <c r="C745" t="s">
        <v>0</v>
      </c>
      <c r="D745" t="str">
        <f>VLOOKUP(A745,MERCADO!A:B,2,0)</f>
        <v>Franqueadora</v>
      </c>
      <c r="E745" t="str">
        <f>_xlfn.XLOOKUP(A745, ORIGEM!A:A, ORIGEM!B:B)</f>
        <v>Orgânico</v>
      </c>
      <c r="F745">
        <f>_xlfn.XLOOKUP(A745, ORIGEM!A:A, ORIGEM!C:C)</f>
        <v>0</v>
      </c>
      <c r="G745" t="str">
        <f>_xlfn.XLOOKUP(A745, LOCAL!A:A, LOCAL!B:B)</f>
        <v>Rio de Janeiro - RJ</v>
      </c>
      <c r="H745" t="str">
        <f>_xlfn.XLOOKUP(A745, PORTE!A:A, PORTE!B:B)</f>
        <v>51-300</v>
      </c>
      <c r="I745" t="str">
        <f>_xlfn.XLOOKUP(A745, OBJETIVO!A:A, OBJETIVO!B:B)</f>
        <v>Abertura/Expansão</v>
      </c>
      <c r="J745">
        <f t="shared" si="11"/>
        <v>0</v>
      </c>
    </row>
    <row r="746" spans="1:10" x14ac:dyDescent="0.25">
      <c r="A746">
        <v>10849481</v>
      </c>
      <c r="B746" s="1">
        <v>45658.834641203706</v>
      </c>
      <c r="C746" t="s">
        <v>0</v>
      </c>
      <c r="D746" t="str">
        <f>VLOOKUP(A746,MERCADO!A:B,2,0)</f>
        <v>Franqueadora</v>
      </c>
      <c r="E746" t="str">
        <f>_xlfn.XLOOKUP(A746, ORIGEM!A:A, ORIGEM!B:B)</f>
        <v>Orgânico</v>
      </c>
      <c r="F746">
        <f>_xlfn.XLOOKUP(A746, ORIGEM!A:A, ORIGEM!C:C)</f>
        <v>0</v>
      </c>
      <c r="G746" t="str">
        <f>_xlfn.XLOOKUP(A746, LOCAL!A:A, LOCAL!B:B)</f>
        <v>Rio de Janeiro - RJ</v>
      </c>
      <c r="H746" t="str">
        <f>_xlfn.XLOOKUP(A746, PORTE!A:A, PORTE!B:B)</f>
        <v>1-10</v>
      </c>
      <c r="I746" t="str">
        <f>_xlfn.XLOOKUP(A746, OBJETIVO!A:A, OBJETIVO!B:B)</f>
        <v>Abertura/Expansão</v>
      </c>
      <c r="J746">
        <f t="shared" si="11"/>
        <v>0</v>
      </c>
    </row>
    <row r="747" spans="1:10" x14ac:dyDescent="0.25">
      <c r="A747">
        <v>11667512</v>
      </c>
      <c r="B747" s="1">
        <v>45733.417557870373</v>
      </c>
      <c r="C747" t="s">
        <v>0</v>
      </c>
      <c r="D747" t="str">
        <f>VLOOKUP(A747,MERCADO!A:B,2,0)</f>
        <v>Servicos</v>
      </c>
      <c r="E747" t="str">
        <f>_xlfn.XLOOKUP(A747, ORIGEM!A:A, ORIGEM!B:B)</f>
        <v>Google</v>
      </c>
      <c r="F747" t="str">
        <f>_xlfn.XLOOKUP(A747, ORIGEM!A:A, ORIGEM!C:C)</f>
        <v>google - cpc</v>
      </c>
      <c r="G747" t="str">
        <f>_xlfn.XLOOKUP(A747, LOCAL!A:A, LOCAL!B:B)</f>
        <v>Marica - RJ</v>
      </c>
      <c r="H747" t="str">
        <f>_xlfn.XLOOKUP(A747, PORTE!A:A, PORTE!B:B)</f>
        <v>1-10</v>
      </c>
      <c r="I747" t="str">
        <f>_xlfn.XLOOKUP(A747, OBJETIVO!A:A, OBJETIVO!B:B)</f>
        <v>Ações de marketing/vendas</v>
      </c>
      <c r="J747">
        <f t="shared" si="11"/>
        <v>0</v>
      </c>
    </row>
    <row r="748" spans="1:10" x14ac:dyDescent="0.25">
      <c r="A748">
        <v>10596772</v>
      </c>
      <c r="B748" s="1">
        <v>45629.383622685185</v>
      </c>
      <c r="C748" t="s">
        <v>0</v>
      </c>
      <c r="D748" t="str">
        <f>VLOOKUP(A748,MERCADO!A:B,2,0)</f>
        <v>Marketing/Publicidade/Consultoria</v>
      </c>
      <c r="E748" t="str">
        <f>_xlfn.XLOOKUP(A748, ORIGEM!A:A, ORIGEM!B:B)</f>
        <v>Orgânico</v>
      </c>
      <c r="F748">
        <f>_xlfn.XLOOKUP(A748, ORIGEM!A:A, ORIGEM!C:C)</f>
        <v>0</v>
      </c>
      <c r="G748" t="str">
        <f>_xlfn.XLOOKUP(A748, LOCAL!A:A, LOCAL!B:B)</f>
        <v>Rio de Janeiro - RJ</v>
      </c>
      <c r="H748" t="str">
        <f>_xlfn.XLOOKUP(A748, PORTE!A:A, PORTE!B:B)</f>
        <v>51-300</v>
      </c>
      <c r="I748" t="str">
        <f>_xlfn.XLOOKUP(A748, OBJETIVO!A:A, OBJETIVO!B:B)</f>
        <v>Consultoria</v>
      </c>
      <c r="J748">
        <f t="shared" si="11"/>
        <v>0</v>
      </c>
    </row>
    <row r="749" spans="1:10" x14ac:dyDescent="0.25">
      <c r="A749">
        <v>11001963</v>
      </c>
      <c r="B749" s="1">
        <v>45672.638032407405</v>
      </c>
      <c r="C749" t="s">
        <v>0</v>
      </c>
      <c r="D749" t="str">
        <f>VLOOKUP(A749,MERCADO!A:B,2,0)</f>
        <v>Empreendedor</v>
      </c>
      <c r="E749" t="str">
        <f>_xlfn.XLOOKUP(A749, ORIGEM!A:A, ORIGEM!B:B)</f>
        <v>Google</v>
      </c>
      <c r="F749" t="str">
        <f>_xlfn.XLOOKUP(A749, ORIGEM!A:A, ORIGEM!C:C)</f>
        <v>google - cpc</v>
      </c>
      <c r="G749" t="str">
        <f>_xlfn.XLOOKUP(A749, LOCAL!A:A, LOCAL!B:B)</f>
        <v>Niterói - RJ</v>
      </c>
      <c r="H749" t="str">
        <f>_xlfn.XLOOKUP(A749, PORTE!A:A, PORTE!B:B)</f>
        <v>0</v>
      </c>
      <c r="I749" t="str">
        <f>_xlfn.XLOOKUP(A749, OBJETIVO!A:A, OBJETIVO!B:B)</f>
        <v>Abertura/Expansão</v>
      </c>
      <c r="J749">
        <f t="shared" si="11"/>
        <v>0</v>
      </c>
    </row>
    <row r="750" spans="1:10" x14ac:dyDescent="0.25">
      <c r="A750">
        <v>11738374</v>
      </c>
      <c r="B750" s="1">
        <v>45740.089756944442</v>
      </c>
      <c r="C750" t="s">
        <v>0</v>
      </c>
      <c r="D750" t="str">
        <f>VLOOKUP(A750,MERCADO!A:B,2,0)</f>
        <v>Marketing/Publicidade/Consultoria</v>
      </c>
      <c r="E750" t="str">
        <f>_xlfn.XLOOKUP(A750, ORIGEM!A:A, ORIGEM!B:B)</f>
        <v>Google</v>
      </c>
      <c r="F750" t="str">
        <f>_xlfn.XLOOKUP(A750, ORIGEM!A:A, ORIGEM!C:C)</f>
        <v>google - cpc</v>
      </c>
      <c r="G750" t="str">
        <f>_xlfn.XLOOKUP(A750, LOCAL!A:A, LOCAL!B:B)</f>
        <v>Niterói - RJ</v>
      </c>
      <c r="H750" t="str">
        <f>_xlfn.XLOOKUP(A750, PORTE!A:A, PORTE!B:B)</f>
        <v>1-10</v>
      </c>
      <c r="I750" t="str">
        <f>_xlfn.XLOOKUP(A750, OBJETIVO!A:A, OBJETIVO!B:B)</f>
        <v>Geração de leads b2b</v>
      </c>
      <c r="J750">
        <f t="shared" si="11"/>
        <v>0</v>
      </c>
    </row>
    <row r="751" spans="1:10" x14ac:dyDescent="0.25">
      <c r="A751">
        <v>10633197</v>
      </c>
      <c r="B751" s="1">
        <v>45633.517199074071</v>
      </c>
      <c r="C751" t="s">
        <v>0</v>
      </c>
      <c r="D751">
        <f>VLOOKUP(A751,MERCADO!A:B,2,0)</f>
        <v>0</v>
      </c>
      <c r="E751" t="str">
        <f>_xlfn.XLOOKUP(A751, ORIGEM!A:A, ORIGEM!B:B)</f>
        <v>Google</v>
      </c>
      <c r="F751" t="str">
        <f>_xlfn.XLOOKUP(A751, ORIGEM!A:A, ORIGEM!C:C)</f>
        <v>google - cpc</v>
      </c>
      <c r="G751" t="str">
        <f>_xlfn.XLOOKUP(A751, LOCAL!A:A, LOCAL!B:B)</f>
        <v>Rio de Janeiro - RJ</v>
      </c>
      <c r="H751" t="str">
        <f>_xlfn.XLOOKUP(A751, PORTE!A:A, PORTE!B:B)</f>
        <v>1-10</v>
      </c>
      <c r="I751" t="str">
        <f>_xlfn.XLOOKUP(A751, OBJETIVO!A:A, OBJETIVO!B:B)</f>
        <v>Planejamento estratégico</v>
      </c>
      <c r="J751">
        <f t="shared" si="11"/>
        <v>0</v>
      </c>
    </row>
    <row r="752" spans="1:10" x14ac:dyDescent="0.25">
      <c r="A752">
        <v>11918945</v>
      </c>
      <c r="B752" s="1">
        <v>45755.681504629632</v>
      </c>
      <c r="C752" t="s">
        <v>0</v>
      </c>
      <c r="D752" t="str">
        <f>VLOOKUP(A752,MERCADO!A:B,2,0)</f>
        <v>Servicos</v>
      </c>
      <c r="E752" t="str">
        <f>_xlfn.XLOOKUP(A752, ORIGEM!A:A, ORIGEM!B:B)</f>
        <v>Google</v>
      </c>
      <c r="F752" t="str">
        <f>_xlfn.XLOOKUP(A752, ORIGEM!A:A, ORIGEM!C:C)</f>
        <v>google - cpc</v>
      </c>
      <c r="G752" t="str">
        <f>_xlfn.XLOOKUP(A752, LOCAL!A:A, LOCAL!B:B)</f>
        <v>Rio de Janeiro - RJ</v>
      </c>
      <c r="H752" t="str">
        <f>_xlfn.XLOOKUP(A752, PORTE!A:A, PORTE!B:B)</f>
        <v>0</v>
      </c>
      <c r="I752" t="str">
        <f>_xlfn.XLOOKUP(A752, OBJETIVO!A:A, OBJETIVO!B:B)</f>
        <v>Abertura/Expansão</v>
      </c>
      <c r="J752">
        <f t="shared" si="11"/>
        <v>0</v>
      </c>
    </row>
    <row r="753" spans="1:10" x14ac:dyDescent="0.25">
      <c r="A753">
        <v>11936527</v>
      </c>
      <c r="B753" s="1">
        <v>45756.98238425926</v>
      </c>
      <c r="C753" t="s">
        <v>0</v>
      </c>
      <c r="D753" t="str">
        <f>VLOOKUP(A753,MERCADO!A:B,2,0)</f>
        <v>Servicos</v>
      </c>
      <c r="E753" t="str">
        <f>_xlfn.XLOOKUP(A753, ORIGEM!A:A, ORIGEM!B:B)</f>
        <v>Orgânico</v>
      </c>
      <c r="F753">
        <f>_xlfn.XLOOKUP(A753, ORIGEM!A:A, ORIGEM!C:C)</f>
        <v>0</v>
      </c>
      <c r="G753" t="str">
        <f>_xlfn.XLOOKUP(A753, LOCAL!A:A, LOCAL!B:B)</f>
        <v>Mesquita - RJ</v>
      </c>
      <c r="H753" t="str">
        <f>_xlfn.XLOOKUP(A753, PORTE!A:A, PORTE!B:B)</f>
        <v>1-10</v>
      </c>
      <c r="I753" t="str">
        <f>_xlfn.XLOOKUP(A753, OBJETIVO!A:A, OBJETIVO!B:B)</f>
        <v>Consultoria</v>
      </c>
      <c r="J753">
        <f t="shared" si="11"/>
        <v>0</v>
      </c>
    </row>
    <row r="754" spans="1:10" x14ac:dyDescent="0.25">
      <c r="A754">
        <v>11327939</v>
      </c>
      <c r="B754" s="1">
        <v>45699.661192129628</v>
      </c>
      <c r="C754" t="s">
        <v>0</v>
      </c>
      <c r="D754" t="str">
        <f>VLOOKUP(A754,MERCADO!A:B,2,0)</f>
        <v>Varejo</v>
      </c>
      <c r="E754" t="str">
        <f>_xlfn.XLOOKUP(A754, ORIGEM!A:A, ORIGEM!B:B)</f>
        <v>Google</v>
      </c>
      <c r="F754" t="str">
        <f>_xlfn.XLOOKUP(A754, ORIGEM!A:A, ORIGEM!C:C)</f>
        <v>google - cpc</v>
      </c>
      <c r="G754" t="str">
        <f>_xlfn.XLOOKUP(A754, LOCAL!A:A, LOCAL!B:B)</f>
        <v>Curitiba - PR</v>
      </c>
      <c r="H754" t="str">
        <f>_xlfn.XLOOKUP(A754, PORTE!A:A, PORTE!B:B)</f>
        <v>11-50</v>
      </c>
      <c r="I754" t="str">
        <f>_xlfn.XLOOKUP(A754, OBJETIVO!A:A, OBJETIVO!B:B)</f>
        <v>Abertura/Expansão</v>
      </c>
      <c r="J754">
        <f t="shared" si="11"/>
        <v>0</v>
      </c>
    </row>
    <row r="755" spans="1:10" x14ac:dyDescent="0.25">
      <c r="A755">
        <v>11737167</v>
      </c>
      <c r="B755" s="1">
        <v>45739.813518518517</v>
      </c>
      <c r="C755" t="s">
        <v>0</v>
      </c>
      <c r="D755" t="str">
        <f>VLOOKUP(A755,MERCADO!A:B,2,0)</f>
        <v>Varejo</v>
      </c>
      <c r="E755" t="str">
        <f>_xlfn.XLOOKUP(A755, ORIGEM!A:A, ORIGEM!B:B)</f>
        <v>Youtube</v>
      </c>
      <c r="F755" t="str">
        <f>_xlfn.XLOOKUP(A755, ORIGEM!A:A, ORIGEM!C:C)</f>
        <v>youtube - cpc</v>
      </c>
      <c r="G755" t="str">
        <f>_xlfn.XLOOKUP(A755, LOCAL!A:A, LOCAL!B:B)</f>
        <v>Curitiba - PR</v>
      </c>
      <c r="H755" t="str">
        <f>_xlfn.XLOOKUP(A755, PORTE!A:A, PORTE!B:B)</f>
        <v>0</v>
      </c>
      <c r="I755" t="str">
        <f>_xlfn.XLOOKUP(A755, OBJETIVO!A:A, OBJETIVO!B:B)</f>
        <v>Ações de marketing/vendas</v>
      </c>
      <c r="J755">
        <f t="shared" si="11"/>
        <v>0</v>
      </c>
    </row>
    <row r="756" spans="1:10" x14ac:dyDescent="0.25">
      <c r="A756">
        <v>11632926</v>
      </c>
      <c r="B756" s="1">
        <v>45729.862395833334</v>
      </c>
      <c r="C756" t="s">
        <v>0</v>
      </c>
      <c r="D756" t="str">
        <f>VLOOKUP(A756,MERCADO!A:B,2,0)</f>
        <v>Empreendedor</v>
      </c>
      <c r="E756" t="str">
        <f>_xlfn.XLOOKUP(A756, ORIGEM!A:A, ORIGEM!B:B)</f>
        <v>Facebook</v>
      </c>
      <c r="F756" t="str">
        <f>_xlfn.XLOOKUP(A756, ORIGEM!A:A, ORIGEM!C:C)</f>
        <v>facebook - cpc</v>
      </c>
      <c r="G756" t="str">
        <f>_xlfn.XLOOKUP(A756, LOCAL!A:A, LOCAL!B:B)</f>
        <v>Rio de Janeiro - RJ</v>
      </c>
      <c r="H756" t="str">
        <f>_xlfn.XLOOKUP(A756, PORTE!A:A, PORTE!B:B)</f>
        <v>0</v>
      </c>
      <c r="I756" t="str">
        <f>_xlfn.XLOOKUP(A756, OBJETIVO!A:A, OBJETIVO!B:B)</f>
        <v>Geração de leads b2b</v>
      </c>
      <c r="J756">
        <f t="shared" si="11"/>
        <v>0</v>
      </c>
    </row>
    <row r="757" spans="1:10" x14ac:dyDescent="0.25">
      <c r="A757">
        <v>11941801</v>
      </c>
      <c r="B757" s="1">
        <v>45758.766655092593</v>
      </c>
      <c r="C757" t="s">
        <v>0</v>
      </c>
      <c r="D757" t="str">
        <f>VLOOKUP(A757,MERCADO!A:B,2,0)</f>
        <v>Industria</v>
      </c>
      <c r="E757" t="str">
        <f>_xlfn.XLOOKUP(A757, ORIGEM!A:A, ORIGEM!B:B)</f>
        <v>Orgânico</v>
      </c>
      <c r="F757">
        <f>_xlfn.XLOOKUP(A757, ORIGEM!A:A, ORIGEM!C:C)</f>
        <v>0</v>
      </c>
      <c r="G757" t="str">
        <f>_xlfn.XLOOKUP(A757, LOCAL!A:A, LOCAL!B:B)</f>
        <v>São Paulo - SP</v>
      </c>
      <c r="H757" t="str">
        <f>_xlfn.XLOOKUP(A757, PORTE!A:A, PORTE!B:B)</f>
        <v>+ 1000</v>
      </c>
      <c r="I757" t="str">
        <f>_xlfn.XLOOKUP(A757, OBJETIVO!A:A, OBJETIVO!B:B)</f>
        <v>Geração de leads b2b</v>
      </c>
      <c r="J757">
        <f t="shared" si="11"/>
        <v>0</v>
      </c>
    </row>
    <row r="758" spans="1:10" x14ac:dyDescent="0.25">
      <c r="A758">
        <v>11215699</v>
      </c>
      <c r="B758" s="1">
        <v>45690.296122685184</v>
      </c>
      <c r="C758" t="s">
        <v>0</v>
      </c>
      <c r="D758" t="str">
        <f>VLOOKUP(A758,MERCADO!A:B,2,0)</f>
        <v>Varejo</v>
      </c>
      <c r="E758" t="str">
        <f>_xlfn.XLOOKUP(A758, ORIGEM!A:A, ORIGEM!B:B)</f>
        <v>rep</v>
      </c>
      <c r="F758" t="str">
        <f>_xlfn.XLOOKUP(A758, ORIGEM!A:A, ORIGEM!C:C)</f>
        <v>rep - ximena-cubillos</v>
      </c>
      <c r="G758" t="str">
        <f>_xlfn.XLOOKUP(A758, LOCAL!A:A, LOCAL!B:B)</f>
        <v>Niterói - RJ</v>
      </c>
      <c r="H758" t="str">
        <f>_xlfn.XLOOKUP(A758, PORTE!A:A, PORTE!B:B)</f>
        <v>51-300</v>
      </c>
      <c r="I758" t="str">
        <f>_xlfn.XLOOKUP(A758, OBJETIVO!A:A, OBJETIVO!B:B)</f>
        <v>Consultoria</v>
      </c>
      <c r="J758">
        <f t="shared" si="11"/>
        <v>0</v>
      </c>
    </row>
    <row r="759" spans="1:10" x14ac:dyDescent="0.25">
      <c r="A759">
        <v>10816822</v>
      </c>
      <c r="B759" s="1">
        <v>45652.158067129632</v>
      </c>
      <c r="C759" t="s">
        <v>0</v>
      </c>
      <c r="D759" t="str">
        <f>VLOOKUP(A759,MERCADO!A:B,2,0)</f>
        <v>Varejo</v>
      </c>
      <c r="E759" t="str">
        <f>_xlfn.XLOOKUP(A759, ORIGEM!A:A, ORIGEM!B:B)</f>
        <v>Orgânico</v>
      </c>
      <c r="F759">
        <f>_xlfn.XLOOKUP(A759, ORIGEM!A:A, ORIGEM!C:C)</f>
        <v>0</v>
      </c>
      <c r="G759" t="str">
        <f>_xlfn.XLOOKUP(A759, LOCAL!A:A, LOCAL!B:B)</f>
        <v>Duque de Caxias - RJ</v>
      </c>
      <c r="H759" t="str">
        <f>_xlfn.XLOOKUP(A759, PORTE!A:A, PORTE!B:B)</f>
        <v>0</v>
      </c>
      <c r="I759" t="str">
        <f>_xlfn.XLOOKUP(A759, OBJETIVO!A:A, OBJETIVO!B:B)</f>
        <v>Abertura/Expansão</v>
      </c>
      <c r="J759">
        <f t="shared" si="11"/>
        <v>0</v>
      </c>
    </row>
    <row r="760" spans="1:10" x14ac:dyDescent="0.25">
      <c r="A760">
        <v>10821010</v>
      </c>
      <c r="B760" s="1">
        <v>45654.405960648146</v>
      </c>
      <c r="C760" t="s">
        <v>0</v>
      </c>
      <c r="D760" t="str">
        <f>VLOOKUP(A760,MERCADO!A:B,2,0)</f>
        <v>Servicos</v>
      </c>
      <c r="E760" t="str">
        <f>_xlfn.XLOOKUP(A760, ORIGEM!A:A, ORIGEM!B:B)</f>
        <v>Orgânico</v>
      </c>
      <c r="F760">
        <f>_xlfn.XLOOKUP(A760, ORIGEM!A:A, ORIGEM!C:C)</f>
        <v>0</v>
      </c>
      <c r="G760" t="str">
        <f>_xlfn.XLOOKUP(A760, LOCAL!A:A, LOCAL!B:B)</f>
        <v>Duque de Caxias - RJ</v>
      </c>
      <c r="H760" t="str">
        <f>_xlfn.XLOOKUP(A760, PORTE!A:A, PORTE!B:B)</f>
        <v>1-10</v>
      </c>
      <c r="I760" t="str">
        <f>_xlfn.XLOOKUP(A760, OBJETIVO!A:A, OBJETIVO!B:B)</f>
        <v>Abertura/Expansão</v>
      </c>
      <c r="J760">
        <f t="shared" si="11"/>
        <v>0</v>
      </c>
    </row>
    <row r="761" spans="1:10" x14ac:dyDescent="0.25">
      <c r="A761">
        <v>11037348</v>
      </c>
      <c r="B761" s="1">
        <v>45676.535150462965</v>
      </c>
      <c r="C761" t="s">
        <v>0</v>
      </c>
      <c r="D761" t="str">
        <f>VLOOKUP(A761,MERCADO!A:B,2,0)</f>
        <v>Servicos</v>
      </c>
      <c r="E761" t="str">
        <f>_xlfn.XLOOKUP(A761, ORIGEM!A:A, ORIGEM!B:B)</f>
        <v>Google</v>
      </c>
      <c r="F761" t="str">
        <f>_xlfn.XLOOKUP(A761, ORIGEM!A:A, ORIGEM!C:C)</f>
        <v>google - cpc</v>
      </c>
      <c r="G761" t="str">
        <f>_xlfn.XLOOKUP(A761, LOCAL!A:A, LOCAL!B:B)</f>
        <v>Rio de Janeiro - RJ</v>
      </c>
      <c r="H761" t="str">
        <f>_xlfn.XLOOKUP(A761, PORTE!A:A, PORTE!B:B)</f>
        <v>1-10</v>
      </c>
      <c r="I761" t="str">
        <f>_xlfn.XLOOKUP(A761, OBJETIVO!A:A, OBJETIVO!B:B)</f>
        <v>Geração de leads b2b</v>
      </c>
      <c r="J761">
        <f t="shared" si="11"/>
        <v>0</v>
      </c>
    </row>
    <row r="762" spans="1:10" x14ac:dyDescent="0.25">
      <c r="A762">
        <v>10823699</v>
      </c>
      <c r="B762" s="1">
        <v>45654.584629629629</v>
      </c>
      <c r="C762" t="s">
        <v>0</v>
      </c>
      <c r="D762" t="str">
        <f>VLOOKUP(A762,MERCADO!A:B,2,0)</f>
        <v>Servicos</v>
      </c>
      <c r="E762" t="str">
        <f>_xlfn.XLOOKUP(A762, ORIGEM!A:A, ORIGEM!B:B)</f>
        <v>Google</v>
      </c>
      <c r="F762" t="str">
        <f>_xlfn.XLOOKUP(A762, ORIGEM!A:A, ORIGEM!C:C)</f>
        <v>google - cpc</v>
      </c>
      <c r="G762" t="str">
        <f>_xlfn.XLOOKUP(A762, LOCAL!A:A, LOCAL!B:B)</f>
        <v>Rio de Janeiro - RJ</v>
      </c>
      <c r="H762" t="str">
        <f>_xlfn.XLOOKUP(A762, PORTE!A:A, PORTE!B:B)</f>
        <v>1-10</v>
      </c>
      <c r="I762" t="str">
        <f>_xlfn.XLOOKUP(A762, OBJETIVO!A:A, OBJETIVO!B:B)</f>
        <v>Ações de marketing/vendas</v>
      </c>
      <c r="J762">
        <f t="shared" si="11"/>
        <v>0</v>
      </c>
    </row>
    <row r="763" spans="1:10" x14ac:dyDescent="0.25">
      <c r="A763">
        <v>10852630</v>
      </c>
      <c r="B763" s="1">
        <v>45660.588379629633</v>
      </c>
      <c r="C763" t="s">
        <v>0</v>
      </c>
      <c r="D763" t="str">
        <f>VLOOKUP(A763,MERCADO!A:B,2,0)</f>
        <v>Servicos</v>
      </c>
      <c r="E763" t="str">
        <f>_xlfn.XLOOKUP(A763, ORIGEM!A:A, ORIGEM!B:B)</f>
        <v>Google</v>
      </c>
      <c r="F763" t="str">
        <f>_xlfn.XLOOKUP(A763, ORIGEM!A:A, ORIGEM!C:C)</f>
        <v>google - cpc</v>
      </c>
      <c r="G763" t="str">
        <f>_xlfn.XLOOKUP(A763, LOCAL!A:A, LOCAL!B:B)</f>
        <v>Rio de Janeiro - RJ</v>
      </c>
      <c r="H763" t="str">
        <f>_xlfn.XLOOKUP(A763, PORTE!A:A, PORTE!B:B)</f>
        <v>11-50</v>
      </c>
      <c r="I763" t="str">
        <f>_xlfn.XLOOKUP(A763, OBJETIVO!A:A, OBJETIVO!B:B)</f>
        <v>Planejamento estratégico</v>
      </c>
      <c r="J763">
        <f t="shared" si="11"/>
        <v>0</v>
      </c>
    </row>
    <row r="764" spans="1:10" x14ac:dyDescent="0.25">
      <c r="A764">
        <v>10973177</v>
      </c>
      <c r="B764" s="1">
        <v>45671.403981481482</v>
      </c>
      <c r="C764" t="s">
        <v>0</v>
      </c>
      <c r="D764" t="str">
        <f>VLOOKUP(A764,MERCADO!A:B,2,0)</f>
        <v>Servicos</v>
      </c>
      <c r="E764" t="str">
        <f>_xlfn.XLOOKUP(A764, ORIGEM!A:A, ORIGEM!B:B)</f>
        <v>email</v>
      </c>
      <c r="F764" t="str">
        <f>_xlfn.XLOOKUP(A764, ORIGEM!A:A, ORIGEM!C:C)</f>
        <v>email - economapas</v>
      </c>
      <c r="G764" t="str">
        <f>_xlfn.XLOOKUP(A764, LOCAL!A:A, LOCAL!B:B)</f>
        <v>Rio de Janeiro, RJ</v>
      </c>
      <c r="H764" t="str">
        <f>_xlfn.XLOOKUP(A764, PORTE!A:A, PORTE!B:B)</f>
        <v>1-10</v>
      </c>
      <c r="I764" t="str">
        <f>_xlfn.XLOOKUP(A764, OBJETIVO!A:A, OBJETIVO!B:B)</f>
        <v>Planejamento estratégico</v>
      </c>
      <c r="J764">
        <f t="shared" si="11"/>
        <v>0</v>
      </c>
    </row>
    <row r="765" spans="1:10" x14ac:dyDescent="0.25">
      <c r="A765">
        <v>10638310</v>
      </c>
      <c r="B765" s="1">
        <v>45633.668298611112</v>
      </c>
      <c r="C765" t="s">
        <v>0</v>
      </c>
      <c r="D765" t="str">
        <f>VLOOKUP(A765,MERCADO!A:B,2,0)</f>
        <v>Varejo</v>
      </c>
      <c r="E765" t="str">
        <f>_xlfn.XLOOKUP(A765, ORIGEM!A:A, ORIGEM!B:B)</f>
        <v>Orgânico</v>
      </c>
      <c r="F765">
        <f>_xlfn.XLOOKUP(A765, ORIGEM!A:A, ORIGEM!C:C)</f>
        <v>0</v>
      </c>
      <c r="G765" t="str">
        <f>_xlfn.XLOOKUP(A765, LOCAL!A:A, LOCAL!B:B)</f>
        <v>Cheyenne, WY</v>
      </c>
      <c r="H765" t="str">
        <f>_xlfn.XLOOKUP(A765, PORTE!A:A, PORTE!B:B)</f>
        <v>+ 1000</v>
      </c>
      <c r="I765" t="str">
        <f>_xlfn.XLOOKUP(A765, OBJETIVO!A:A, OBJETIVO!B:B)</f>
        <v>Abertura/Expansão</v>
      </c>
      <c r="J765">
        <f t="shared" si="11"/>
        <v>0</v>
      </c>
    </row>
    <row r="766" spans="1:10" x14ac:dyDescent="0.25">
      <c r="A766">
        <v>11087312</v>
      </c>
      <c r="B766" s="1">
        <v>45679.66615740741</v>
      </c>
      <c r="C766" t="s">
        <v>0</v>
      </c>
      <c r="D766" t="str">
        <f>VLOOKUP(A766,MERCADO!A:B,2,0)</f>
        <v>Varejo</v>
      </c>
      <c r="E766" t="str">
        <f>_xlfn.XLOOKUP(A766, ORIGEM!A:A, ORIGEM!B:B)</f>
        <v>Orgânico</v>
      </c>
      <c r="F766">
        <f>_xlfn.XLOOKUP(A766, ORIGEM!A:A, ORIGEM!C:C)</f>
        <v>0</v>
      </c>
      <c r="G766" t="str">
        <f>_xlfn.XLOOKUP(A766, LOCAL!A:A, LOCAL!B:B)</f>
        <v>Rio de Janeiro - RJ</v>
      </c>
      <c r="H766" t="str">
        <f>_xlfn.XLOOKUP(A766, PORTE!A:A, PORTE!B:B)</f>
        <v>1-10</v>
      </c>
      <c r="I766" t="str">
        <f>_xlfn.XLOOKUP(A766, OBJETIVO!A:A, OBJETIVO!B:B)</f>
        <v>Ações de marketing/vendas</v>
      </c>
      <c r="J766">
        <f t="shared" si="11"/>
        <v>0</v>
      </c>
    </row>
    <row r="767" spans="1:10" x14ac:dyDescent="0.25">
      <c r="A767">
        <v>11307145</v>
      </c>
      <c r="B767" s="1">
        <v>45698.37972222222</v>
      </c>
      <c r="C767" t="s">
        <v>0</v>
      </c>
      <c r="D767" t="str">
        <f>VLOOKUP(A767,MERCADO!A:B,2,0)</f>
        <v>Varejo</v>
      </c>
      <c r="E767" t="str">
        <f>_xlfn.XLOOKUP(A767, ORIGEM!A:A, ORIGEM!B:B)</f>
        <v>Orgânico</v>
      </c>
      <c r="F767">
        <f>_xlfn.XLOOKUP(A767, ORIGEM!A:A, ORIGEM!C:C)</f>
        <v>0</v>
      </c>
      <c r="G767" t="str">
        <f>_xlfn.XLOOKUP(A767, LOCAL!A:A, LOCAL!B:B)</f>
        <v>Itaborai - RJ</v>
      </c>
      <c r="H767" t="str">
        <f>_xlfn.XLOOKUP(A767, PORTE!A:A, PORTE!B:B)</f>
        <v>0</v>
      </c>
      <c r="I767" t="str">
        <f>_xlfn.XLOOKUP(A767, OBJETIVO!A:A, OBJETIVO!B:B)</f>
        <v>Abertura/Expansão</v>
      </c>
      <c r="J767">
        <f t="shared" si="11"/>
        <v>0</v>
      </c>
    </row>
    <row r="768" spans="1:10" x14ac:dyDescent="0.25">
      <c r="A768">
        <v>11831700</v>
      </c>
      <c r="B768" s="1">
        <v>45747.488981481481</v>
      </c>
      <c r="C768" t="s">
        <v>0</v>
      </c>
      <c r="D768" t="str">
        <f>VLOOKUP(A768,MERCADO!A:B,2,0)</f>
        <v>Marketing/Publicidade/Consultoria</v>
      </c>
      <c r="E768" t="str">
        <f>_xlfn.XLOOKUP(A768, ORIGEM!A:A, ORIGEM!B:B)</f>
        <v>Google</v>
      </c>
      <c r="F768" t="str">
        <f>_xlfn.XLOOKUP(A768, ORIGEM!A:A, ORIGEM!C:C)</f>
        <v>google - cpc</v>
      </c>
      <c r="G768" t="str">
        <f>_xlfn.XLOOKUP(A768, LOCAL!A:A, LOCAL!B:B)</f>
        <v>Rio de Janeiro - RJ</v>
      </c>
      <c r="H768" t="str">
        <f>_xlfn.XLOOKUP(A768, PORTE!A:A, PORTE!B:B)</f>
        <v>1-10</v>
      </c>
      <c r="I768" t="str">
        <f>_xlfn.XLOOKUP(A768, OBJETIVO!A:A, OBJETIVO!B:B)</f>
        <v>Geração de leads b2b</v>
      </c>
      <c r="J768">
        <f t="shared" si="11"/>
        <v>0</v>
      </c>
    </row>
    <row r="769" spans="1:10" x14ac:dyDescent="0.25">
      <c r="A769">
        <v>11983924</v>
      </c>
      <c r="B769" s="1">
        <v>45761.495243055557</v>
      </c>
      <c r="C769" t="s">
        <v>0</v>
      </c>
      <c r="D769" t="str">
        <f>VLOOKUP(A769,MERCADO!A:B,2,0)</f>
        <v>Marketing/Publicidade/Consultoria</v>
      </c>
      <c r="E769" t="str">
        <f>_xlfn.XLOOKUP(A769, ORIGEM!A:A, ORIGEM!B:B)</f>
        <v>Bing</v>
      </c>
      <c r="F769" t="str">
        <f>_xlfn.XLOOKUP(A769, ORIGEM!A:A, ORIGEM!C:C)</f>
        <v>bing - cpc</v>
      </c>
      <c r="G769" t="str">
        <f>_xlfn.XLOOKUP(A769, LOCAL!A:A, LOCAL!B:B)</f>
        <v>Rio de Janeiro - RJ</v>
      </c>
      <c r="H769" t="str">
        <f>_xlfn.XLOOKUP(A769, PORTE!A:A, PORTE!B:B)</f>
        <v>0</v>
      </c>
      <c r="I769" t="str">
        <f>_xlfn.XLOOKUP(A769, OBJETIVO!A:A, OBJETIVO!B:B)</f>
        <v>Geração de leads b2b</v>
      </c>
      <c r="J769">
        <f t="shared" si="11"/>
        <v>0</v>
      </c>
    </row>
    <row r="770" spans="1:10" x14ac:dyDescent="0.25">
      <c r="A770">
        <v>11560028</v>
      </c>
      <c r="B770" s="1">
        <v>45723.035312499997</v>
      </c>
      <c r="C770" t="s">
        <v>0</v>
      </c>
      <c r="D770" t="str">
        <f>VLOOKUP(A770,MERCADO!A:B,2,0)</f>
        <v>Marketing/Publicidade/Consultoria</v>
      </c>
      <c r="E770" t="str">
        <f>_xlfn.XLOOKUP(A770, ORIGEM!A:A, ORIGEM!B:B)</f>
        <v>Facebook</v>
      </c>
      <c r="F770" t="str">
        <f>_xlfn.XLOOKUP(A770, ORIGEM!A:A, ORIGEM!C:C)</f>
        <v>facebook - cpc</v>
      </c>
      <c r="G770" t="str">
        <f>_xlfn.XLOOKUP(A770, LOCAL!A:A, LOCAL!B:B)</f>
        <v>Rio de Janeiro - RJ</v>
      </c>
      <c r="H770" t="str">
        <f>_xlfn.XLOOKUP(A770, PORTE!A:A, PORTE!B:B)</f>
        <v>1-10</v>
      </c>
      <c r="I770" t="str">
        <f>_xlfn.XLOOKUP(A770, OBJETIVO!A:A, OBJETIVO!B:B)</f>
        <v>Geração de leads b2b</v>
      </c>
      <c r="J770">
        <f t="shared" si="11"/>
        <v>0</v>
      </c>
    </row>
    <row r="771" spans="1:10" x14ac:dyDescent="0.25">
      <c r="A771">
        <v>11676977</v>
      </c>
      <c r="B771" s="1">
        <v>45733.691990740743</v>
      </c>
      <c r="C771" t="s">
        <v>0</v>
      </c>
      <c r="D771" t="str">
        <f>VLOOKUP(A771,MERCADO!A:B,2,0)</f>
        <v>Industria</v>
      </c>
      <c r="E771" t="str">
        <f>_xlfn.XLOOKUP(A771, ORIGEM!A:A, ORIGEM!B:B)</f>
        <v>Google</v>
      </c>
      <c r="F771">
        <f>_xlfn.XLOOKUP(A771, ORIGEM!A:A, ORIGEM!C:C)</f>
        <v>0</v>
      </c>
      <c r="G771" t="str">
        <f>_xlfn.XLOOKUP(A771, LOCAL!A:A, LOCAL!B:B)</f>
        <v>Rio de Janeiro, RJ</v>
      </c>
      <c r="H771" t="str">
        <f>_xlfn.XLOOKUP(A771, PORTE!A:A, PORTE!B:B)</f>
        <v>1-10</v>
      </c>
      <c r="I771" t="str">
        <f>_xlfn.XLOOKUP(A771, OBJETIVO!A:A, OBJETIVO!B:B)</f>
        <v>Geração de leads b2b</v>
      </c>
      <c r="J771">
        <f t="shared" ref="J771:J834" si="12">IF(C771="SIM",1,0)</f>
        <v>0</v>
      </c>
    </row>
    <row r="772" spans="1:10" x14ac:dyDescent="0.25">
      <c r="A772">
        <v>11425569</v>
      </c>
      <c r="B772" s="1">
        <v>45710.856296296297</v>
      </c>
      <c r="C772" t="s">
        <v>0</v>
      </c>
      <c r="D772" t="str">
        <f>VLOOKUP(A772,MERCADO!A:B,2,0)</f>
        <v>Imobiliaria/Incorporadora/Construtora</v>
      </c>
      <c r="E772" t="str">
        <f>_xlfn.XLOOKUP(A772, ORIGEM!A:A, ORIGEM!B:B)</f>
        <v>Linkedin</v>
      </c>
      <c r="F772" t="str">
        <f>_xlfn.XLOOKUP(A772, ORIGEM!A:A, ORIGEM!C:C)</f>
        <v>linkedin - cpc</v>
      </c>
      <c r="G772" t="str">
        <f>_xlfn.XLOOKUP(A772, LOCAL!A:A, LOCAL!B:B)</f>
        <v>Niterói - RJ</v>
      </c>
      <c r="H772" t="str">
        <f>_xlfn.XLOOKUP(A772, PORTE!A:A, PORTE!B:B)</f>
        <v>1-10</v>
      </c>
      <c r="I772" t="str">
        <f>_xlfn.XLOOKUP(A772, OBJETIVO!A:A, OBJETIVO!B:B)</f>
        <v>Outro</v>
      </c>
      <c r="J772">
        <f t="shared" si="12"/>
        <v>0</v>
      </c>
    </row>
    <row r="773" spans="1:10" x14ac:dyDescent="0.25">
      <c r="A773">
        <v>11719955</v>
      </c>
      <c r="B773" s="1">
        <v>45738.620798611111</v>
      </c>
      <c r="C773" t="s">
        <v>0</v>
      </c>
      <c r="D773" t="str">
        <f>VLOOKUP(A773,MERCADO!A:B,2,0)</f>
        <v>Servicos</v>
      </c>
      <c r="E773" t="str">
        <f>_xlfn.XLOOKUP(A773, ORIGEM!A:A, ORIGEM!B:B)</f>
        <v>Youtube</v>
      </c>
      <c r="F773" t="str">
        <f>_xlfn.XLOOKUP(A773, ORIGEM!A:A, ORIGEM!C:C)</f>
        <v>youtube - social</v>
      </c>
      <c r="G773" t="str">
        <f>_xlfn.XLOOKUP(A773, LOCAL!A:A, LOCAL!B:B)</f>
        <v>Rio de Janeiro - RJ</v>
      </c>
      <c r="H773" t="str">
        <f>_xlfn.XLOOKUP(A773, PORTE!A:A, PORTE!B:B)</f>
        <v>1-10</v>
      </c>
      <c r="I773" t="str">
        <f>_xlfn.XLOOKUP(A773, OBJETIVO!A:A, OBJETIVO!B:B)</f>
        <v>Geração de leads b2b</v>
      </c>
      <c r="J773">
        <f t="shared" si="12"/>
        <v>0</v>
      </c>
    </row>
    <row r="774" spans="1:10" x14ac:dyDescent="0.25">
      <c r="A774">
        <v>11424802</v>
      </c>
      <c r="B774" s="1">
        <v>45710.742581018516</v>
      </c>
      <c r="C774" t="s">
        <v>0</v>
      </c>
      <c r="D774" t="str">
        <f>VLOOKUP(A774,MERCADO!A:B,2,0)</f>
        <v>Servicos</v>
      </c>
      <c r="E774" t="str">
        <f>_xlfn.XLOOKUP(A774, ORIGEM!A:A, ORIGEM!B:B)</f>
        <v>Google</v>
      </c>
      <c r="F774" t="str">
        <f>_xlfn.XLOOKUP(A774, ORIGEM!A:A, ORIGEM!C:C)</f>
        <v>google - cpc</v>
      </c>
      <c r="G774" t="str">
        <f>_xlfn.XLOOKUP(A774, LOCAL!A:A, LOCAL!B:B)</f>
        <v>Niterói - RJ</v>
      </c>
      <c r="H774" t="str">
        <f>_xlfn.XLOOKUP(A774, PORTE!A:A, PORTE!B:B)</f>
        <v>1-10</v>
      </c>
      <c r="I774" t="str">
        <f>_xlfn.XLOOKUP(A774, OBJETIVO!A:A, OBJETIVO!B:B)</f>
        <v>Geração de leads b2b</v>
      </c>
      <c r="J774">
        <f t="shared" si="12"/>
        <v>0</v>
      </c>
    </row>
    <row r="775" spans="1:10" x14ac:dyDescent="0.25">
      <c r="A775">
        <v>11340180</v>
      </c>
      <c r="B775" s="1">
        <v>45700.688472222224</v>
      </c>
      <c r="C775" t="s">
        <v>0</v>
      </c>
      <c r="D775" t="str">
        <f>VLOOKUP(A775,MERCADO!A:B,2,0)</f>
        <v>Servicos</v>
      </c>
      <c r="E775" t="str">
        <f>_xlfn.XLOOKUP(A775, ORIGEM!A:A, ORIGEM!B:B)</f>
        <v>Facebook</v>
      </c>
      <c r="F775" t="str">
        <f>_xlfn.XLOOKUP(A775, ORIGEM!A:A, ORIGEM!C:C)</f>
        <v>facebook - cpc</v>
      </c>
      <c r="G775" t="str">
        <f>_xlfn.XLOOKUP(A775, LOCAL!A:A, LOCAL!B:B)</f>
        <v>São Paulo - SP</v>
      </c>
      <c r="H775" t="str">
        <f>_xlfn.XLOOKUP(A775, PORTE!A:A, PORTE!B:B)</f>
        <v>1-10</v>
      </c>
      <c r="I775" t="str">
        <f>_xlfn.XLOOKUP(A775, OBJETIVO!A:A, OBJETIVO!B:B)</f>
        <v>Consultoria</v>
      </c>
      <c r="J775">
        <f t="shared" si="12"/>
        <v>0</v>
      </c>
    </row>
    <row r="776" spans="1:10" x14ac:dyDescent="0.25">
      <c r="A776">
        <v>11562993</v>
      </c>
      <c r="B776" s="1">
        <v>45724.315428240741</v>
      </c>
      <c r="C776" t="s">
        <v>0</v>
      </c>
      <c r="D776" t="str">
        <f>VLOOKUP(A776,MERCADO!A:B,2,0)</f>
        <v>Servicos</v>
      </c>
      <c r="E776" t="str">
        <f>_xlfn.XLOOKUP(A776, ORIGEM!A:A, ORIGEM!B:B)</f>
        <v>Facebook</v>
      </c>
      <c r="F776" t="str">
        <f>_xlfn.XLOOKUP(A776, ORIGEM!A:A, ORIGEM!C:C)</f>
        <v>facebook - cpc</v>
      </c>
      <c r="G776" t="str">
        <f>_xlfn.XLOOKUP(A776, LOCAL!A:A, LOCAL!B:B)</f>
        <v>Rio de Janeiro - RJ</v>
      </c>
      <c r="H776" t="str">
        <f>_xlfn.XLOOKUP(A776, PORTE!A:A, PORTE!B:B)</f>
        <v>1-10</v>
      </c>
      <c r="I776" t="str">
        <f>_xlfn.XLOOKUP(A776, OBJETIVO!A:A, OBJETIVO!B:B)</f>
        <v>Geração de leads b2b</v>
      </c>
      <c r="J776">
        <f t="shared" si="12"/>
        <v>0</v>
      </c>
    </row>
    <row r="777" spans="1:10" x14ac:dyDescent="0.25">
      <c r="A777">
        <v>11557518</v>
      </c>
      <c r="B777" s="1">
        <v>45721.885439814818</v>
      </c>
      <c r="C777" t="s">
        <v>0</v>
      </c>
      <c r="D777" t="str">
        <f>VLOOKUP(A777,MERCADO!A:B,2,0)</f>
        <v>Servicos</v>
      </c>
      <c r="E777" t="str">
        <f>_xlfn.XLOOKUP(A777, ORIGEM!A:A, ORIGEM!B:B)</f>
        <v>Facebook</v>
      </c>
      <c r="F777" t="str">
        <f>_xlfn.XLOOKUP(A777, ORIGEM!A:A, ORIGEM!C:C)</f>
        <v>facebook - cpc</v>
      </c>
      <c r="G777" t="str">
        <f>_xlfn.XLOOKUP(A777, LOCAL!A:A, LOCAL!B:B)</f>
        <v>Rio de Janeiro - RJ</v>
      </c>
      <c r="H777" t="str">
        <f>_xlfn.XLOOKUP(A777, PORTE!A:A, PORTE!B:B)</f>
        <v>1-10</v>
      </c>
      <c r="I777" t="str">
        <f>_xlfn.XLOOKUP(A777, OBJETIVO!A:A, OBJETIVO!B:B)</f>
        <v>Geração de leads b2b</v>
      </c>
      <c r="J777">
        <f t="shared" si="12"/>
        <v>0</v>
      </c>
    </row>
    <row r="778" spans="1:10" x14ac:dyDescent="0.25">
      <c r="A778">
        <v>10624287</v>
      </c>
      <c r="B778" s="1">
        <v>45632.840300925927</v>
      </c>
      <c r="C778" t="s">
        <v>0</v>
      </c>
      <c r="D778" t="str">
        <f>VLOOKUP(A778,MERCADO!A:B,2,0)</f>
        <v>Tecnologia</v>
      </c>
      <c r="E778" t="str">
        <f>_xlfn.XLOOKUP(A778, ORIGEM!A:A, ORIGEM!B:B)</f>
        <v>Google</v>
      </c>
      <c r="F778" t="str">
        <f>_xlfn.XLOOKUP(A778, ORIGEM!A:A, ORIGEM!C:C)</f>
        <v>google - cpc</v>
      </c>
      <c r="G778" t="str">
        <f>_xlfn.XLOOKUP(A778, LOCAL!A:A, LOCAL!B:B)</f>
        <v>Rio de Janeiro - RJ</v>
      </c>
      <c r="H778" t="str">
        <f>_xlfn.XLOOKUP(A778, PORTE!A:A, PORTE!B:B)</f>
        <v>11-50</v>
      </c>
      <c r="I778" t="str">
        <f>_xlfn.XLOOKUP(A778, OBJETIVO!A:A, OBJETIVO!B:B)</f>
        <v>Ações de marketing/vendas</v>
      </c>
      <c r="J778">
        <f t="shared" si="12"/>
        <v>0</v>
      </c>
    </row>
    <row r="779" spans="1:10" x14ac:dyDescent="0.25">
      <c r="A779">
        <v>10630515</v>
      </c>
      <c r="B779" s="1">
        <v>45633.476458333331</v>
      </c>
      <c r="C779" t="s">
        <v>0</v>
      </c>
      <c r="D779" t="str">
        <f>VLOOKUP(A779,MERCADO!A:B,2,0)</f>
        <v>Tecnologia</v>
      </c>
      <c r="E779" t="str">
        <f>_xlfn.XLOOKUP(A779, ORIGEM!A:A, ORIGEM!B:B)</f>
        <v>Google</v>
      </c>
      <c r="F779" t="str">
        <f>_xlfn.XLOOKUP(A779, ORIGEM!A:A, ORIGEM!C:C)</f>
        <v>google - cpc</v>
      </c>
      <c r="G779" t="str">
        <f>_xlfn.XLOOKUP(A779, LOCAL!A:A, LOCAL!B:B)</f>
        <v>São Paulo - SP</v>
      </c>
      <c r="H779" t="str">
        <f>_xlfn.XLOOKUP(A779, PORTE!A:A, PORTE!B:B)</f>
        <v>11-50</v>
      </c>
      <c r="I779" t="str">
        <f>_xlfn.XLOOKUP(A779, OBJETIVO!A:A, OBJETIVO!B:B)</f>
        <v>Abertura/Expansão</v>
      </c>
      <c r="J779">
        <f t="shared" si="12"/>
        <v>0</v>
      </c>
    </row>
    <row r="780" spans="1:10" x14ac:dyDescent="0.25">
      <c r="A780">
        <v>10977553</v>
      </c>
      <c r="B780" s="1">
        <v>45671.496238425927</v>
      </c>
      <c r="C780" t="s">
        <v>0</v>
      </c>
      <c r="D780" t="str">
        <f>VLOOKUP(A780,MERCADO!A:B,2,0)</f>
        <v>Tecnologia</v>
      </c>
      <c r="E780" t="str">
        <f>_xlfn.XLOOKUP(A780, ORIGEM!A:A, ORIGEM!B:B)</f>
        <v>Google</v>
      </c>
      <c r="F780" t="str">
        <f>_xlfn.XLOOKUP(A780, ORIGEM!A:A, ORIGEM!C:C)</f>
        <v>google - cpc</v>
      </c>
      <c r="G780" t="str">
        <f>_xlfn.XLOOKUP(A780, LOCAL!A:A, LOCAL!B:B)</f>
        <v>Vitória - ES</v>
      </c>
      <c r="H780" t="str">
        <f>_xlfn.XLOOKUP(A780, PORTE!A:A, PORTE!B:B)</f>
        <v>1-10</v>
      </c>
      <c r="I780" t="str">
        <f>_xlfn.XLOOKUP(A780, OBJETIVO!A:A, OBJETIVO!B:B)</f>
        <v>Ações de marketing/vendas</v>
      </c>
      <c r="J780">
        <f t="shared" si="12"/>
        <v>0</v>
      </c>
    </row>
    <row r="781" spans="1:10" x14ac:dyDescent="0.25">
      <c r="A781">
        <v>11996368</v>
      </c>
      <c r="B781" s="1">
        <v>45762.412187499998</v>
      </c>
      <c r="C781" t="s">
        <v>0</v>
      </c>
      <c r="D781" t="str">
        <f>VLOOKUP(A781,MERCADO!A:B,2,0)</f>
        <v>Marketing/Publicidade/Consultoria</v>
      </c>
      <c r="E781" t="str">
        <f>_xlfn.XLOOKUP(A781, ORIGEM!A:A, ORIGEM!B:B)</f>
        <v>Google</v>
      </c>
      <c r="F781" t="str">
        <f>_xlfn.XLOOKUP(A781, ORIGEM!A:A, ORIGEM!C:C)</f>
        <v>google - cpc</v>
      </c>
      <c r="G781" t="str">
        <f>_xlfn.XLOOKUP(A781, LOCAL!A:A, LOCAL!B:B)</f>
        <v>Rio de Janeiro - RJ</v>
      </c>
      <c r="H781" t="str">
        <f>_xlfn.XLOOKUP(A781, PORTE!A:A, PORTE!B:B)</f>
        <v>11-50</v>
      </c>
      <c r="I781" t="str">
        <f>_xlfn.XLOOKUP(A781, OBJETIVO!A:A, OBJETIVO!B:B)</f>
        <v>Consultoria</v>
      </c>
      <c r="J781">
        <f t="shared" si="12"/>
        <v>0</v>
      </c>
    </row>
    <row r="782" spans="1:10" x14ac:dyDescent="0.25">
      <c r="A782">
        <v>11703261</v>
      </c>
      <c r="B782" s="1">
        <v>45735.709085648145</v>
      </c>
      <c r="C782" t="s">
        <v>0</v>
      </c>
      <c r="D782" t="str">
        <f>VLOOKUP(A782,MERCADO!A:B,2,0)</f>
        <v>Imobiliaria/Incorporadora/Construtora</v>
      </c>
      <c r="E782" t="str">
        <f>_xlfn.XLOOKUP(A782, ORIGEM!A:A, ORIGEM!B:B)</f>
        <v>Google</v>
      </c>
      <c r="F782" t="str">
        <f>_xlfn.XLOOKUP(A782, ORIGEM!A:A, ORIGEM!C:C)</f>
        <v>google - cpc</v>
      </c>
      <c r="G782" t="str">
        <f>_xlfn.XLOOKUP(A782, LOCAL!A:A, LOCAL!B:B)</f>
        <v>Rio de Janeiro - RJ</v>
      </c>
      <c r="H782" t="str">
        <f>_xlfn.XLOOKUP(A782, PORTE!A:A, PORTE!B:B)</f>
        <v>1-10</v>
      </c>
      <c r="I782" t="str">
        <f>_xlfn.XLOOKUP(A782, OBJETIVO!A:A, OBJETIVO!B:B)</f>
        <v>Consultoria</v>
      </c>
      <c r="J782">
        <f t="shared" si="12"/>
        <v>0</v>
      </c>
    </row>
    <row r="783" spans="1:10" x14ac:dyDescent="0.25">
      <c r="A783">
        <v>10757007</v>
      </c>
      <c r="B783" s="1">
        <v>45643.521585648145</v>
      </c>
      <c r="C783" t="s">
        <v>0</v>
      </c>
      <c r="D783" t="str">
        <f>VLOOKUP(A783,MERCADO!A:B,2,0)</f>
        <v>Imobiliaria/Incorporadora/Construtora</v>
      </c>
      <c r="E783" t="str">
        <f>_xlfn.XLOOKUP(A783, ORIGEM!A:A, ORIGEM!B:B)</f>
        <v>Google</v>
      </c>
      <c r="F783" t="str">
        <f>_xlfn.XLOOKUP(A783, ORIGEM!A:A, ORIGEM!C:C)</f>
        <v>google - cpc</v>
      </c>
      <c r="G783" t="str">
        <f>_xlfn.XLOOKUP(A783, LOCAL!A:A, LOCAL!B:B)</f>
        <v>Teresina - PI</v>
      </c>
      <c r="H783" t="str">
        <f>_xlfn.XLOOKUP(A783, PORTE!A:A, PORTE!B:B)</f>
        <v>11-50</v>
      </c>
      <c r="I783" t="str">
        <f>_xlfn.XLOOKUP(A783, OBJETIVO!A:A, OBJETIVO!B:B)</f>
        <v>Planejamento estratégico</v>
      </c>
      <c r="J783">
        <f t="shared" si="12"/>
        <v>0</v>
      </c>
    </row>
    <row r="784" spans="1:10" x14ac:dyDescent="0.25">
      <c r="A784">
        <v>11419493</v>
      </c>
      <c r="B784" s="1">
        <v>45710.512638888889</v>
      </c>
      <c r="C784" t="s">
        <v>0</v>
      </c>
      <c r="D784" t="str">
        <f>VLOOKUP(A784,MERCADO!A:B,2,0)</f>
        <v>Marketing/Publicidade/Consultoria</v>
      </c>
      <c r="E784" t="str">
        <f>_xlfn.XLOOKUP(A784, ORIGEM!A:A, ORIGEM!B:B)</f>
        <v>Leads</v>
      </c>
      <c r="F784" t="str">
        <f>_xlfn.XLOOKUP(A784, ORIGEM!A:A, ORIGEM!C:C)</f>
        <v>leads - email</v>
      </c>
      <c r="G784" t="str">
        <f>_xlfn.XLOOKUP(A784, LOCAL!A:A, LOCAL!B:B)</f>
        <v>Salvador - BA</v>
      </c>
      <c r="H784" t="str">
        <f>_xlfn.XLOOKUP(A784, PORTE!A:A, PORTE!B:B)</f>
        <v>0</v>
      </c>
      <c r="I784" t="str">
        <f>_xlfn.XLOOKUP(A784, OBJETIVO!A:A, OBJETIVO!B:B)</f>
        <v>Consultoria</v>
      </c>
      <c r="J784">
        <f t="shared" si="12"/>
        <v>0</v>
      </c>
    </row>
    <row r="785" spans="1:10" x14ac:dyDescent="0.25">
      <c r="A785">
        <v>11426562</v>
      </c>
      <c r="B785" s="1">
        <v>45710.948958333334</v>
      </c>
      <c r="C785" t="s">
        <v>0</v>
      </c>
      <c r="D785" t="str">
        <f>VLOOKUP(A785,MERCADO!A:B,2,0)</f>
        <v>Marketing/Publicidade/Consultoria</v>
      </c>
      <c r="E785" t="str">
        <f>_xlfn.XLOOKUP(A785, ORIGEM!A:A, ORIGEM!B:B)</f>
        <v>Leads</v>
      </c>
      <c r="F785" t="str">
        <f>_xlfn.XLOOKUP(A785, ORIGEM!A:A, ORIGEM!C:C)</f>
        <v>leads - email</v>
      </c>
      <c r="G785" t="str">
        <f>_xlfn.XLOOKUP(A785, LOCAL!A:A, LOCAL!B:B)</f>
        <v>Itauna - MG</v>
      </c>
      <c r="H785" t="str">
        <f>_xlfn.XLOOKUP(A785, PORTE!A:A, PORTE!B:B)</f>
        <v>0</v>
      </c>
      <c r="I785" t="str">
        <f>_xlfn.XLOOKUP(A785, OBJETIVO!A:A, OBJETIVO!B:B)</f>
        <v>Geração de leads b2b</v>
      </c>
      <c r="J785">
        <f t="shared" si="12"/>
        <v>0</v>
      </c>
    </row>
    <row r="786" spans="1:10" x14ac:dyDescent="0.25">
      <c r="A786">
        <v>11445400</v>
      </c>
      <c r="B786" s="1">
        <v>45712.467141203706</v>
      </c>
      <c r="C786" t="s">
        <v>0</v>
      </c>
      <c r="D786" t="str">
        <f>VLOOKUP(A786,MERCADO!A:B,2,0)</f>
        <v>Marketing/Publicidade/Consultoria</v>
      </c>
      <c r="E786" t="str">
        <f>_xlfn.XLOOKUP(A786, ORIGEM!A:A, ORIGEM!B:B)</f>
        <v>Leads</v>
      </c>
      <c r="F786" t="str">
        <f>_xlfn.XLOOKUP(A786, ORIGEM!A:A, ORIGEM!C:C)</f>
        <v>leads - email</v>
      </c>
      <c r="G786" t="str">
        <f>_xlfn.XLOOKUP(A786, LOCAL!A:A, LOCAL!B:B)</f>
        <v>Curitiba - PR</v>
      </c>
      <c r="H786" t="str">
        <f>_xlfn.XLOOKUP(A786, PORTE!A:A, PORTE!B:B)</f>
        <v>1-10</v>
      </c>
      <c r="I786" t="str">
        <f>_xlfn.XLOOKUP(A786, OBJETIVO!A:A, OBJETIVO!B:B)</f>
        <v>Consultoria</v>
      </c>
      <c r="J786">
        <f t="shared" si="12"/>
        <v>0</v>
      </c>
    </row>
    <row r="787" spans="1:10" x14ac:dyDescent="0.25">
      <c r="A787">
        <v>11602153</v>
      </c>
      <c r="B787" s="1">
        <v>45726.648217592592</v>
      </c>
      <c r="C787" t="s">
        <v>0</v>
      </c>
      <c r="D787" t="str">
        <f>VLOOKUP(A787,MERCADO!A:B,2,0)</f>
        <v>Marketing/Publicidade/Consultoria</v>
      </c>
      <c r="E787" t="str">
        <f>_xlfn.XLOOKUP(A787, ORIGEM!A:A, ORIGEM!B:B)</f>
        <v>Leads</v>
      </c>
      <c r="F787" t="str">
        <f>_xlfn.XLOOKUP(A787, ORIGEM!A:A, ORIGEM!C:C)</f>
        <v>leads - email</v>
      </c>
      <c r="G787" t="str">
        <f>_xlfn.XLOOKUP(A787, LOCAL!A:A, LOCAL!B:B)</f>
        <v>Rio Negrinho - SC</v>
      </c>
      <c r="H787" t="str">
        <f>_xlfn.XLOOKUP(A787, PORTE!A:A, PORTE!B:B)</f>
        <v>0</v>
      </c>
      <c r="I787" t="str">
        <f>_xlfn.XLOOKUP(A787, OBJETIVO!A:A, OBJETIVO!B:B)</f>
        <v>Ações de marketing/vendas</v>
      </c>
      <c r="J787">
        <f t="shared" si="12"/>
        <v>0</v>
      </c>
    </row>
    <row r="788" spans="1:10" x14ac:dyDescent="0.25">
      <c r="A788">
        <v>11557701</v>
      </c>
      <c r="B788" s="1">
        <v>45721.934745370374</v>
      </c>
      <c r="C788" t="s">
        <v>0</v>
      </c>
      <c r="D788" t="str">
        <f>VLOOKUP(A788,MERCADO!A:B,2,0)</f>
        <v>Industria</v>
      </c>
      <c r="E788" t="str">
        <f>_xlfn.XLOOKUP(A788, ORIGEM!A:A, ORIGEM!B:B)</f>
        <v>Leads</v>
      </c>
      <c r="F788" t="str">
        <f>_xlfn.XLOOKUP(A788, ORIGEM!A:A, ORIGEM!C:C)</f>
        <v>leads - email</v>
      </c>
      <c r="G788" t="str">
        <f>_xlfn.XLOOKUP(A788, LOCAL!A:A, LOCAL!B:B)</f>
        <v>Brasília - DF</v>
      </c>
      <c r="H788" t="str">
        <f>_xlfn.XLOOKUP(A788, PORTE!A:A, PORTE!B:B)</f>
        <v>1-10</v>
      </c>
      <c r="I788" t="str">
        <f>_xlfn.XLOOKUP(A788, OBJETIVO!A:A, OBJETIVO!B:B)</f>
        <v>Outro</v>
      </c>
      <c r="J788">
        <f t="shared" si="12"/>
        <v>0</v>
      </c>
    </row>
    <row r="789" spans="1:10" x14ac:dyDescent="0.25">
      <c r="A789">
        <v>11283789</v>
      </c>
      <c r="B789" s="1">
        <v>45696.636550925927</v>
      </c>
      <c r="C789" t="s">
        <v>0</v>
      </c>
      <c r="D789" t="str">
        <f>VLOOKUP(A789,MERCADO!A:B,2,0)</f>
        <v>Industria</v>
      </c>
      <c r="E789" t="str">
        <f>_xlfn.XLOOKUP(A789, ORIGEM!A:A, ORIGEM!B:B)</f>
        <v>Leads</v>
      </c>
      <c r="F789" t="str">
        <f>_xlfn.XLOOKUP(A789, ORIGEM!A:A, ORIGEM!C:C)</f>
        <v>leads - email</v>
      </c>
      <c r="G789" t="str">
        <f>_xlfn.XLOOKUP(A789, LOCAL!A:A, LOCAL!B:B)</f>
        <v>Limeira - SP</v>
      </c>
      <c r="H789" t="str">
        <f>_xlfn.XLOOKUP(A789, PORTE!A:A, PORTE!B:B)</f>
        <v>1-10</v>
      </c>
      <c r="I789" t="str">
        <f>_xlfn.XLOOKUP(A789, OBJETIVO!A:A, OBJETIVO!B:B)</f>
        <v>Ações de marketing/vendas</v>
      </c>
      <c r="J789">
        <f t="shared" si="12"/>
        <v>0</v>
      </c>
    </row>
    <row r="790" spans="1:10" x14ac:dyDescent="0.25">
      <c r="A790">
        <v>11488783</v>
      </c>
      <c r="B790" s="1">
        <v>45717.440381944441</v>
      </c>
      <c r="C790" t="s">
        <v>0</v>
      </c>
      <c r="D790" t="str">
        <f>VLOOKUP(A790,MERCADO!A:B,2,0)</f>
        <v>Industria</v>
      </c>
      <c r="E790" t="str">
        <f>_xlfn.XLOOKUP(A790, ORIGEM!A:A, ORIGEM!B:B)</f>
        <v>Youtube</v>
      </c>
      <c r="F790" t="str">
        <f>_xlfn.XLOOKUP(A790, ORIGEM!A:A, ORIGEM!C:C)</f>
        <v>youtube - cpc</v>
      </c>
      <c r="G790" t="str">
        <f>_xlfn.XLOOKUP(A790, LOCAL!A:A, LOCAL!B:B)</f>
        <v>Diadema - SP</v>
      </c>
      <c r="H790" t="str">
        <f>_xlfn.XLOOKUP(A790, PORTE!A:A, PORTE!B:B)</f>
        <v>1-10</v>
      </c>
      <c r="I790" t="str">
        <f>_xlfn.XLOOKUP(A790, OBJETIVO!A:A, OBJETIVO!B:B)</f>
        <v>Planejamento estratégico</v>
      </c>
      <c r="J790">
        <f t="shared" si="12"/>
        <v>0</v>
      </c>
    </row>
    <row r="791" spans="1:10" x14ac:dyDescent="0.25">
      <c r="A791">
        <v>11698506</v>
      </c>
      <c r="B791" s="1">
        <v>45735.523217592592</v>
      </c>
      <c r="C791" t="s">
        <v>0</v>
      </c>
      <c r="D791" t="str">
        <f>VLOOKUP(A791,MERCADO!A:B,2,0)</f>
        <v>Marketing/Publicidade/Consultoria</v>
      </c>
      <c r="E791" t="str">
        <f>_xlfn.XLOOKUP(A791, ORIGEM!A:A, ORIGEM!B:B)</f>
        <v>Youtube</v>
      </c>
      <c r="F791" t="str">
        <f>_xlfn.XLOOKUP(A791, ORIGEM!A:A, ORIGEM!C:C)</f>
        <v>youtube - social</v>
      </c>
      <c r="G791" t="str">
        <f>_xlfn.XLOOKUP(A791, LOCAL!A:A, LOCAL!B:B)</f>
        <v>Guaruja - SP</v>
      </c>
      <c r="H791" t="str">
        <f>_xlfn.XLOOKUP(A791, PORTE!A:A, PORTE!B:B)</f>
        <v>1-10</v>
      </c>
      <c r="I791" t="str">
        <f>_xlfn.XLOOKUP(A791, OBJETIVO!A:A, OBJETIVO!B:B)</f>
        <v>Ações de marketing/vendas</v>
      </c>
      <c r="J791">
        <f t="shared" si="12"/>
        <v>0</v>
      </c>
    </row>
    <row r="792" spans="1:10" x14ac:dyDescent="0.25">
      <c r="A792">
        <v>11709366</v>
      </c>
      <c r="B792" s="1">
        <v>45737.059421296297</v>
      </c>
      <c r="C792" t="s">
        <v>0</v>
      </c>
      <c r="D792" t="str">
        <f>VLOOKUP(A792,MERCADO!A:B,2,0)</f>
        <v>Industria</v>
      </c>
      <c r="E792" t="str">
        <f>_xlfn.XLOOKUP(A792, ORIGEM!A:A, ORIGEM!B:B)</f>
        <v>Youtube</v>
      </c>
      <c r="F792" t="str">
        <f>_xlfn.XLOOKUP(A792, ORIGEM!A:A, ORIGEM!C:C)</f>
        <v>youtube - cpc</v>
      </c>
      <c r="G792" t="str">
        <f>_xlfn.XLOOKUP(A792, LOCAL!A:A, LOCAL!B:B)</f>
        <v>Rio de Janeiro - RJ</v>
      </c>
      <c r="H792" t="str">
        <f>_xlfn.XLOOKUP(A792, PORTE!A:A, PORTE!B:B)</f>
        <v>0</v>
      </c>
      <c r="I792" t="str">
        <f>_xlfn.XLOOKUP(A792, OBJETIVO!A:A, OBJETIVO!B:B)</f>
        <v>Outro</v>
      </c>
      <c r="J792">
        <f t="shared" si="12"/>
        <v>0</v>
      </c>
    </row>
    <row r="793" spans="1:10" x14ac:dyDescent="0.25">
      <c r="A793">
        <v>11212439</v>
      </c>
      <c r="B793" s="1">
        <v>45689.70517361111</v>
      </c>
      <c r="C793" t="s">
        <v>0</v>
      </c>
      <c r="D793" t="str">
        <f>VLOOKUP(A793,MERCADO!A:B,2,0)</f>
        <v>Industria</v>
      </c>
      <c r="E793" t="str">
        <f>_xlfn.XLOOKUP(A793, ORIGEM!A:A, ORIGEM!B:B)</f>
        <v>Bing</v>
      </c>
      <c r="F793" t="str">
        <f>_xlfn.XLOOKUP(A793, ORIGEM!A:A, ORIGEM!C:C)</f>
        <v>bing - cpc</v>
      </c>
      <c r="G793" t="str">
        <f>_xlfn.XLOOKUP(A793, LOCAL!A:A, LOCAL!B:B)</f>
        <v>Lagoão - PR</v>
      </c>
      <c r="H793" t="str">
        <f>_xlfn.XLOOKUP(A793, PORTE!A:A, PORTE!B:B)</f>
        <v>301-1000</v>
      </c>
      <c r="I793" t="str">
        <f>_xlfn.XLOOKUP(A793, OBJETIVO!A:A, OBJETIVO!B:B)</f>
        <v>Ações de marketing/vendas</v>
      </c>
      <c r="J793">
        <f t="shared" si="12"/>
        <v>0</v>
      </c>
    </row>
    <row r="794" spans="1:10" x14ac:dyDescent="0.25">
      <c r="A794">
        <v>11642661</v>
      </c>
      <c r="B794" s="1">
        <v>45731.572326388887</v>
      </c>
      <c r="C794" t="s">
        <v>0</v>
      </c>
      <c r="D794" t="str">
        <f>VLOOKUP(A794,MERCADO!A:B,2,0)</f>
        <v>Industria</v>
      </c>
      <c r="E794" t="str">
        <f>_xlfn.XLOOKUP(A794, ORIGEM!A:A, ORIGEM!B:B)</f>
        <v>Bing</v>
      </c>
      <c r="F794" t="str">
        <f>_xlfn.XLOOKUP(A794, ORIGEM!A:A, ORIGEM!C:C)</f>
        <v>bing - cpc</v>
      </c>
      <c r="G794" t="str">
        <f>_xlfn.XLOOKUP(A794, LOCAL!A:A, LOCAL!B:B)</f>
        <v>Sao Joao Batista - SC</v>
      </c>
      <c r="H794" t="str">
        <f>_xlfn.XLOOKUP(A794, PORTE!A:A, PORTE!B:B)</f>
        <v>1-10</v>
      </c>
      <c r="I794" t="str">
        <f>_xlfn.XLOOKUP(A794, OBJETIVO!A:A, OBJETIVO!B:B)</f>
        <v>Abertura/Expansão</v>
      </c>
      <c r="J794">
        <f t="shared" si="12"/>
        <v>0</v>
      </c>
    </row>
    <row r="795" spans="1:10" x14ac:dyDescent="0.25">
      <c r="A795">
        <v>11743421</v>
      </c>
      <c r="B795" s="1">
        <v>45740.516145833331</v>
      </c>
      <c r="C795" t="s">
        <v>0</v>
      </c>
      <c r="D795" t="str">
        <f>VLOOKUP(A795,MERCADO!A:B,2,0)</f>
        <v>Industria</v>
      </c>
      <c r="E795" t="str">
        <f>_xlfn.XLOOKUP(A795, ORIGEM!A:A, ORIGEM!B:B)</f>
        <v>Bing</v>
      </c>
      <c r="F795" t="str">
        <f>_xlfn.XLOOKUP(A795, ORIGEM!A:A, ORIGEM!C:C)</f>
        <v>bing - cpc</v>
      </c>
      <c r="G795" t="str">
        <f>_xlfn.XLOOKUP(A795, LOCAL!A:A, LOCAL!B:B)</f>
        <v>São Paulo - SP</v>
      </c>
      <c r="H795" t="str">
        <f>_xlfn.XLOOKUP(A795, PORTE!A:A, PORTE!B:B)</f>
        <v>11-50</v>
      </c>
      <c r="I795" t="str">
        <f>_xlfn.XLOOKUP(A795, OBJETIVO!A:A, OBJETIVO!B:B)</f>
        <v>Planejamento estratégico</v>
      </c>
      <c r="J795">
        <f t="shared" si="12"/>
        <v>0</v>
      </c>
    </row>
    <row r="796" spans="1:10" x14ac:dyDescent="0.25">
      <c r="A796">
        <v>11482056</v>
      </c>
      <c r="B796" s="1">
        <v>45715.698136574072</v>
      </c>
      <c r="C796" t="s">
        <v>0</v>
      </c>
      <c r="D796" t="str">
        <f>VLOOKUP(A796,MERCADO!A:B,2,0)</f>
        <v>Industria</v>
      </c>
      <c r="E796" t="str">
        <f>_xlfn.XLOOKUP(A796, ORIGEM!A:A, ORIGEM!B:B)</f>
        <v>Google</v>
      </c>
      <c r="F796" t="str">
        <f>_xlfn.XLOOKUP(A796, ORIGEM!A:A, ORIGEM!C:C)</f>
        <v>google - cpc</v>
      </c>
      <c r="G796" t="str">
        <f>_xlfn.XLOOKUP(A796, LOCAL!A:A, LOCAL!B:B)</f>
        <v>Salvador - BA</v>
      </c>
      <c r="H796" t="str">
        <f>_xlfn.XLOOKUP(A796, PORTE!A:A, PORTE!B:B)</f>
        <v>11-50</v>
      </c>
      <c r="I796" t="str">
        <f>_xlfn.XLOOKUP(A796, OBJETIVO!A:A, OBJETIVO!B:B)</f>
        <v>Ações de marketing/vendas</v>
      </c>
      <c r="J796">
        <f t="shared" si="12"/>
        <v>0</v>
      </c>
    </row>
    <row r="797" spans="1:10" x14ac:dyDescent="0.25">
      <c r="A797">
        <v>11561488</v>
      </c>
      <c r="B797" s="1">
        <v>45723.686851851853</v>
      </c>
      <c r="C797" t="s">
        <v>0</v>
      </c>
      <c r="D797" t="str">
        <f>VLOOKUP(A797,MERCADO!A:B,2,0)</f>
        <v>Industria</v>
      </c>
      <c r="E797" t="str">
        <f>_xlfn.XLOOKUP(A797, ORIGEM!A:A, ORIGEM!B:B)</f>
        <v>Facebook</v>
      </c>
      <c r="F797" t="str">
        <f>_xlfn.XLOOKUP(A797, ORIGEM!A:A, ORIGEM!C:C)</f>
        <v>facebook - cpc</v>
      </c>
      <c r="G797" t="str">
        <f>_xlfn.XLOOKUP(A797, LOCAL!A:A, LOCAL!B:B)</f>
        <v>Teresina - PI</v>
      </c>
      <c r="H797" t="str">
        <f>_xlfn.XLOOKUP(A797, PORTE!A:A, PORTE!B:B)</f>
        <v>1-10</v>
      </c>
      <c r="I797" t="str">
        <f>_xlfn.XLOOKUP(A797, OBJETIVO!A:A, OBJETIVO!B:B)</f>
        <v>Consultoria</v>
      </c>
      <c r="J797">
        <f t="shared" si="12"/>
        <v>0</v>
      </c>
    </row>
    <row r="798" spans="1:10" x14ac:dyDescent="0.25">
      <c r="A798">
        <v>11559549</v>
      </c>
      <c r="B798" s="1">
        <v>45722.803842592592</v>
      </c>
      <c r="C798" t="s">
        <v>0</v>
      </c>
      <c r="D798" t="str">
        <f>VLOOKUP(A798,MERCADO!A:B,2,0)</f>
        <v>Industria</v>
      </c>
      <c r="E798" t="str">
        <f>_xlfn.XLOOKUP(A798, ORIGEM!A:A, ORIGEM!B:B)</f>
        <v>Facebook</v>
      </c>
      <c r="F798" t="str">
        <f>_xlfn.XLOOKUP(A798, ORIGEM!A:A, ORIGEM!C:C)</f>
        <v>facebook - cpc</v>
      </c>
      <c r="G798" t="str">
        <f>_xlfn.XLOOKUP(A798, LOCAL!A:A, LOCAL!B:B)</f>
        <v>São Paulo - SP</v>
      </c>
      <c r="H798" t="str">
        <f>_xlfn.XLOOKUP(A798, PORTE!A:A, PORTE!B:B)</f>
        <v>1-10</v>
      </c>
      <c r="I798" t="str">
        <f>_xlfn.XLOOKUP(A798, OBJETIVO!A:A, OBJETIVO!B:B)</f>
        <v>Geração de leads b2b</v>
      </c>
      <c r="J798">
        <f t="shared" si="12"/>
        <v>0</v>
      </c>
    </row>
    <row r="799" spans="1:10" x14ac:dyDescent="0.25">
      <c r="A799">
        <v>11557319</v>
      </c>
      <c r="B799" s="1">
        <v>45721.847384259258</v>
      </c>
      <c r="C799" t="s">
        <v>0</v>
      </c>
      <c r="D799" t="str">
        <f>VLOOKUP(A799,MERCADO!A:B,2,0)</f>
        <v>Industria</v>
      </c>
      <c r="E799" t="str">
        <f>_xlfn.XLOOKUP(A799, ORIGEM!A:A, ORIGEM!B:B)</f>
        <v>Facebook</v>
      </c>
      <c r="F799" t="str">
        <f>_xlfn.XLOOKUP(A799, ORIGEM!A:A, ORIGEM!C:C)</f>
        <v>facebook - cpc</v>
      </c>
      <c r="G799" t="str">
        <f>_xlfn.XLOOKUP(A799, LOCAL!A:A, LOCAL!B:B)</f>
        <v>Belo Horizonte - MG</v>
      </c>
      <c r="H799" t="str">
        <f>_xlfn.XLOOKUP(A799, PORTE!A:A, PORTE!B:B)</f>
        <v>0</v>
      </c>
      <c r="I799" t="str">
        <f>_xlfn.XLOOKUP(A799, OBJETIVO!A:A, OBJETIVO!B:B)</f>
        <v>Planejamento estratégico</v>
      </c>
      <c r="J799">
        <f t="shared" si="12"/>
        <v>0</v>
      </c>
    </row>
    <row r="800" spans="1:10" x14ac:dyDescent="0.25">
      <c r="A800">
        <v>11557408</v>
      </c>
      <c r="B800" s="1">
        <v>45721.864039351851</v>
      </c>
      <c r="C800" t="s">
        <v>0</v>
      </c>
      <c r="D800" t="str">
        <f>VLOOKUP(A800,MERCADO!A:B,2,0)</f>
        <v>Industria</v>
      </c>
      <c r="E800" t="str">
        <f>_xlfn.XLOOKUP(A800, ORIGEM!A:A, ORIGEM!B:B)</f>
        <v>Facebook</v>
      </c>
      <c r="F800" t="str">
        <f>_xlfn.XLOOKUP(A800, ORIGEM!A:A, ORIGEM!C:C)</f>
        <v>facebook - cpc</v>
      </c>
      <c r="G800" t="str">
        <f>_xlfn.XLOOKUP(A800, LOCAL!A:A, LOCAL!B:B)</f>
        <v>Chapecó - SC</v>
      </c>
      <c r="H800" t="str">
        <f>_xlfn.XLOOKUP(A800, PORTE!A:A, PORTE!B:B)</f>
        <v>0</v>
      </c>
      <c r="I800" t="str">
        <f>_xlfn.XLOOKUP(A800, OBJETIVO!A:A, OBJETIVO!B:B)</f>
        <v>Geração de leads b2b</v>
      </c>
      <c r="J800">
        <f t="shared" si="12"/>
        <v>0</v>
      </c>
    </row>
    <row r="801" spans="1:10" x14ac:dyDescent="0.25">
      <c r="A801">
        <v>11865530</v>
      </c>
      <c r="B801" s="1">
        <v>45752.467245370368</v>
      </c>
      <c r="C801" t="s">
        <v>0</v>
      </c>
      <c r="D801" t="str">
        <f>VLOOKUP(A801,MERCADO!A:B,2,0)</f>
        <v>Industria</v>
      </c>
      <c r="E801" t="str">
        <f>_xlfn.XLOOKUP(A801, ORIGEM!A:A, ORIGEM!B:B)</f>
        <v>email</v>
      </c>
      <c r="F801">
        <f>_xlfn.XLOOKUP(A801, ORIGEM!A:A, ORIGEM!C:C)</f>
        <v>0</v>
      </c>
      <c r="G801" t="str">
        <f>_xlfn.XLOOKUP(A801, LOCAL!A:A, LOCAL!B:B)</f>
        <v>São Paulo</v>
      </c>
      <c r="H801" t="str">
        <f>_xlfn.XLOOKUP(A801, PORTE!A:A, PORTE!B:B)</f>
        <v>11-50</v>
      </c>
      <c r="I801" t="str">
        <f>_xlfn.XLOOKUP(A801, OBJETIVO!A:A, OBJETIVO!B:B)</f>
        <v>Geração de leads b2b</v>
      </c>
      <c r="J801">
        <f t="shared" si="12"/>
        <v>0</v>
      </c>
    </row>
    <row r="802" spans="1:10" x14ac:dyDescent="0.25">
      <c r="A802">
        <v>11114472</v>
      </c>
      <c r="B802" s="1">
        <v>45683.384432870371</v>
      </c>
      <c r="C802" t="s">
        <v>0</v>
      </c>
      <c r="D802" t="str">
        <f>VLOOKUP(A802,MERCADO!A:B,2,0)</f>
        <v>Industria</v>
      </c>
      <c r="E802" t="str">
        <f>_xlfn.XLOOKUP(A802, ORIGEM!A:A, ORIGEM!B:B)</f>
        <v>rep</v>
      </c>
      <c r="F802" t="str">
        <f>_xlfn.XLOOKUP(A802, ORIGEM!A:A, ORIGEM!C:C)</f>
        <v>rep - ximena-cubillos</v>
      </c>
      <c r="G802" t="str">
        <f>_xlfn.XLOOKUP(A802, LOCAL!A:A, LOCAL!B:B)</f>
        <v>Jaraguá do Sul - SC</v>
      </c>
      <c r="H802" t="str">
        <f>_xlfn.XLOOKUP(A802, PORTE!A:A, PORTE!B:B)</f>
        <v>+ 1000</v>
      </c>
      <c r="I802" t="str">
        <f>_xlfn.XLOOKUP(A802, OBJETIVO!A:A, OBJETIVO!B:B)</f>
        <v>Abertura/Expansão</v>
      </c>
      <c r="J802">
        <f t="shared" si="12"/>
        <v>0</v>
      </c>
    </row>
    <row r="803" spans="1:10" x14ac:dyDescent="0.25">
      <c r="A803">
        <v>11469928</v>
      </c>
      <c r="B803" s="1">
        <v>45714.414652777778</v>
      </c>
      <c r="C803" t="s">
        <v>0</v>
      </c>
      <c r="D803" t="str">
        <f>VLOOKUP(A803,MERCADO!A:B,2,0)</f>
        <v>Industria</v>
      </c>
      <c r="E803" t="str">
        <f>_xlfn.XLOOKUP(A803, ORIGEM!A:A, ORIGEM!B:B)</f>
        <v>rep</v>
      </c>
      <c r="F803" t="str">
        <f>_xlfn.XLOOKUP(A803, ORIGEM!A:A, ORIGEM!C:C)</f>
        <v>rep - ximena-cubillos</v>
      </c>
      <c r="G803" t="str">
        <f>_xlfn.XLOOKUP(A803, LOCAL!A:A, LOCAL!B:B)</f>
        <v>Curitiba - PR</v>
      </c>
      <c r="H803" t="str">
        <f>_xlfn.XLOOKUP(A803, PORTE!A:A, PORTE!B:B)</f>
        <v>11-50</v>
      </c>
      <c r="I803" t="str">
        <f>_xlfn.XLOOKUP(A803, OBJETIVO!A:A, OBJETIVO!B:B)</f>
        <v>Geração de leads b2b</v>
      </c>
      <c r="J803">
        <f t="shared" si="12"/>
        <v>0</v>
      </c>
    </row>
    <row r="804" spans="1:10" x14ac:dyDescent="0.25">
      <c r="A804">
        <v>10957709</v>
      </c>
      <c r="B804" s="1">
        <v>45670.410254629627</v>
      </c>
      <c r="C804" t="s">
        <v>0</v>
      </c>
      <c r="D804" t="str">
        <f>VLOOKUP(A804,MERCADO!A:B,2,0)</f>
        <v>Industria</v>
      </c>
      <c r="E804" t="str">
        <f>_xlfn.XLOOKUP(A804, ORIGEM!A:A, ORIGEM!B:B)</f>
        <v>rep</v>
      </c>
      <c r="F804" t="str">
        <f>_xlfn.XLOOKUP(A804, ORIGEM!A:A, ORIGEM!C:C)</f>
        <v>rep - ximena-cubillos</v>
      </c>
      <c r="G804" t="str">
        <f>_xlfn.XLOOKUP(A804, LOCAL!A:A, LOCAL!B:B)</f>
        <v>São José dos Campos - SP</v>
      </c>
      <c r="H804" t="str">
        <f>_xlfn.XLOOKUP(A804, PORTE!A:A, PORTE!B:B)</f>
        <v>11-50</v>
      </c>
      <c r="I804" t="str">
        <f>_xlfn.XLOOKUP(A804, OBJETIVO!A:A, OBJETIVO!B:B)</f>
        <v>Outro</v>
      </c>
      <c r="J804">
        <f t="shared" si="12"/>
        <v>0</v>
      </c>
    </row>
    <row r="805" spans="1:10" x14ac:dyDescent="0.25">
      <c r="A805">
        <v>11387888</v>
      </c>
      <c r="B805" s="1">
        <v>45706.51934027778</v>
      </c>
      <c r="C805" t="s">
        <v>0</v>
      </c>
      <c r="D805" t="str">
        <f>VLOOKUP(A805,MERCADO!A:B,2,0)</f>
        <v>Industria</v>
      </c>
      <c r="E805" t="str">
        <f>_xlfn.XLOOKUP(A805, ORIGEM!A:A, ORIGEM!B:B)</f>
        <v>Facebook</v>
      </c>
      <c r="F805" t="str">
        <f>_xlfn.XLOOKUP(A805, ORIGEM!A:A, ORIGEM!C:C)</f>
        <v>facebook - cpc</v>
      </c>
      <c r="G805" t="str">
        <f>_xlfn.XLOOKUP(A805, LOCAL!A:A, LOCAL!B:B)</f>
        <v>Ararangua - SC</v>
      </c>
      <c r="H805" t="str">
        <f>_xlfn.XLOOKUP(A805, PORTE!A:A, PORTE!B:B)</f>
        <v>11-50</v>
      </c>
      <c r="I805" t="str">
        <f>_xlfn.XLOOKUP(A805, OBJETIVO!A:A, OBJETIVO!B:B)</f>
        <v>Geração de leads b2b</v>
      </c>
      <c r="J805">
        <f t="shared" si="12"/>
        <v>0</v>
      </c>
    </row>
    <row r="806" spans="1:10" x14ac:dyDescent="0.25">
      <c r="A806">
        <v>11381518</v>
      </c>
      <c r="B806" s="1">
        <v>45705.767453703702</v>
      </c>
      <c r="C806" t="s">
        <v>0</v>
      </c>
      <c r="D806" t="str">
        <f>VLOOKUP(A806,MERCADO!A:B,2,0)</f>
        <v>Industria</v>
      </c>
      <c r="E806" t="str">
        <f>_xlfn.XLOOKUP(A806, ORIGEM!A:A, ORIGEM!B:B)</f>
        <v>Facebook</v>
      </c>
      <c r="F806" t="str">
        <f>_xlfn.XLOOKUP(A806, ORIGEM!A:A, ORIGEM!C:C)</f>
        <v>facebook - cpc</v>
      </c>
      <c r="G806" t="str">
        <f>_xlfn.XLOOKUP(A806, LOCAL!A:A, LOCAL!B:B)</f>
        <v>Belo Horizonte - MG</v>
      </c>
      <c r="H806" t="str">
        <f>_xlfn.XLOOKUP(A806, PORTE!A:A, PORTE!B:B)</f>
        <v>1-10</v>
      </c>
      <c r="I806" t="str">
        <f>_xlfn.XLOOKUP(A806, OBJETIVO!A:A, OBJETIVO!B:B)</f>
        <v>Outro</v>
      </c>
      <c r="J806">
        <f t="shared" si="12"/>
        <v>0</v>
      </c>
    </row>
    <row r="807" spans="1:10" x14ac:dyDescent="0.25">
      <c r="A807">
        <v>11787596</v>
      </c>
      <c r="B807" s="1">
        <v>45743.391250000001</v>
      </c>
      <c r="C807" t="s">
        <v>0</v>
      </c>
      <c r="D807" t="str">
        <f>VLOOKUP(A807,MERCADO!A:B,2,0)</f>
        <v>Marketing/Publicidade/Consultoria</v>
      </c>
      <c r="E807" t="str">
        <f>_xlfn.XLOOKUP(A807, ORIGEM!A:A, ORIGEM!B:B)</f>
        <v>Google</v>
      </c>
      <c r="F807" t="str">
        <f>_xlfn.XLOOKUP(A807, ORIGEM!A:A, ORIGEM!C:C)</f>
        <v>google - cpc</v>
      </c>
      <c r="G807" t="str">
        <f>_xlfn.XLOOKUP(A807, LOCAL!A:A, LOCAL!B:B)</f>
        <v>Brasília - DF</v>
      </c>
      <c r="H807" t="str">
        <f>_xlfn.XLOOKUP(A807, PORTE!A:A, PORTE!B:B)</f>
        <v>1-10</v>
      </c>
      <c r="I807" t="str">
        <f>_xlfn.XLOOKUP(A807, OBJETIVO!A:A, OBJETIVO!B:B)</f>
        <v>Consultoria</v>
      </c>
      <c r="J807">
        <f t="shared" si="12"/>
        <v>0</v>
      </c>
    </row>
    <row r="808" spans="1:10" x14ac:dyDescent="0.25">
      <c r="A808">
        <v>11725595</v>
      </c>
      <c r="B808" s="1">
        <v>45738.904282407406</v>
      </c>
      <c r="C808" t="s">
        <v>0</v>
      </c>
      <c r="D808" t="str">
        <f>VLOOKUP(A808,MERCADO!A:B,2,0)</f>
        <v>Marketing/Publicidade/Consultoria</v>
      </c>
      <c r="E808" t="str">
        <f>_xlfn.XLOOKUP(A808, ORIGEM!A:A, ORIGEM!B:B)</f>
        <v>Google</v>
      </c>
      <c r="F808" t="str">
        <f>_xlfn.XLOOKUP(A808, ORIGEM!A:A, ORIGEM!C:C)</f>
        <v>google - cpc</v>
      </c>
      <c r="G808" t="str">
        <f>_xlfn.XLOOKUP(A808, LOCAL!A:A, LOCAL!B:B)</f>
        <v>Jacareí - SP</v>
      </c>
      <c r="H808" t="str">
        <f>_xlfn.XLOOKUP(A808, PORTE!A:A, PORTE!B:B)</f>
        <v>0</v>
      </c>
      <c r="I808" t="str">
        <f>_xlfn.XLOOKUP(A808, OBJETIVO!A:A, OBJETIVO!B:B)</f>
        <v>Geração de leads b2b</v>
      </c>
      <c r="J808">
        <f t="shared" si="12"/>
        <v>0</v>
      </c>
    </row>
    <row r="809" spans="1:10" x14ac:dyDescent="0.25">
      <c r="A809">
        <v>11881003</v>
      </c>
      <c r="B809" s="1">
        <v>45753.516736111109</v>
      </c>
      <c r="C809" t="s">
        <v>0</v>
      </c>
      <c r="D809" t="str">
        <f>VLOOKUP(A809,MERCADO!A:B,2,0)</f>
        <v>Marketing/Publicidade/Consultoria</v>
      </c>
      <c r="E809" t="str">
        <f>_xlfn.XLOOKUP(A809, ORIGEM!A:A, ORIGEM!B:B)</f>
        <v>Google</v>
      </c>
      <c r="F809" t="str">
        <f>_xlfn.XLOOKUP(A809, ORIGEM!A:A, ORIGEM!C:C)</f>
        <v>google - cpc</v>
      </c>
      <c r="G809" t="str">
        <f>_xlfn.XLOOKUP(A809, LOCAL!A:A, LOCAL!B:B)</f>
        <v>Paraty - RJ</v>
      </c>
      <c r="H809" t="str">
        <f>_xlfn.XLOOKUP(A809, PORTE!A:A, PORTE!B:B)</f>
        <v>0</v>
      </c>
      <c r="I809" t="str">
        <f>_xlfn.XLOOKUP(A809, OBJETIVO!A:A, OBJETIVO!B:B)</f>
        <v>Ações de marketing/vendas</v>
      </c>
      <c r="J809">
        <f t="shared" si="12"/>
        <v>0</v>
      </c>
    </row>
    <row r="810" spans="1:10" x14ac:dyDescent="0.25">
      <c r="A810">
        <v>11707025</v>
      </c>
      <c r="B810" s="1">
        <v>45736.253599537034</v>
      </c>
      <c r="C810" t="s">
        <v>0</v>
      </c>
      <c r="D810" t="str">
        <f>VLOOKUP(A810,MERCADO!A:B,2,0)</f>
        <v>Marketing/Publicidade/Consultoria</v>
      </c>
      <c r="E810" t="str">
        <f>_xlfn.XLOOKUP(A810, ORIGEM!A:A, ORIGEM!B:B)</f>
        <v>Google</v>
      </c>
      <c r="F810" t="str">
        <f>_xlfn.XLOOKUP(A810, ORIGEM!A:A, ORIGEM!C:C)</f>
        <v>google - cpc</v>
      </c>
      <c r="G810" t="str">
        <f>_xlfn.XLOOKUP(A810, LOCAL!A:A, LOCAL!B:B)</f>
        <v>Salvador - BA</v>
      </c>
      <c r="H810" t="str">
        <f>_xlfn.XLOOKUP(A810, PORTE!A:A, PORTE!B:B)</f>
        <v>1-10</v>
      </c>
      <c r="I810" t="str">
        <f>_xlfn.XLOOKUP(A810, OBJETIVO!A:A, OBJETIVO!B:B)</f>
        <v>Consultoria</v>
      </c>
      <c r="J810">
        <f t="shared" si="12"/>
        <v>0</v>
      </c>
    </row>
    <row r="811" spans="1:10" x14ac:dyDescent="0.25">
      <c r="A811">
        <v>11404639</v>
      </c>
      <c r="B811" s="1">
        <v>45707.718009259261</v>
      </c>
      <c r="C811" t="s">
        <v>0</v>
      </c>
      <c r="D811" t="str">
        <f>VLOOKUP(A811,MERCADO!A:B,2,0)</f>
        <v>Marketing/Publicidade/Consultoria</v>
      </c>
      <c r="E811" t="str">
        <f>_xlfn.XLOOKUP(A811, ORIGEM!A:A, ORIGEM!B:B)</f>
        <v>Facebook</v>
      </c>
      <c r="F811" t="str">
        <f>_xlfn.XLOOKUP(A811, ORIGEM!A:A, ORIGEM!C:C)</f>
        <v>facebook - cpc</v>
      </c>
      <c r="G811" t="str">
        <f>_xlfn.XLOOKUP(A811, LOCAL!A:A, LOCAL!B:B)</f>
        <v>Nossa Senhora do Socorro - SE</v>
      </c>
      <c r="H811" t="str">
        <f>_xlfn.XLOOKUP(A811, PORTE!A:A, PORTE!B:B)</f>
        <v>0</v>
      </c>
      <c r="I811" t="str">
        <f>_xlfn.XLOOKUP(A811, OBJETIVO!A:A, OBJETIVO!B:B)</f>
        <v>Ações de marketing/vendas</v>
      </c>
      <c r="J811">
        <f t="shared" si="12"/>
        <v>0</v>
      </c>
    </row>
    <row r="812" spans="1:10" x14ac:dyDescent="0.25">
      <c r="A812">
        <v>11387718</v>
      </c>
      <c r="B812" s="1">
        <v>45706.506620370368</v>
      </c>
      <c r="C812" t="s">
        <v>0</v>
      </c>
      <c r="D812" t="str">
        <f>VLOOKUP(A812,MERCADO!A:B,2,0)</f>
        <v>Marketing/Publicidade/Consultoria</v>
      </c>
      <c r="E812" t="str">
        <f>_xlfn.XLOOKUP(A812, ORIGEM!A:A, ORIGEM!B:B)</f>
        <v>Facebook</v>
      </c>
      <c r="F812" t="str">
        <f>_xlfn.XLOOKUP(A812, ORIGEM!A:A, ORIGEM!C:C)</f>
        <v>facebook - cpc</v>
      </c>
      <c r="G812" t="str">
        <f>_xlfn.XLOOKUP(A812, LOCAL!A:A, LOCAL!B:B)</f>
        <v>Porto Seguro - BA</v>
      </c>
      <c r="H812" t="str">
        <f>_xlfn.XLOOKUP(A812, PORTE!A:A, PORTE!B:B)</f>
        <v>1-10</v>
      </c>
      <c r="I812" t="str">
        <f>_xlfn.XLOOKUP(A812, OBJETIVO!A:A, OBJETIVO!B:B)</f>
        <v>Geração de leads b2b</v>
      </c>
      <c r="J812">
        <f t="shared" si="12"/>
        <v>0</v>
      </c>
    </row>
    <row r="813" spans="1:10" x14ac:dyDescent="0.25">
      <c r="A813">
        <v>11357327</v>
      </c>
      <c r="B813" s="1">
        <v>45703.728692129633</v>
      </c>
      <c r="C813" t="s">
        <v>0</v>
      </c>
      <c r="D813" t="str">
        <f>VLOOKUP(A813,MERCADO!A:B,2,0)</f>
        <v>Marketing/Publicidade/Consultoria</v>
      </c>
      <c r="E813" t="str">
        <f>_xlfn.XLOOKUP(A813, ORIGEM!A:A, ORIGEM!B:B)</f>
        <v>Facebook</v>
      </c>
      <c r="F813" t="str">
        <f>_xlfn.XLOOKUP(A813, ORIGEM!A:A, ORIGEM!C:C)</f>
        <v>facebook - cpc</v>
      </c>
      <c r="G813" t="str">
        <f>_xlfn.XLOOKUP(A813, LOCAL!A:A, LOCAL!B:B)</f>
        <v>Uberlândia - MG</v>
      </c>
      <c r="H813" t="str">
        <f>_xlfn.XLOOKUP(A813, PORTE!A:A, PORTE!B:B)</f>
        <v>11-50</v>
      </c>
      <c r="I813" t="str">
        <f>_xlfn.XLOOKUP(A813, OBJETIVO!A:A, OBJETIVO!B:B)</f>
        <v>Outro</v>
      </c>
      <c r="J813">
        <f t="shared" si="12"/>
        <v>0</v>
      </c>
    </row>
    <row r="814" spans="1:10" x14ac:dyDescent="0.25">
      <c r="A814">
        <v>11348504</v>
      </c>
      <c r="B814" s="1">
        <v>45703.121932870374</v>
      </c>
      <c r="C814" t="s">
        <v>0</v>
      </c>
      <c r="D814" t="str">
        <f>VLOOKUP(A814,MERCADO!A:B,2,0)</f>
        <v>Marketing/Publicidade/Consultoria</v>
      </c>
      <c r="E814" t="str">
        <f>_xlfn.XLOOKUP(A814, ORIGEM!A:A, ORIGEM!B:B)</f>
        <v>Facebook</v>
      </c>
      <c r="F814" t="str">
        <f>_xlfn.XLOOKUP(A814, ORIGEM!A:A, ORIGEM!C:C)</f>
        <v>facebook - cpc</v>
      </c>
      <c r="G814" t="str">
        <f>_xlfn.XLOOKUP(A814, LOCAL!A:A, LOCAL!B:B)</f>
        <v>Belo Horizonte - MG</v>
      </c>
      <c r="H814" t="str">
        <f>_xlfn.XLOOKUP(A814, PORTE!A:A, PORTE!B:B)</f>
        <v>1-10</v>
      </c>
      <c r="I814" t="str">
        <f>_xlfn.XLOOKUP(A814, OBJETIVO!A:A, OBJETIVO!B:B)</f>
        <v>Consultoria</v>
      </c>
      <c r="J814">
        <f t="shared" si="12"/>
        <v>0</v>
      </c>
    </row>
    <row r="815" spans="1:10" x14ac:dyDescent="0.25">
      <c r="A815">
        <v>11406856</v>
      </c>
      <c r="B815" s="1">
        <v>45708.436018518521</v>
      </c>
      <c r="C815" t="s">
        <v>0</v>
      </c>
      <c r="D815" t="str">
        <f>VLOOKUP(A815,MERCADO!A:B,2,0)</f>
        <v>Marketing/Publicidade/Consultoria</v>
      </c>
      <c r="E815" t="str">
        <f>_xlfn.XLOOKUP(A815, ORIGEM!A:A, ORIGEM!B:B)</f>
        <v>Facebook</v>
      </c>
      <c r="F815" t="str">
        <f>_xlfn.XLOOKUP(A815, ORIGEM!A:A, ORIGEM!C:C)</f>
        <v>facebook - cpc</v>
      </c>
      <c r="G815" t="str">
        <f>_xlfn.XLOOKUP(A815, LOCAL!A:A, LOCAL!B:B)</f>
        <v>São Paulo - SP</v>
      </c>
      <c r="H815" t="str">
        <f>_xlfn.XLOOKUP(A815, PORTE!A:A, PORTE!B:B)</f>
        <v>0</v>
      </c>
      <c r="I815" t="str">
        <f>_xlfn.XLOOKUP(A815, OBJETIVO!A:A, OBJETIVO!B:B)</f>
        <v>Ações de marketing/vendas</v>
      </c>
      <c r="J815">
        <f t="shared" si="12"/>
        <v>0</v>
      </c>
    </row>
    <row r="816" spans="1:10" x14ac:dyDescent="0.25">
      <c r="A816">
        <v>11406089</v>
      </c>
      <c r="B816" s="1">
        <v>45708.063263888886</v>
      </c>
      <c r="C816" t="s">
        <v>0</v>
      </c>
      <c r="D816" t="str">
        <f>VLOOKUP(A816,MERCADO!A:B,2,0)</f>
        <v>Marketing/Publicidade/Consultoria</v>
      </c>
      <c r="E816" t="str">
        <f>_xlfn.XLOOKUP(A816, ORIGEM!A:A, ORIGEM!B:B)</f>
        <v>Facebook</v>
      </c>
      <c r="F816" t="str">
        <f>_xlfn.XLOOKUP(A816, ORIGEM!A:A, ORIGEM!C:C)</f>
        <v>facebook - cpc</v>
      </c>
      <c r="G816" t="str">
        <f>_xlfn.XLOOKUP(A816, LOCAL!A:A, LOCAL!B:B)</f>
        <v>Campo Novo do Parecis - MT</v>
      </c>
      <c r="H816" t="str">
        <f>_xlfn.XLOOKUP(A816, PORTE!A:A, PORTE!B:B)</f>
        <v>1-10</v>
      </c>
      <c r="I816" t="str">
        <f>_xlfn.XLOOKUP(A816, OBJETIVO!A:A, OBJETIVO!B:B)</f>
        <v>Geração de leads b2b</v>
      </c>
      <c r="J816">
        <f t="shared" si="12"/>
        <v>0</v>
      </c>
    </row>
    <row r="817" spans="1:10" x14ac:dyDescent="0.25">
      <c r="A817">
        <v>11697953</v>
      </c>
      <c r="B817" s="1">
        <v>45735.482581018521</v>
      </c>
      <c r="C817" t="s">
        <v>0</v>
      </c>
      <c r="D817" t="str">
        <f>VLOOKUP(A817,MERCADO!A:B,2,0)</f>
        <v>Marketing/Publicidade/Consultoria</v>
      </c>
      <c r="E817" t="str">
        <f>_xlfn.XLOOKUP(A817, ORIGEM!A:A, ORIGEM!B:B)</f>
        <v>Google</v>
      </c>
      <c r="F817">
        <f>_xlfn.XLOOKUP(A817, ORIGEM!A:A, ORIGEM!C:C)</f>
        <v>0</v>
      </c>
      <c r="G817" t="str">
        <f>_xlfn.XLOOKUP(A817, LOCAL!A:A, LOCAL!B:B)</f>
        <v>Brasília - DF</v>
      </c>
      <c r="H817" t="str">
        <f>_xlfn.XLOOKUP(A817, PORTE!A:A, PORTE!B:B)</f>
        <v>1-10</v>
      </c>
      <c r="I817" t="str">
        <f>_xlfn.XLOOKUP(A817, OBJETIVO!A:A, OBJETIVO!B:B)</f>
        <v>Abertura/Expansão</v>
      </c>
      <c r="J817">
        <f t="shared" si="12"/>
        <v>0</v>
      </c>
    </row>
    <row r="818" spans="1:10" x14ac:dyDescent="0.25">
      <c r="A818">
        <v>11267627</v>
      </c>
      <c r="B818" s="1">
        <v>45693.924317129633</v>
      </c>
      <c r="C818" t="s">
        <v>0</v>
      </c>
      <c r="D818" t="str">
        <f>VLOOKUP(A818,MERCADO!A:B,2,0)</f>
        <v>Marketing/Publicidade/Consultoria</v>
      </c>
      <c r="E818" t="str">
        <f>_xlfn.XLOOKUP(A818, ORIGEM!A:A, ORIGEM!B:B)</f>
        <v>Google</v>
      </c>
      <c r="F818" t="str">
        <f>_xlfn.XLOOKUP(A818, ORIGEM!A:A, ORIGEM!C:C)</f>
        <v>google - cpc</v>
      </c>
      <c r="G818" t="str">
        <f>_xlfn.XLOOKUP(A818, LOCAL!A:A, LOCAL!B:B)</f>
        <v>Rio Preto - SP</v>
      </c>
      <c r="H818" t="str">
        <f>_xlfn.XLOOKUP(A818, PORTE!A:A, PORTE!B:B)</f>
        <v>11-50</v>
      </c>
      <c r="I818" t="str">
        <f>_xlfn.XLOOKUP(A818, OBJETIVO!A:A, OBJETIVO!B:B)</f>
        <v>Abertura/Expansão</v>
      </c>
      <c r="J818">
        <f t="shared" si="12"/>
        <v>0</v>
      </c>
    </row>
    <row r="819" spans="1:10" x14ac:dyDescent="0.25">
      <c r="A819">
        <v>11299805</v>
      </c>
      <c r="B819" s="1">
        <v>45697.600439814814</v>
      </c>
      <c r="C819" t="s">
        <v>0</v>
      </c>
      <c r="D819" t="str">
        <f>VLOOKUP(A819,MERCADO!A:B,2,0)</f>
        <v>Marketing/Publicidade/Consultoria</v>
      </c>
      <c r="E819" t="str">
        <f>_xlfn.XLOOKUP(A819, ORIGEM!A:A, ORIGEM!B:B)</f>
        <v>Google</v>
      </c>
      <c r="F819" t="str">
        <f>_xlfn.XLOOKUP(A819, ORIGEM!A:A, ORIGEM!C:C)</f>
        <v>google - cpc</v>
      </c>
      <c r="G819" t="str">
        <f>_xlfn.XLOOKUP(A819, LOCAL!A:A, LOCAL!B:B)</f>
        <v>Recife - PE</v>
      </c>
      <c r="H819" t="str">
        <f>_xlfn.XLOOKUP(A819, PORTE!A:A, PORTE!B:B)</f>
        <v>0</v>
      </c>
      <c r="I819" t="str">
        <f>_xlfn.XLOOKUP(A819, OBJETIVO!A:A, OBJETIVO!B:B)</f>
        <v>Consultoria</v>
      </c>
      <c r="J819">
        <f t="shared" si="12"/>
        <v>0</v>
      </c>
    </row>
    <row r="820" spans="1:10" x14ac:dyDescent="0.25">
      <c r="A820">
        <v>11290394</v>
      </c>
      <c r="B820" s="1">
        <v>45696.779097222221</v>
      </c>
      <c r="C820" t="s">
        <v>0</v>
      </c>
      <c r="D820" t="str">
        <f>VLOOKUP(A820,MERCADO!A:B,2,0)</f>
        <v>Marketing/Publicidade/Consultoria</v>
      </c>
      <c r="E820" t="str">
        <f>_xlfn.XLOOKUP(A820, ORIGEM!A:A, ORIGEM!B:B)</f>
        <v>Google</v>
      </c>
      <c r="F820" t="str">
        <f>_xlfn.XLOOKUP(A820, ORIGEM!A:A, ORIGEM!C:C)</f>
        <v>google - cpc</v>
      </c>
      <c r="G820" t="str">
        <f>_xlfn.XLOOKUP(A820, LOCAL!A:A, LOCAL!B:B)</f>
        <v>Salvador - BA</v>
      </c>
      <c r="H820" t="str">
        <f>_xlfn.XLOOKUP(A820, PORTE!A:A, PORTE!B:B)</f>
        <v>1-10</v>
      </c>
      <c r="I820" t="str">
        <f>_xlfn.XLOOKUP(A820, OBJETIVO!A:A, OBJETIVO!B:B)</f>
        <v>Ações de marketing/vendas</v>
      </c>
      <c r="J820">
        <f t="shared" si="12"/>
        <v>0</v>
      </c>
    </row>
    <row r="821" spans="1:10" x14ac:dyDescent="0.25">
      <c r="A821">
        <v>11659177</v>
      </c>
      <c r="B821" s="1">
        <v>45732.617731481485</v>
      </c>
      <c r="C821" t="s">
        <v>0</v>
      </c>
      <c r="D821" t="str">
        <f>VLOOKUP(A821,MERCADO!A:B,2,0)</f>
        <v>Marketing/Publicidade/Consultoria</v>
      </c>
      <c r="E821" t="str">
        <f>_xlfn.XLOOKUP(A821, ORIGEM!A:A, ORIGEM!B:B)</f>
        <v>Google</v>
      </c>
      <c r="F821" t="str">
        <f>_xlfn.XLOOKUP(A821, ORIGEM!A:A, ORIGEM!C:C)</f>
        <v>google - cpc</v>
      </c>
      <c r="G821" t="str">
        <f>_xlfn.XLOOKUP(A821, LOCAL!A:A, LOCAL!B:B)</f>
        <v>Palmas - TO</v>
      </c>
      <c r="H821" t="str">
        <f>_xlfn.XLOOKUP(A821, PORTE!A:A, PORTE!B:B)</f>
        <v>0</v>
      </c>
      <c r="I821" t="str">
        <f>_xlfn.XLOOKUP(A821, OBJETIVO!A:A, OBJETIVO!B:B)</f>
        <v>Abertura/Expansão</v>
      </c>
      <c r="J821">
        <f t="shared" si="12"/>
        <v>0</v>
      </c>
    </row>
    <row r="822" spans="1:10" x14ac:dyDescent="0.25">
      <c r="A822">
        <v>11595858</v>
      </c>
      <c r="B822" s="1">
        <v>45726.400462962964</v>
      </c>
      <c r="C822" t="s">
        <v>0</v>
      </c>
      <c r="D822" t="str">
        <f>VLOOKUP(A822,MERCADO!A:B,2,0)</f>
        <v>Marketing/Publicidade/Consultoria</v>
      </c>
      <c r="E822" t="str">
        <f>_xlfn.XLOOKUP(A822, ORIGEM!A:A, ORIGEM!B:B)</f>
        <v>Google</v>
      </c>
      <c r="F822" t="str">
        <f>_xlfn.XLOOKUP(A822, ORIGEM!A:A, ORIGEM!C:C)</f>
        <v>google - cpc</v>
      </c>
      <c r="G822" t="str">
        <f>_xlfn.XLOOKUP(A822, LOCAL!A:A, LOCAL!B:B)</f>
        <v>Campos Lindos - TO</v>
      </c>
      <c r="H822" t="str">
        <f>_xlfn.XLOOKUP(A822, PORTE!A:A, PORTE!B:B)</f>
        <v>0</v>
      </c>
      <c r="I822" t="str">
        <f>_xlfn.XLOOKUP(A822, OBJETIVO!A:A, OBJETIVO!B:B)</f>
        <v>Consultoria</v>
      </c>
      <c r="J822">
        <f t="shared" si="12"/>
        <v>0</v>
      </c>
    </row>
    <row r="823" spans="1:10" x14ac:dyDescent="0.25">
      <c r="A823">
        <v>11939374</v>
      </c>
      <c r="B823" s="1">
        <v>45757.690717592595</v>
      </c>
      <c r="C823" t="s">
        <v>0</v>
      </c>
      <c r="D823" t="str">
        <f>VLOOKUP(A823,MERCADO!A:B,2,0)</f>
        <v>Marketing/Publicidade/Consultoria</v>
      </c>
      <c r="E823" t="str">
        <f>_xlfn.XLOOKUP(A823, ORIGEM!A:A, ORIGEM!B:B)</f>
        <v>Google</v>
      </c>
      <c r="F823" t="str">
        <f>_xlfn.XLOOKUP(A823, ORIGEM!A:A, ORIGEM!C:C)</f>
        <v>google - cpc</v>
      </c>
      <c r="G823" t="str">
        <f>_xlfn.XLOOKUP(A823, LOCAL!A:A, LOCAL!B:B)</f>
        <v>São Paulo - SP</v>
      </c>
      <c r="H823" t="str">
        <f>_xlfn.XLOOKUP(A823, PORTE!A:A, PORTE!B:B)</f>
        <v>1-10</v>
      </c>
      <c r="I823" t="str">
        <f>_xlfn.XLOOKUP(A823, OBJETIVO!A:A, OBJETIVO!B:B)</f>
        <v>Geração de leads b2b</v>
      </c>
      <c r="J823">
        <f t="shared" si="12"/>
        <v>0</v>
      </c>
    </row>
    <row r="824" spans="1:10" x14ac:dyDescent="0.25">
      <c r="A824">
        <v>11890180</v>
      </c>
      <c r="B824" s="1">
        <v>45753.707280092596</v>
      </c>
      <c r="C824" t="s">
        <v>0</v>
      </c>
      <c r="D824" t="str">
        <f>VLOOKUP(A824,MERCADO!A:B,2,0)</f>
        <v>Marketing/Publicidade/Consultoria</v>
      </c>
      <c r="E824" t="str">
        <f>_xlfn.XLOOKUP(A824, ORIGEM!A:A, ORIGEM!B:B)</f>
        <v>Google</v>
      </c>
      <c r="F824" t="str">
        <f>_xlfn.XLOOKUP(A824, ORIGEM!A:A, ORIGEM!C:C)</f>
        <v>google - cpc</v>
      </c>
      <c r="G824" t="str">
        <f>_xlfn.XLOOKUP(A824, LOCAL!A:A, LOCAL!B:B)</f>
        <v>Tres Pontas - MG</v>
      </c>
      <c r="H824" t="str">
        <f>_xlfn.XLOOKUP(A824, PORTE!A:A, PORTE!B:B)</f>
        <v>0</v>
      </c>
      <c r="I824" t="str">
        <f>_xlfn.XLOOKUP(A824, OBJETIVO!A:A, OBJETIVO!B:B)</f>
        <v>Outro</v>
      </c>
      <c r="J824">
        <f t="shared" si="12"/>
        <v>0</v>
      </c>
    </row>
    <row r="825" spans="1:10" x14ac:dyDescent="0.25">
      <c r="A825">
        <v>11933244</v>
      </c>
      <c r="B825" s="1">
        <v>45756.633750000001</v>
      </c>
      <c r="C825" t="s">
        <v>0</v>
      </c>
      <c r="D825" t="str">
        <f>VLOOKUP(A825,MERCADO!A:B,2,0)</f>
        <v>Marketing/Publicidade/Consultoria</v>
      </c>
      <c r="E825" t="str">
        <f>_xlfn.XLOOKUP(A825, ORIGEM!A:A, ORIGEM!B:B)</f>
        <v>Google</v>
      </c>
      <c r="F825" t="str">
        <f>_xlfn.XLOOKUP(A825, ORIGEM!A:A, ORIGEM!C:C)</f>
        <v>google - cpc</v>
      </c>
      <c r="G825" t="str">
        <f>_xlfn.XLOOKUP(A825, LOCAL!A:A, LOCAL!B:B)</f>
        <v>Coronel Fabriciano - MG</v>
      </c>
      <c r="H825" t="str">
        <f>_xlfn.XLOOKUP(A825, PORTE!A:A, PORTE!B:B)</f>
        <v>1-10</v>
      </c>
      <c r="I825" t="str">
        <f>_xlfn.XLOOKUP(A825, OBJETIVO!A:A, OBJETIVO!B:B)</f>
        <v>Ações de marketing/vendas</v>
      </c>
      <c r="J825">
        <f t="shared" si="12"/>
        <v>0</v>
      </c>
    </row>
    <row r="826" spans="1:10" x14ac:dyDescent="0.25">
      <c r="A826">
        <v>11020867</v>
      </c>
      <c r="B826" s="1">
        <v>45675.56962962963</v>
      </c>
      <c r="C826" t="s">
        <v>0</v>
      </c>
      <c r="D826" t="str">
        <f>VLOOKUP(A826,MERCADO!A:B,2,0)</f>
        <v>Marketing/Publicidade/Consultoria</v>
      </c>
      <c r="E826" t="str">
        <f>_xlfn.XLOOKUP(A826, ORIGEM!A:A, ORIGEM!B:B)</f>
        <v>Google</v>
      </c>
      <c r="F826" t="str">
        <f>_xlfn.XLOOKUP(A826, ORIGEM!A:A, ORIGEM!C:C)</f>
        <v>google - cpc</v>
      </c>
      <c r="G826" t="str">
        <f>_xlfn.XLOOKUP(A826, LOCAL!A:A, LOCAL!B:B)</f>
        <v>Guaruja - SP</v>
      </c>
      <c r="H826" t="str">
        <f>_xlfn.XLOOKUP(A826, PORTE!A:A, PORTE!B:B)</f>
        <v>11-50</v>
      </c>
      <c r="I826" t="str">
        <f>_xlfn.XLOOKUP(A826, OBJETIVO!A:A, OBJETIVO!B:B)</f>
        <v>Geração de leads b2b</v>
      </c>
      <c r="J826">
        <f t="shared" si="12"/>
        <v>0</v>
      </c>
    </row>
    <row r="827" spans="1:10" x14ac:dyDescent="0.25">
      <c r="A827">
        <v>10983811</v>
      </c>
      <c r="B827" s="1">
        <v>45671.684710648151</v>
      </c>
      <c r="C827" t="s">
        <v>0</v>
      </c>
      <c r="D827" t="str">
        <f>VLOOKUP(A827,MERCADO!A:B,2,0)</f>
        <v>Marketing/Publicidade/Consultoria</v>
      </c>
      <c r="E827" t="str">
        <f>_xlfn.XLOOKUP(A827, ORIGEM!A:A, ORIGEM!B:B)</f>
        <v>Google</v>
      </c>
      <c r="F827" t="str">
        <f>_xlfn.XLOOKUP(A827, ORIGEM!A:A, ORIGEM!C:C)</f>
        <v>google - cpc</v>
      </c>
      <c r="G827" t="str">
        <f>_xlfn.XLOOKUP(A827, LOCAL!A:A, LOCAL!B:B)</f>
        <v>Três Corações - MG</v>
      </c>
      <c r="H827" t="str">
        <f>_xlfn.XLOOKUP(A827, PORTE!A:A, PORTE!B:B)</f>
        <v>0</v>
      </c>
      <c r="I827" t="str">
        <f>_xlfn.XLOOKUP(A827, OBJETIVO!A:A, OBJETIVO!B:B)</f>
        <v>Ações de marketing/vendas</v>
      </c>
      <c r="J827">
        <f t="shared" si="12"/>
        <v>0</v>
      </c>
    </row>
    <row r="828" spans="1:10" x14ac:dyDescent="0.25">
      <c r="A828">
        <v>11001895</v>
      </c>
      <c r="B828" s="1">
        <v>45672.634027777778</v>
      </c>
      <c r="C828" t="s">
        <v>0</v>
      </c>
      <c r="D828" t="str">
        <f>VLOOKUP(A828,MERCADO!A:B,2,0)</f>
        <v>Marketing/Publicidade/Consultoria</v>
      </c>
      <c r="E828" t="str">
        <f>_xlfn.XLOOKUP(A828, ORIGEM!A:A, ORIGEM!B:B)</f>
        <v>Google</v>
      </c>
      <c r="F828" t="str">
        <f>_xlfn.XLOOKUP(A828, ORIGEM!A:A, ORIGEM!C:C)</f>
        <v>google - cpc</v>
      </c>
      <c r="G828" t="str">
        <f>_xlfn.XLOOKUP(A828, LOCAL!A:A, LOCAL!B:B)</f>
        <v>Juazeiro - BA</v>
      </c>
      <c r="H828" t="str">
        <f>_xlfn.XLOOKUP(A828, PORTE!A:A, PORTE!B:B)</f>
        <v>+ 1000</v>
      </c>
      <c r="I828" t="str">
        <f>_xlfn.XLOOKUP(A828, OBJETIVO!A:A, OBJETIVO!B:B)</f>
        <v>Geração de leads b2b</v>
      </c>
      <c r="J828">
        <f t="shared" si="12"/>
        <v>0</v>
      </c>
    </row>
    <row r="829" spans="1:10" x14ac:dyDescent="0.25">
      <c r="A829">
        <v>11001917</v>
      </c>
      <c r="B829" s="1">
        <v>45672.635000000002</v>
      </c>
      <c r="C829" t="s">
        <v>0</v>
      </c>
      <c r="D829" t="str">
        <f>VLOOKUP(A829,MERCADO!A:B,2,0)</f>
        <v>Marketing/Publicidade/Consultoria</v>
      </c>
      <c r="E829" t="str">
        <f>_xlfn.XLOOKUP(A829, ORIGEM!A:A, ORIGEM!B:B)</f>
        <v>Google</v>
      </c>
      <c r="F829" t="str">
        <f>_xlfn.XLOOKUP(A829, ORIGEM!A:A, ORIGEM!C:C)</f>
        <v>google - cpc</v>
      </c>
      <c r="G829" t="str">
        <f>_xlfn.XLOOKUP(A829, LOCAL!A:A, LOCAL!B:B)</f>
        <v>Juazeiro - BA</v>
      </c>
      <c r="H829" t="str">
        <f>_xlfn.XLOOKUP(A829, PORTE!A:A, PORTE!B:B)</f>
        <v>+ 1000</v>
      </c>
      <c r="I829" t="str">
        <f>_xlfn.XLOOKUP(A829, OBJETIVO!A:A, OBJETIVO!B:B)</f>
        <v>Geração de leads b2b</v>
      </c>
      <c r="J829">
        <f t="shared" si="12"/>
        <v>0</v>
      </c>
    </row>
    <row r="830" spans="1:10" x14ac:dyDescent="0.25">
      <c r="A830">
        <v>11345811</v>
      </c>
      <c r="B830" s="1">
        <v>45701.865636574075</v>
      </c>
      <c r="C830" t="s">
        <v>0</v>
      </c>
      <c r="D830" t="str">
        <f>VLOOKUP(A830,MERCADO!A:B,2,0)</f>
        <v>Marketing/Publicidade/Consultoria</v>
      </c>
      <c r="E830" t="str">
        <f>_xlfn.XLOOKUP(A830, ORIGEM!A:A, ORIGEM!B:B)</f>
        <v>Google</v>
      </c>
      <c r="F830" t="str">
        <f>_xlfn.XLOOKUP(A830, ORIGEM!A:A, ORIGEM!C:C)</f>
        <v>google - cpc</v>
      </c>
      <c r="G830" t="str">
        <f>_xlfn.XLOOKUP(A830, LOCAL!A:A, LOCAL!B:B)</f>
        <v>Rio de Janeiro - RJ</v>
      </c>
      <c r="H830" t="str">
        <f>_xlfn.XLOOKUP(A830, PORTE!A:A, PORTE!B:B)</f>
        <v>1-10</v>
      </c>
      <c r="I830" t="str">
        <f>_xlfn.XLOOKUP(A830, OBJETIVO!A:A, OBJETIVO!B:B)</f>
        <v>Geração de leads b2b</v>
      </c>
      <c r="J830">
        <f t="shared" si="12"/>
        <v>0</v>
      </c>
    </row>
    <row r="831" spans="1:10" x14ac:dyDescent="0.25">
      <c r="A831">
        <v>11348445</v>
      </c>
      <c r="B831" s="1">
        <v>45703.066620370373</v>
      </c>
      <c r="C831" t="s">
        <v>0</v>
      </c>
      <c r="D831" t="str">
        <f>VLOOKUP(A831,MERCADO!A:B,2,0)</f>
        <v>Marketing/Publicidade/Consultoria</v>
      </c>
      <c r="E831" t="str">
        <f>_xlfn.XLOOKUP(A831, ORIGEM!A:A, ORIGEM!B:B)</f>
        <v>Google</v>
      </c>
      <c r="F831" t="str">
        <f>_xlfn.XLOOKUP(A831, ORIGEM!A:A, ORIGEM!C:C)</f>
        <v>google - cpc</v>
      </c>
      <c r="G831" t="str">
        <f>_xlfn.XLOOKUP(A831, LOCAL!A:A, LOCAL!B:B)</f>
        <v>Rio Preto - SP</v>
      </c>
      <c r="H831" t="str">
        <f>_xlfn.XLOOKUP(A831, PORTE!A:A, PORTE!B:B)</f>
        <v>1-10</v>
      </c>
      <c r="I831" t="str">
        <f>_xlfn.XLOOKUP(A831, OBJETIVO!A:A, OBJETIVO!B:B)</f>
        <v>Geração de leads b2b</v>
      </c>
      <c r="J831">
        <f t="shared" si="12"/>
        <v>0</v>
      </c>
    </row>
    <row r="832" spans="1:10" x14ac:dyDescent="0.25">
      <c r="A832">
        <v>11272040</v>
      </c>
      <c r="B832" s="1">
        <v>45695.635034722225</v>
      </c>
      <c r="C832" t="s">
        <v>0</v>
      </c>
      <c r="D832" t="str">
        <f>VLOOKUP(A832,MERCADO!A:B,2,0)</f>
        <v>Marketing/Publicidade/Consultoria</v>
      </c>
      <c r="E832" t="str">
        <f>_xlfn.XLOOKUP(A832, ORIGEM!A:A, ORIGEM!B:B)</f>
        <v>Google</v>
      </c>
      <c r="F832" t="str">
        <f>_xlfn.XLOOKUP(A832, ORIGEM!A:A, ORIGEM!C:C)</f>
        <v>google - cpc</v>
      </c>
      <c r="G832" t="str">
        <f>_xlfn.XLOOKUP(A832, LOCAL!A:A, LOCAL!B:B)</f>
        <v>Belém - PA</v>
      </c>
      <c r="H832" t="str">
        <f>_xlfn.XLOOKUP(A832, PORTE!A:A, PORTE!B:B)</f>
        <v>0</v>
      </c>
      <c r="I832" t="str">
        <f>_xlfn.XLOOKUP(A832, OBJETIVO!A:A, OBJETIVO!B:B)</f>
        <v>Abertura/Expansão</v>
      </c>
      <c r="J832">
        <f t="shared" si="12"/>
        <v>0</v>
      </c>
    </row>
    <row r="833" spans="1:10" x14ac:dyDescent="0.25">
      <c r="A833">
        <v>11263319</v>
      </c>
      <c r="B833" s="1">
        <v>45693.615069444444</v>
      </c>
      <c r="C833" t="s">
        <v>0</v>
      </c>
      <c r="D833" t="str">
        <f>VLOOKUP(A833,MERCADO!A:B,2,0)</f>
        <v>Marketing/Publicidade/Consultoria</v>
      </c>
      <c r="E833" t="str">
        <f>_xlfn.XLOOKUP(A833, ORIGEM!A:A, ORIGEM!B:B)</f>
        <v>Google</v>
      </c>
      <c r="F833" t="str">
        <f>_xlfn.XLOOKUP(A833, ORIGEM!A:A, ORIGEM!C:C)</f>
        <v>google - cpc</v>
      </c>
      <c r="G833" t="str">
        <f>_xlfn.XLOOKUP(A833, LOCAL!A:A, LOCAL!B:B)</f>
        <v>São Paulo - SP</v>
      </c>
      <c r="H833" t="str">
        <f>_xlfn.XLOOKUP(A833, PORTE!A:A, PORTE!B:B)</f>
        <v>11-50</v>
      </c>
      <c r="I833" t="str">
        <f>_xlfn.XLOOKUP(A833, OBJETIVO!A:A, OBJETIVO!B:B)</f>
        <v>Planejamento estratégico</v>
      </c>
      <c r="J833">
        <f t="shared" si="12"/>
        <v>0</v>
      </c>
    </row>
    <row r="834" spans="1:10" x14ac:dyDescent="0.25">
      <c r="A834">
        <v>11434164</v>
      </c>
      <c r="B834" s="1">
        <v>45711.606782407405</v>
      </c>
      <c r="C834" t="s">
        <v>0</v>
      </c>
      <c r="D834" t="str">
        <f>VLOOKUP(A834,MERCADO!A:B,2,0)</f>
        <v>Marketing/Publicidade/Consultoria</v>
      </c>
      <c r="E834" t="str">
        <f>_xlfn.XLOOKUP(A834, ORIGEM!A:A, ORIGEM!B:B)</f>
        <v>Google</v>
      </c>
      <c r="F834" t="str">
        <f>_xlfn.XLOOKUP(A834, ORIGEM!A:A, ORIGEM!C:C)</f>
        <v>google - cpc</v>
      </c>
      <c r="G834" t="str">
        <f>_xlfn.XLOOKUP(A834, LOCAL!A:A, LOCAL!B:B)</f>
        <v>São Paulo - SP</v>
      </c>
      <c r="H834" t="str">
        <f>_xlfn.XLOOKUP(A834, PORTE!A:A, PORTE!B:B)</f>
        <v>1-10</v>
      </c>
      <c r="I834" t="str">
        <f>_xlfn.XLOOKUP(A834, OBJETIVO!A:A, OBJETIVO!B:B)</f>
        <v>Consultoria</v>
      </c>
      <c r="J834">
        <f t="shared" si="12"/>
        <v>0</v>
      </c>
    </row>
    <row r="835" spans="1:10" x14ac:dyDescent="0.25">
      <c r="A835">
        <v>11443744</v>
      </c>
      <c r="B835" s="1">
        <v>45712.419583333336</v>
      </c>
      <c r="C835" t="s">
        <v>0</v>
      </c>
      <c r="D835" t="str">
        <f>VLOOKUP(A835,MERCADO!A:B,2,0)</f>
        <v>Marketing/Publicidade/Consultoria</v>
      </c>
      <c r="E835" t="str">
        <f>_xlfn.XLOOKUP(A835, ORIGEM!A:A, ORIGEM!B:B)</f>
        <v>Google</v>
      </c>
      <c r="F835" t="str">
        <f>_xlfn.XLOOKUP(A835, ORIGEM!A:A, ORIGEM!C:C)</f>
        <v>google - cpc</v>
      </c>
      <c r="G835" t="str">
        <f>_xlfn.XLOOKUP(A835, LOCAL!A:A, LOCAL!B:B)</f>
        <v>Curitiba - PR</v>
      </c>
      <c r="H835" t="str">
        <f>_xlfn.XLOOKUP(A835, PORTE!A:A, PORTE!B:B)</f>
        <v>11-50</v>
      </c>
      <c r="I835" t="str">
        <f>_xlfn.XLOOKUP(A835, OBJETIVO!A:A, OBJETIVO!B:B)</f>
        <v>Ações de marketing/vendas</v>
      </c>
      <c r="J835">
        <f t="shared" ref="J835:J898" si="13">IF(C835="SIM",1,0)</f>
        <v>0</v>
      </c>
    </row>
    <row r="836" spans="1:10" x14ac:dyDescent="0.25">
      <c r="A836">
        <v>11391560</v>
      </c>
      <c r="B836" s="1">
        <v>45706.655590277776</v>
      </c>
      <c r="C836" t="s">
        <v>0</v>
      </c>
      <c r="D836" t="str">
        <f>VLOOKUP(A836,MERCADO!A:B,2,0)</f>
        <v>Marketing/Publicidade/Consultoria</v>
      </c>
      <c r="E836" t="str">
        <f>_xlfn.XLOOKUP(A836, ORIGEM!A:A, ORIGEM!B:B)</f>
        <v>Bing</v>
      </c>
      <c r="F836" t="str">
        <f>_xlfn.XLOOKUP(A836, ORIGEM!A:A, ORIGEM!C:C)</f>
        <v>bing - cpc</v>
      </c>
      <c r="G836" t="str">
        <f>_xlfn.XLOOKUP(A836, LOCAL!A:A, LOCAL!B:B)</f>
        <v>Osasco - SP</v>
      </c>
      <c r="H836" t="str">
        <f>_xlfn.XLOOKUP(A836, PORTE!A:A, PORTE!B:B)</f>
        <v>1-10</v>
      </c>
      <c r="I836" t="str">
        <f>_xlfn.XLOOKUP(A836, OBJETIVO!A:A, OBJETIVO!B:B)</f>
        <v>Outro</v>
      </c>
      <c r="J836">
        <f t="shared" si="13"/>
        <v>0</v>
      </c>
    </row>
    <row r="837" spans="1:10" x14ac:dyDescent="0.25">
      <c r="A837">
        <v>11561463</v>
      </c>
      <c r="B837" s="1">
        <v>45723.675995370373</v>
      </c>
      <c r="C837" t="s">
        <v>0</v>
      </c>
      <c r="D837" t="str">
        <f>VLOOKUP(A837,MERCADO!A:B,2,0)</f>
        <v>Marketing/Publicidade/Consultoria</v>
      </c>
      <c r="E837" t="str">
        <f>_xlfn.XLOOKUP(A837, ORIGEM!A:A, ORIGEM!B:B)</f>
        <v>Facebook</v>
      </c>
      <c r="F837" t="str">
        <f>_xlfn.XLOOKUP(A837, ORIGEM!A:A, ORIGEM!C:C)</f>
        <v>facebook - cpc</v>
      </c>
      <c r="G837" t="str">
        <f>_xlfn.XLOOKUP(A837, LOCAL!A:A, LOCAL!B:B)</f>
        <v>São Paulo - SP</v>
      </c>
      <c r="H837" t="str">
        <f>_xlfn.XLOOKUP(A837, PORTE!A:A, PORTE!B:B)</f>
        <v>1-10</v>
      </c>
      <c r="I837" t="str">
        <f>_xlfn.XLOOKUP(A837, OBJETIVO!A:A, OBJETIVO!B:B)</f>
        <v>Geração de leads b2b</v>
      </c>
      <c r="J837">
        <f t="shared" si="13"/>
        <v>0</v>
      </c>
    </row>
    <row r="838" spans="1:10" x14ac:dyDescent="0.25">
      <c r="A838">
        <v>11569316</v>
      </c>
      <c r="B838" s="1">
        <v>45724.534328703703</v>
      </c>
      <c r="C838" t="s">
        <v>0</v>
      </c>
      <c r="D838" t="str">
        <f>VLOOKUP(A838,MERCADO!A:B,2,0)</f>
        <v>Marketing/Publicidade/Consultoria</v>
      </c>
      <c r="E838" t="str">
        <f>_xlfn.XLOOKUP(A838, ORIGEM!A:A, ORIGEM!B:B)</f>
        <v>Facebook</v>
      </c>
      <c r="F838" t="str">
        <f>_xlfn.XLOOKUP(A838, ORIGEM!A:A, ORIGEM!C:C)</f>
        <v>facebook - cpc</v>
      </c>
      <c r="G838" t="str">
        <f>_xlfn.XLOOKUP(A838, LOCAL!A:A, LOCAL!B:B)</f>
        <v>Camaçari - BA</v>
      </c>
      <c r="H838" t="str">
        <f>_xlfn.XLOOKUP(A838, PORTE!A:A, PORTE!B:B)</f>
        <v>1-10</v>
      </c>
      <c r="I838" t="str">
        <f>_xlfn.XLOOKUP(A838, OBJETIVO!A:A, OBJETIVO!B:B)</f>
        <v>Geração de leads b2b</v>
      </c>
      <c r="J838">
        <f t="shared" si="13"/>
        <v>0</v>
      </c>
    </row>
    <row r="839" spans="1:10" x14ac:dyDescent="0.25">
      <c r="A839">
        <v>11570077</v>
      </c>
      <c r="B839" s="1">
        <v>45724.578194444446</v>
      </c>
      <c r="C839" t="s">
        <v>0</v>
      </c>
      <c r="D839" t="str">
        <f>VLOOKUP(A839,MERCADO!A:B,2,0)</f>
        <v>Marketing/Publicidade/Consultoria</v>
      </c>
      <c r="E839" t="str">
        <f>_xlfn.XLOOKUP(A839, ORIGEM!A:A, ORIGEM!B:B)</f>
        <v>Facebook</v>
      </c>
      <c r="F839" t="str">
        <f>_xlfn.XLOOKUP(A839, ORIGEM!A:A, ORIGEM!C:C)</f>
        <v>facebook - cpc</v>
      </c>
      <c r="G839" t="str">
        <f>_xlfn.XLOOKUP(A839, LOCAL!A:A, LOCAL!B:B)</f>
        <v>Parnamirim - RN</v>
      </c>
      <c r="H839" t="str">
        <f>_xlfn.XLOOKUP(A839, PORTE!A:A, PORTE!B:B)</f>
        <v>0</v>
      </c>
      <c r="I839" t="str">
        <f>_xlfn.XLOOKUP(A839, OBJETIVO!A:A, OBJETIVO!B:B)</f>
        <v>Ações de marketing/vendas</v>
      </c>
      <c r="J839">
        <f t="shared" si="13"/>
        <v>0</v>
      </c>
    </row>
    <row r="840" spans="1:10" x14ac:dyDescent="0.25">
      <c r="A840">
        <v>11571867</v>
      </c>
      <c r="B840" s="1">
        <v>45724.627696759257</v>
      </c>
      <c r="C840" t="s">
        <v>0</v>
      </c>
      <c r="D840" t="str">
        <f>VLOOKUP(A840,MERCADO!A:B,2,0)</f>
        <v>Marketing/Publicidade/Consultoria</v>
      </c>
      <c r="E840" t="str">
        <f>_xlfn.XLOOKUP(A840, ORIGEM!A:A, ORIGEM!B:B)</f>
        <v>Facebook</v>
      </c>
      <c r="F840" t="str">
        <f>_xlfn.XLOOKUP(A840, ORIGEM!A:A, ORIGEM!C:C)</f>
        <v>facebook - cpc</v>
      </c>
      <c r="G840" t="str">
        <f>_xlfn.XLOOKUP(A840, LOCAL!A:A, LOCAL!B:B)</f>
        <v>Uberlândia - MG</v>
      </c>
      <c r="H840" t="str">
        <f>_xlfn.XLOOKUP(A840, PORTE!A:A, PORTE!B:B)</f>
        <v>1-10</v>
      </c>
      <c r="I840" t="str">
        <f>_xlfn.XLOOKUP(A840, OBJETIVO!A:A, OBJETIVO!B:B)</f>
        <v>Geração de leads b2b</v>
      </c>
      <c r="J840">
        <f t="shared" si="13"/>
        <v>0</v>
      </c>
    </row>
    <row r="841" spans="1:10" x14ac:dyDescent="0.25">
      <c r="A841">
        <v>11563069</v>
      </c>
      <c r="B841" s="1">
        <v>45724.333877314813</v>
      </c>
      <c r="C841" t="s">
        <v>0</v>
      </c>
      <c r="D841" t="str">
        <f>VLOOKUP(A841,MERCADO!A:B,2,0)</f>
        <v>Marketing/Publicidade/Consultoria</v>
      </c>
      <c r="E841" t="str">
        <f>_xlfn.XLOOKUP(A841, ORIGEM!A:A, ORIGEM!B:B)</f>
        <v>Facebook</v>
      </c>
      <c r="F841" t="str">
        <f>_xlfn.XLOOKUP(A841, ORIGEM!A:A, ORIGEM!C:C)</f>
        <v>facebook - cpc</v>
      </c>
      <c r="G841" t="str">
        <f>_xlfn.XLOOKUP(A841, LOCAL!A:A, LOCAL!B:B)</f>
        <v>Anápolis - GO</v>
      </c>
      <c r="H841" t="str">
        <f>_xlfn.XLOOKUP(A841, PORTE!A:A, PORTE!B:B)</f>
        <v>1-10</v>
      </c>
      <c r="I841" t="str">
        <f>_xlfn.XLOOKUP(A841, OBJETIVO!A:A, OBJETIVO!B:B)</f>
        <v>Consultoria</v>
      </c>
      <c r="J841">
        <f t="shared" si="13"/>
        <v>0</v>
      </c>
    </row>
    <row r="842" spans="1:10" x14ac:dyDescent="0.25">
      <c r="A842">
        <v>11345572</v>
      </c>
      <c r="B842" s="1">
        <v>45701.77753472222</v>
      </c>
      <c r="C842" t="s">
        <v>0</v>
      </c>
      <c r="D842" t="str">
        <f>VLOOKUP(A842,MERCADO!A:B,2,0)</f>
        <v>Marketing/Publicidade/Consultoria</v>
      </c>
      <c r="E842" t="str">
        <f>_xlfn.XLOOKUP(A842, ORIGEM!A:A, ORIGEM!B:B)</f>
        <v>Facebook</v>
      </c>
      <c r="F842" t="str">
        <f>_xlfn.XLOOKUP(A842, ORIGEM!A:A, ORIGEM!C:C)</f>
        <v>facebook - cpc</v>
      </c>
      <c r="G842" t="str">
        <f>_xlfn.XLOOKUP(A842, LOCAL!A:A, LOCAL!B:B)</f>
        <v>Brasília - DF</v>
      </c>
      <c r="H842" t="str">
        <f>_xlfn.XLOOKUP(A842, PORTE!A:A, PORTE!B:B)</f>
        <v>11-50</v>
      </c>
      <c r="I842" t="str">
        <f>_xlfn.XLOOKUP(A842, OBJETIVO!A:A, OBJETIVO!B:B)</f>
        <v>Abertura/Expansão</v>
      </c>
      <c r="J842">
        <f t="shared" si="13"/>
        <v>0</v>
      </c>
    </row>
    <row r="843" spans="1:10" x14ac:dyDescent="0.25">
      <c r="A843">
        <v>11446953</v>
      </c>
      <c r="B843" s="1">
        <v>45712.556307870371</v>
      </c>
      <c r="C843" t="s">
        <v>0</v>
      </c>
      <c r="D843" t="str">
        <f>VLOOKUP(A843,MERCADO!A:B,2,0)</f>
        <v>Marketing/Publicidade/Consultoria</v>
      </c>
      <c r="E843" t="str">
        <f>_xlfn.XLOOKUP(A843, ORIGEM!A:A, ORIGEM!B:B)</f>
        <v>Google</v>
      </c>
      <c r="F843" t="str">
        <f>_xlfn.XLOOKUP(A843, ORIGEM!A:A, ORIGEM!C:C)</f>
        <v>google - cpc</v>
      </c>
      <c r="G843" t="str">
        <f>_xlfn.XLOOKUP(A843, LOCAL!A:A, LOCAL!B:B)</f>
        <v>São Paulo - SP</v>
      </c>
      <c r="H843" t="str">
        <f>_xlfn.XLOOKUP(A843, PORTE!A:A, PORTE!B:B)</f>
        <v>0</v>
      </c>
      <c r="I843" t="str">
        <f>_xlfn.XLOOKUP(A843, OBJETIVO!A:A, OBJETIVO!B:B)</f>
        <v>Ações de marketing/vendas</v>
      </c>
      <c r="J843">
        <f t="shared" si="13"/>
        <v>0</v>
      </c>
    </row>
    <row r="844" spans="1:10" x14ac:dyDescent="0.25">
      <c r="A844">
        <v>11631896</v>
      </c>
      <c r="B844" s="1">
        <v>45729.569201388891</v>
      </c>
      <c r="C844" t="s">
        <v>0</v>
      </c>
      <c r="D844" t="str">
        <f>VLOOKUP(A844,MERCADO!A:B,2,0)</f>
        <v>Marketing/Publicidade/Consultoria</v>
      </c>
      <c r="E844" t="str">
        <f>_xlfn.XLOOKUP(A844, ORIGEM!A:A, ORIGEM!B:B)</f>
        <v>Bing</v>
      </c>
      <c r="F844" t="str">
        <f>_xlfn.XLOOKUP(A844, ORIGEM!A:A, ORIGEM!C:C)</f>
        <v>bing - cpc</v>
      </c>
      <c r="G844" t="str">
        <f>_xlfn.XLOOKUP(A844, LOCAL!A:A, LOCAL!B:B)</f>
        <v>São Bernardo do Campo - SP</v>
      </c>
      <c r="H844" t="str">
        <f>_xlfn.XLOOKUP(A844, PORTE!A:A, PORTE!B:B)</f>
        <v>0</v>
      </c>
      <c r="I844" t="str">
        <f>_xlfn.XLOOKUP(A844, OBJETIVO!A:A, OBJETIVO!B:B)</f>
        <v>Planejamento estratégico</v>
      </c>
      <c r="J844">
        <f t="shared" si="13"/>
        <v>0</v>
      </c>
    </row>
    <row r="845" spans="1:10" x14ac:dyDescent="0.25">
      <c r="A845">
        <v>10701390</v>
      </c>
      <c r="B845" s="1">
        <v>45637.922615740739</v>
      </c>
      <c r="C845" t="s">
        <v>0</v>
      </c>
      <c r="D845" t="str">
        <f>VLOOKUP(A845,MERCADO!A:B,2,0)</f>
        <v>Marketing/Publicidade/Consultoria</v>
      </c>
      <c r="E845" t="str">
        <f>_xlfn.XLOOKUP(A845, ORIGEM!A:A, ORIGEM!B:B)</f>
        <v>Bing</v>
      </c>
      <c r="F845" t="str">
        <f>_xlfn.XLOOKUP(A845, ORIGEM!A:A, ORIGEM!C:C)</f>
        <v>bing - cpc</v>
      </c>
      <c r="G845" t="str">
        <f>_xlfn.XLOOKUP(A845, LOCAL!A:A, LOCAL!B:B)</f>
        <v>Erechim - RS</v>
      </c>
      <c r="H845" t="str">
        <f>_xlfn.XLOOKUP(A845, PORTE!A:A, PORTE!B:B)</f>
        <v>0</v>
      </c>
      <c r="I845" t="str">
        <f>_xlfn.XLOOKUP(A845, OBJETIVO!A:A, OBJETIVO!B:B)</f>
        <v>Consultoria</v>
      </c>
      <c r="J845">
        <f t="shared" si="13"/>
        <v>0</v>
      </c>
    </row>
    <row r="846" spans="1:10" x14ac:dyDescent="0.25">
      <c r="A846">
        <v>11578041</v>
      </c>
      <c r="B846" s="1">
        <v>45724.94672453704</v>
      </c>
      <c r="C846" t="s">
        <v>0</v>
      </c>
      <c r="D846" t="str">
        <f>VLOOKUP(A846,MERCADO!A:B,2,0)</f>
        <v>Marketing/Publicidade/Consultoria</v>
      </c>
      <c r="E846" t="str">
        <f>_xlfn.XLOOKUP(A846, ORIGEM!A:A, ORIGEM!B:B)</f>
        <v>Instagram</v>
      </c>
      <c r="F846" t="str">
        <f>_xlfn.XLOOKUP(A846, ORIGEM!A:A, ORIGEM!C:C)</f>
        <v>instagram - social</v>
      </c>
      <c r="G846" t="str">
        <f>_xlfn.XLOOKUP(A846, LOCAL!A:A, LOCAL!B:B)</f>
        <v>Palhoca - SC</v>
      </c>
      <c r="H846" t="str">
        <f>_xlfn.XLOOKUP(A846, PORTE!A:A, PORTE!B:B)</f>
        <v>1-10</v>
      </c>
      <c r="I846" t="str">
        <f>_xlfn.XLOOKUP(A846, OBJETIVO!A:A, OBJETIVO!B:B)</f>
        <v>Ações de marketing/vendas</v>
      </c>
      <c r="J846">
        <f t="shared" si="13"/>
        <v>0</v>
      </c>
    </row>
    <row r="847" spans="1:10" x14ac:dyDescent="0.25">
      <c r="A847">
        <v>11557827</v>
      </c>
      <c r="B847" s="1">
        <v>45721.980231481481</v>
      </c>
      <c r="C847" t="s">
        <v>0</v>
      </c>
      <c r="D847" t="str">
        <f>VLOOKUP(A847,MERCADO!A:B,2,0)</f>
        <v>Marketing/Publicidade/Consultoria</v>
      </c>
      <c r="E847" t="str">
        <f>_xlfn.XLOOKUP(A847, ORIGEM!A:A, ORIGEM!B:B)</f>
        <v>Instagram</v>
      </c>
      <c r="F847" t="str">
        <f>_xlfn.XLOOKUP(A847, ORIGEM!A:A, ORIGEM!C:C)</f>
        <v>instagram - social</v>
      </c>
      <c r="G847" t="str">
        <f>_xlfn.XLOOKUP(A847, LOCAL!A:A, LOCAL!B:B)</f>
        <v>São Paulo - SP</v>
      </c>
      <c r="H847" t="str">
        <f>_xlfn.XLOOKUP(A847, PORTE!A:A, PORTE!B:B)</f>
        <v>1-10</v>
      </c>
      <c r="I847" t="str">
        <f>_xlfn.XLOOKUP(A847, OBJETIVO!A:A, OBJETIVO!B:B)</f>
        <v>Ações de marketing/vendas</v>
      </c>
      <c r="J847">
        <f t="shared" si="13"/>
        <v>0</v>
      </c>
    </row>
    <row r="848" spans="1:10" x14ac:dyDescent="0.25">
      <c r="A848">
        <v>11406061</v>
      </c>
      <c r="B848" s="1">
        <v>45708.039317129631</v>
      </c>
      <c r="C848" t="s">
        <v>0</v>
      </c>
      <c r="D848" t="str">
        <f>VLOOKUP(A848,MERCADO!A:B,2,0)</f>
        <v>Marketing/Publicidade/Consultoria</v>
      </c>
      <c r="E848" t="str">
        <f>_xlfn.XLOOKUP(A848, ORIGEM!A:A, ORIGEM!B:B)</f>
        <v>Instagram</v>
      </c>
      <c r="F848" t="str">
        <f>_xlfn.XLOOKUP(A848, ORIGEM!A:A, ORIGEM!C:C)</f>
        <v>instagram - social</v>
      </c>
      <c r="G848" t="str">
        <f>_xlfn.XLOOKUP(A848, LOCAL!A:A, LOCAL!B:B)</f>
        <v>São Paulo - SP</v>
      </c>
      <c r="H848" t="str">
        <f>_xlfn.XLOOKUP(A848, PORTE!A:A, PORTE!B:B)</f>
        <v>0</v>
      </c>
      <c r="I848" t="str">
        <f>_xlfn.XLOOKUP(A848, OBJETIVO!A:A, OBJETIVO!B:B)</f>
        <v>Ações de marketing/vendas</v>
      </c>
      <c r="J848">
        <f t="shared" si="13"/>
        <v>0</v>
      </c>
    </row>
    <row r="849" spans="1:10" x14ac:dyDescent="0.25">
      <c r="A849">
        <v>12003726</v>
      </c>
      <c r="B849" s="1">
        <v>45762.651192129626</v>
      </c>
      <c r="C849" t="s">
        <v>0</v>
      </c>
      <c r="D849" t="str">
        <f>VLOOKUP(A849,MERCADO!A:B,2,0)</f>
        <v>Marketing/Publicidade/Consultoria</v>
      </c>
      <c r="E849" t="str">
        <f>_xlfn.XLOOKUP(A849, ORIGEM!A:A, ORIGEM!B:B)</f>
        <v>Google</v>
      </c>
      <c r="F849" t="str">
        <f>_xlfn.XLOOKUP(A849, ORIGEM!A:A, ORIGEM!C:C)</f>
        <v>google - cpc</v>
      </c>
      <c r="G849" t="str">
        <f>_xlfn.XLOOKUP(A849, LOCAL!A:A, LOCAL!B:B)</f>
        <v>Belo Horizonte - MG</v>
      </c>
      <c r="H849" t="str">
        <f>_xlfn.XLOOKUP(A849, PORTE!A:A, PORTE!B:B)</f>
        <v>11-50</v>
      </c>
      <c r="I849" t="str">
        <f>_xlfn.XLOOKUP(A849, OBJETIVO!A:A, OBJETIVO!B:B)</f>
        <v>Consultoria</v>
      </c>
      <c r="J849">
        <f t="shared" si="13"/>
        <v>0</v>
      </c>
    </row>
    <row r="850" spans="1:10" x14ac:dyDescent="0.25">
      <c r="A850">
        <v>11915277</v>
      </c>
      <c r="B850" s="1">
        <v>45755.593935185185</v>
      </c>
      <c r="C850" t="s">
        <v>0</v>
      </c>
      <c r="D850" t="str">
        <f>VLOOKUP(A850,MERCADO!A:B,2,0)</f>
        <v>Marketing/Publicidade/Consultoria</v>
      </c>
      <c r="E850" t="str">
        <f>_xlfn.XLOOKUP(A850, ORIGEM!A:A, ORIGEM!B:B)</f>
        <v>Google</v>
      </c>
      <c r="F850" t="str">
        <f>_xlfn.XLOOKUP(A850, ORIGEM!A:A, ORIGEM!C:C)</f>
        <v>google - cpc</v>
      </c>
      <c r="G850" t="str">
        <f>_xlfn.XLOOKUP(A850, LOCAL!A:A, LOCAL!B:B)</f>
        <v>Marica - RJ</v>
      </c>
      <c r="H850" t="str">
        <f>_xlfn.XLOOKUP(A850, PORTE!A:A, PORTE!B:B)</f>
        <v>11-50</v>
      </c>
      <c r="I850" t="str">
        <f>_xlfn.XLOOKUP(A850, OBJETIVO!A:A, OBJETIVO!B:B)</f>
        <v>Abertura/Expansão</v>
      </c>
      <c r="J850">
        <f t="shared" si="13"/>
        <v>0</v>
      </c>
    </row>
    <row r="851" spans="1:10" x14ac:dyDescent="0.25">
      <c r="A851">
        <v>11927936</v>
      </c>
      <c r="B851" s="1">
        <v>45756.441122685188</v>
      </c>
      <c r="C851" t="s">
        <v>0</v>
      </c>
      <c r="D851" t="str">
        <f>VLOOKUP(A851,MERCADO!A:B,2,0)</f>
        <v>Marketing/Publicidade/Consultoria</v>
      </c>
      <c r="E851" t="str">
        <f>_xlfn.XLOOKUP(A851, ORIGEM!A:A, ORIGEM!B:B)</f>
        <v>Google</v>
      </c>
      <c r="F851" t="str">
        <f>_xlfn.XLOOKUP(A851, ORIGEM!A:A, ORIGEM!C:C)</f>
        <v>google - cpc</v>
      </c>
      <c r="G851" t="str">
        <f>_xlfn.XLOOKUP(A851, LOCAL!A:A, LOCAL!B:B)</f>
        <v>Piedade - SP</v>
      </c>
      <c r="H851" t="str">
        <f>_xlfn.XLOOKUP(A851, PORTE!A:A, PORTE!B:B)</f>
        <v>0</v>
      </c>
      <c r="I851" t="str">
        <f>_xlfn.XLOOKUP(A851, OBJETIVO!A:A, OBJETIVO!B:B)</f>
        <v>Consultoria</v>
      </c>
      <c r="J851">
        <f t="shared" si="13"/>
        <v>0</v>
      </c>
    </row>
    <row r="852" spans="1:10" x14ac:dyDescent="0.25">
      <c r="A852">
        <v>11722345</v>
      </c>
      <c r="B852" s="1">
        <v>45738.661493055559</v>
      </c>
      <c r="C852" t="s">
        <v>0</v>
      </c>
      <c r="D852" t="str">
        <f>VLOOKUP(A852,MERCADO!A:B,2,0)</f>
        <v>Marketing/Publicidade/Consultoria</v>
      </c>
      <c r="E852" t="str">
        <f>_xlfn.XLOOKUP(A852, ORIGEM!A:A, ORIGEM!B:B)</f>
        <v>email</v>
      </c>
      <c r="F852">
        <f>_xlfn.XLOOKUP(A852, ORIGEM!A:A, ORIGEM!C:C)</f>
        <v>0</v>
      </c>
      <c r="G852" t="str">
        <f>_xlfn.XLOOKUP(A852, LOCAL!A:A, LOCAL!B:B)</f>
        <v>-</v>
      </c>
      <c r="H852" t="str">
        <f>_xlfn.XLOOKUP(A852, PORTE!A:A, PORTE!B:B)</f>
        <v>1-10</v>
      </c>
      <c r="I852" t="str">
        <f>_xlfn.XLOOKUP(A852, OBJETIVO!A:A, OBJETIVO!B:B)</f>
        <v>Consultoria</v>
      </c>
      <c r="J852">
        <f t="shared" si="13"/>
        <v>0</v>
      </c>
    </row>
    <row r="853" spans="1:10" x14ac:dyDescent="0.25">
      <c r="A853">
        <v>11118407</v>
      </c>
      <c r="B853" s="1">
        <v>45683.479513888888</v>
      </c>
      <c r="C853" t="s">
        <v>0</v>
      </c>
      <c r="D853" t="str">
        <f>VLOOKUP(A853,MERCADO!A:B,2,0)</f>
        <v>Marketing/Publicidade/Consultoria</v>
      </c>
      <c r="E853" t="str">
        <f>_xlfn.XLOOKUP(A853, ORIGEM!A:A, ORIGEM!B:B)</f>
        <v>rep</v>
      </c>
      <c r="F853" t="str">
        <f>_xlfn.XLOOKUP(A853, ORIGEM!A:A, ORIGEM!C:C)</f>
        <v>rep - ximena-cubillos</v>
      </c>
      <c r="G853" t="str">
        <f>_xlfn.XLOOKUP(A853, LOCAL!A:A, LOCAL!B:B)</f>
        <v>Curitiba - PR</v>
      </c>
      <c r="H853" t="str">
        <f>_xlfn.XLOOKUP(A853, PORTE!A:A, PORTE!B:B)</f>
        <v>1-10</v>
      </c>
      <c r="I853" t="str">
        <f>_xlfn.XLOOKUP(A853, OBJETIVO!A:A, OBJETIVO!B:B)</f>
        <v>Abertura/Expansão</v>
      </c>
      <c r="J853">
        <f t="shared" si="13"/>
        <v>0</v>
      </c>
    </row>
    <row r="854" spans="1:10" x14ac:dyDescent="0.25">
      <c r="A854">
        <v>11546605</v>
      </c>
      <c r="B854" s="1">
        <v>45721.398287037038</v>
      </c>
      <c r="C854" t="s">
        <v>0</v>
      </c>
      <c r="D854" t="str">
        <f>VLOOKUP(A854,MERCADO!A:B,2,0)</f>
        <v>Marketing/Publicidade/Consultoria</v>
      </c>
      <c r="E854" t="str">
        <f>_xlfn.XLOOKUP(A854, ORIGEM!A:A, ORIGEM!B:B)</f>
        <v>Facebook</v>
      </c>
      <c r="F854" t="str">
        <f>_xlfn.XLOOKUP(A854, ORIGEM!A:A, ORIGEM!C:C)</f>
        <v>facebook - cpc</v>
      </c>
      <c r="G854" t="str">
        <f>_xlfn.XLOOKUP(A854, LOCAL!A:A, LOCAL!B:B)</f>
        <v>Seropedica - RJ</v>
      </c>
      <c r="H854" t="str">
        <f>_xlfn.XLOOKUP(A854, PORTE!A:A, PORTE!B:B)</f>
        <v>1-10</v>
      </c>
      <c r="I854" t="str">
        <f>_xlfn.XLOOKUP(A854, OBJETIVO!A:A, OBJETIVO!B:B)</f>
        <v>Abertura/Expansão</v>
      </c>
      <c r="J854">
        <f t="shared" si="13"/>
        <v>0</v>
      </c>
    </row>
    <row r="855" spans="1:10" x14ac:dyDescent="0.25">
      <c r="A855">
        <v>11556974</v>
      </c>
      <c r="B855" s="1">
        <v>45721.762499999997</v>
      </c>
      <c r="C855" t="s">
        <v>0</v>
      </c>
      <c r="D855" t="str">
        <f>VLOOKUP(A855,MERCADO!A:B,2,0)</f>
        <v>Marketing/Publicidade/Consultoria</v>
      </c>
      <c r="E855" t="str">
        <f>_xlfn.XLOOKUP(A855, ORIGEM!A:A, ORIGEM!B:B)</f>
        <v>Facebook</v>
      </c>
      <c r="F855" t="str">
        <f>_xlfn.XLOOKUP(A855, ORIGEM!A:A, ORIGEM!C:C)</f>
        <v>facebook - cpc</v>
      </c>
      <c r="G855" t="str">
        <f>_xlfn.XLOOKUP(A855, LOCAL!A:A, LOCAL!B:B)</f>
        <v>Araxá - MG</v>
      </c>
      <c r="H855" t="str">
        <f>_xlfn.XLOOKUP(A855, PORTE!A:A, PORTE!B:B)</f>
        <v>1-10</v>
      </c>
      <c r="I855" t="str">
        <f>_xlfn.XLOOKUP(A855, OBJETIVO!A:A, OBJETIVO!B:B)</f>
        <v>Geração de leads b2b</v>
      </c>
      <c r="J855">
        <f t="shared" si="13"/>
        <v>0</v>
      </c>
    </row>
    <row r="856" spans="1:10" x14ac:dyDescent="0.25">
      <c r="A856">
        <v>11551951</v>
      </c>
      <c r="B856" s="1">
        <v>45721.528229166666</v>
      </c>
      <c r="C856" t="s">
        <v>0</v>
      </c>
      <c r="D856" t="str">
        <f>VLOOKUP(A856,MERCADO!A:B,2,0)</f>
        <v>Marketing/Publicidade/Consultoria</v>
      </c>
      <c r="E856" t="str">
        <f>_xlfn.XLOOKUP(A856, ORIGEM!A:A, ORIGEM!B:B)</f>
        <v>Facebook</v>
      </c>
      <c r="F856" t="str">
        <f>_xlfn.XLOOKUP(A856, ORIGEM!A:A, ORIGEM!C:C)</f>
        <v>facebook - cpc</v>
      </c>
      <c r="G856" t="str">
        <f>_xlfn.XLOOKUP(A856, LOCAL!A:A, LOCAL!B:B)</f>
        <v>Itapema - SC</v>
      </c>
      <c r="H856" t="str">
        <f>_xlfn.XLOOKUP(A856, PORTE!A:A, PORTE!B:B)</f>
        <v>1-10</v>
      </c>
      <c r="I856" t="str">
        <f>_xlfn.XLOOKUP(A856, OBJETIVO!A:A, OBJETIVO!B:B)</f>
        <v>Abertura/Expansão</v>
      </c>
      <c r="J856">
        <f t="shared" si="13"/>
        <v>0</v>
      </c>
    </row>
    <row r="857" spans="1:10" x14ac:dyDescent="0.25">
      <c r="A857">
        <v>11607906</v>
      </c>
      <c r="B857" s="1">
        <v>45727.313831018517</v>
      </c>
      <c r="C857" t="s">
        <v>0</v>
      </c>
      <c r="D857" t="str">
        <f>VLOOKUP(A857,MERCADO!A:B,2,0)</f>
        <v>Marketing/Publicidade/Consultoria</v>
      </c>
      <c r="E857" t="str">
        <f>_xlfn.XLOOKUP(A857, ORIGEM!A:A, ORIGEM!B:B)</f>
        <v>Facebook</v>
      </c>
      <c r="F857" t="str">
        <f>_xlfn.XLOOKUP(A857, ORIGEM!A:A, ORIGEM!C:C)</f>
        <v>facebook - cpc</v>
      </c>
      <c r="G857" t="str">
        <f>_xlfn.XLOOKUP(A857, LOCAL!A:A, LOCAL!B:B)</f>
        <v>Belo Horizonte - MG</v>
      </c>
      <c r="H857" t="str">
        <f>_xlfn.XLOOKUP(A857, PORTE!A:A, PORTE!B:B)</f>
        <v>0</v>
      </c>
      <c r="I857" t="str">
        <f>_xlfn.XLOOKUP(A857, OBJETIVO!A:A, OBJETIVO!B:B)</f>
        <v>Geração de leads b2b</v>
      </c>
      <c r="J857">
        <f t="shared" si="13"/>
        <v>0</v>
      </c>
    </row>
    <row r="858" spans="1:10" x14ac:dyDescent="0.25">
      <c r="A858">
        <v>11555511</v>
      </c>
      <c r="B858" s="1">
        <v>45721.671712962961</v>
      </c>
      <c r="C858" t="s">
        <v>0</v>
      </c>
      <c r="D858" t="str">
        <f>VLOOKUP(A858,MERCADO!A:B,2,0)</f>
        <v>Servicos</v>
      </c>
      <c r="E858" t="str">
        <f>_xlfn.XLOOKUP(A858, ORIGEM!A:A, ORIGEM!B:B)</f>
        <v>Facebook</v>
      </c>
      <c r="F858" t="str">
        <f>_xlfn.XLOOKUP(A858, ORIGEM!A:A, ORIGEM!C:C)</f>
        <v>facebook - cpc</v>
      </c>
      <c r="G858" t="str">
        <f>_xlfn.XLOOKUP(A858, LOCAL!A:A, LOCAL!B:B)</f>
        <v>Maceió - AL</v>
      </c>
      <c r="H858" t="str">
        <f>_xlfn.XLOOKUP(A858, PORTE!A:A, PORTE!B:B)</f>
        <v>1-10</v>
      </c>
      <c r="I858" t="str">
        <f>_xlfn.XLOOKUP(A858, OBJETIVO!A:A, OBJETIVO!B:B)</f>
        <v>Ações de marketing/vendas</v>
      </c>
      <c r="J858">
        <f t="shared" si="13"/>
        <v>0</v>
      </c>
    </row>
    <row r="859" spans="1:10" x14ac:dyDescent="0.25">
      <c r="A859">
        <v>11406696</v>
      </c>
      <c r="B859" s="1">
        <v>45708.407673611109</v>
      </c>
      <c r="C859" t="s">
        <v>0</v>
      </c>
      <c r="D859" t="str">
        <f>VLOOKUP(A859,MERCADO!A:B,2,0)</f>
        <v>Tecnologia</v>
      </c>
      <c r="E859" t="str">
        <f>_xlfn.XLOOKUP(A859, ORIGEM!A:A, ORIGEM!B:B)</f>
        <v>Facebook</v>
      </c>
      <c r="F859" t="str">
        <f>_xlfn.XLOOKUP(A859, ORIGEM!A:A, ORIGEM!C:C)</f>
        <v>facebook - cpc</v>
      </c>
      <c r="G859" t="str">
        <f>_xlfn.XLOOKUP(A859, LOCAL!A:A, LOCAL!B:B)</f>
        <v>Monte Dourado - PA</v>
      </c>
      <c r="H859" t="str">
        <f>_xlfn.XLOOKUP(A859, PORTE!A:A, PORTE!B:B)</f>
        <v>11-50</v>
      </c>
      <c r="I859" t="str">
        <f>_xlfn.XLOOKUP(A859, OBJETIVO!A:A, OBJETIVO!B:B)</f>
        <v>Ações de marketing/vendas</v>
      </c>
      <c r="J859">
        <f t="shared" si="13"/>
        <v>0</v>
      </c>
    </row>
    <row r="860" spans="1:10" x14ac:dyDescent="0.25">
      <c r="A860">
        <v>11611688</v>
      </c>
      <c r="B860" s="1">
        <v>45727.496724537035</v>
      </c>
      <c r="C860" t="s">
        <v>0</v>
      </c>
      <c r="D860" t="str">
        <f>VLOOKUP(A860,MERCADO!A:B,2,0)</f>
        <v>Marketing/Publicidade/Consultoria</v>
      </c>
      <c r="E860" t="str">
        <f>_xlfn.XLOOKUP(A860, ORIGEM!A:A, ORIGEM!B:B)</f>
        <v>Bing</v>
      </c>
      <c r="F860" t="str">
        <f>_xlfn.XLOOKUP(A860, ORIGEM!A:A, ORIGEM!C:C)</f>
        <v>bing - cpc</v>
      </c>
      <c r="G860" t="str">
        <f>_xlfn.XLOOKUP(A860, LOCAL!A:A, LOCAL!B:B)</f>
        <v>Macapá - AP</v>
      </c>
      <c r="H860" t="str">
        <f>_xlfn.XLOOKUP(A860, PORTE!A:A, PORTE!B:B)</f>
        <v>1-10</v>
      </c>
      <c r="I860" t="str">
        <f>_xlfn.XLOOKUP(A860, OBJETIVO!A:A, OBJETIVO!B:B)</f>
        <v>Geração de leads b2b</v>
      </c>
      <c r="J860">
        <f t="shared" si="13"/>
        <v>0</v>
      </c>
    </row>
    <row r="861" spans="1:10" x14ac:dyDescent="0.25">
      <c r="A861">
        <v>10803906</v>
      </c>
      <c r="B861" s="1">
        <v>45648.811284722222</v>
      </c>
      <c r="C861" t="s">
        <v>0</v>
      </c>
      <c r="D861" t="str">
        <f>VLOOKUP(A861,MERCADO!A:B,2,0)</f>
        <v>Empreendedor</v>
      </c>
      <c r="E861" t="str">
        <f>_xlfn.XLOOKUP(A861, ORIGEM!A:A, ORIGEM!B:B)</f>
        <v>Google</v>
      </c>
      <c r="F861" t="str">
        <f>_xlfn.XLOOKUP(A861, ORIGEM!A:A, ORIGEM!C:C)</f>
        <v>google - cpc</v>
      </c>
      <c r="G861" t="str">
        <f>_xlfn.XLOOKUP(A861, LOCAL!A:A, LOCAL!B:B)</f>
        <v>Salvador - BA</v>
      </c>
      <c r="H861" t="str">
        <f>_xlfn.XLOOKUP(A861, PORTE!A:A, PORTE!B:B)</f>
        <v>0</v>
      </c>
      <c r="I861" t="str">
        <f>_xlfn.XLOOKUP(A861, OBJETIVO!A:A, OBJETIVO!B:B)</f>
        <v>Planejamento estratégico</v>
      </c>
      <c r="J861">
        <f t="shared" si="13"/>
        <v>0</v>
      </c>
    </row>
    <row r="862" spans="1:10" x14ac:dyDescent="0.25">
      <c r="A862">
        <v>11578096</v>
      </c>
      <c r="B862" s="1">
        <v>45724.961747685185</v>
      </c>
      <c r="C862" t="s">
        <v>0</v>
      </c>
      <c r="D862" t="str">
        <f>VLOOKUP(A862,MERCADO!A:B,2,0)</f>
        <v>Marketing/Publicidade/Consultoria</v>
      </c>
      <c r="E862" t="str">
        <f>_xlfn.XLOOKUP(A862, ORIGEM!A:A, ORIGEM!B:B)</f>
        <v>Facebook</v>
      </c>
      <c r="F862" t="str">
        <f>_xlfn.XLOOKUP(A862, ORIGEM!A:A, ORIGEM!C:C)</f>
        <v>facebook - cpc</v>
      </c>
      <c r="G862" t="str">
        <f>_xlfn.XLOOKUP(A862, LOCAL!A:A, LOCAL!B:B)</f>
        <v>Eunapolis - BA</v>
      </c>
      <c r="H862" t="str">
        <f>_xlfn.XLOOKUP(A862, PORTE!A:A, PORTE!B:B)</f>
        <v>0</v>
      </c>
      <c r="I862" t="str">
        <f>_xlfn.XLOOKUP(A862, OBJETIVO!A:A, OBJETIVO!B:B)</f>
        <v>Planejamento estratégico</v>
      </c>
      <c r="J862">
        <f t="shared" si="13"/>
        <v>0</v>
      </c>
    </row>
    <row r="863" spans="1:10" x14ac:dyDescent="0.25">
      <c r="A863">
        <v>11397768</v>
      </c>
      <c r="B863" s="1">
        <v>45707.410567129627</v>
      </c>
      <c r="C863" t="s">
        <v>0</v>
      </c>
      <c r="D863" t="str">
        <f>VLOOKUP(A863,MERCADO!A:B,2,0)</f>
        <v>Servicos</v>
      </c>
      <c r="E863" t="str">
        <f>_xlfn.XLOOKUP(A863, ORIGEM!A:A, ORIGEM!B:B)</f>
        <v>Facebook</v>
      </c>
      <c r="F863" t="str">
        <f>_xlfn.XLOOKUP(A863, ORIGEM!A:A, ORIGEM!C:C)</f>
        <v>facebook - cpc</v>
      </c>
      <c r="G863" t="str">
        <f>_xlfn.XLOOKUP(A863, LOCAL!A:A, LOCAL!B:B)</f>
        <v>Salvador - BA</v>
      </c>
      <c r="H863" t="str">
        <f>_xlfn.XLOOKUP(A863, PORTE!A:A, PORTE!B:B)</f>
        <v>1-10</v>
      </c>
      <c r="I863" t="str">
        <f>_xlfn.XLOOKUP(A863, OBJETIVO!A:A, OBJETIVO!B:B)</f>
        <v>Geração de leads b2b</v>
      </c>
      <c r="J863">
        <f t="shared" si="13"/>
        <v>0</v>
      </c>
    </row>
    <row r="864" spans="1:10" x14ac:dyDescent="0.25">
      <c r="A864">
        <v>11577519</v>
      </c>
      <c r="B864" s="1">
        <v>45724.848900462966</v>
      </c>
      <c r="C864" t="s">
        <v>0</v>
      </c>
      <c r="D864" t="str">
        <f>VLOOKUP(A864,MERCADO!A:B,2,0)</f>
        <v>Empreendedor</v>
      </c>
      <c r="E864" t="str">
        <f>_xlfn.XLOOKUP(A864, ORIGEM!A:A, ORIGEM!B:B)</f>
        <v>Facebook</v>
      </c>
      <c r="F864" t="str">
        <f>_xlfn.XLOOKUP(A864, ORIGEM!A:A, ORIGEM!C:C)</f>
        <v>facebook - cpc</v>
      </c>
      <c r="G864" t="str">
        <f>_xlfn.XLOOKUP(A864, LOCAL!A:A, LOCAL!B:B)</f>
        <v>Porto Seguro - BA</v>
      </c>
      <c r="H864" t="str">
        <f>_xlfn.XLOOKUP(A864, PORTE!A:A, PORTE!B:B)</f>
        <v>1-10</v>
      </c>
      <c r="I864" t="str">
        <f>_xlfn.XLOOKUP(A864, OBJETIVO!A:A, OBJETIVO!B:B)</f>
        <v>Ações de marketing/vendas</v>
      </c>
      <c r="J864">
        <f t="shared" si="13"/>
        <v>0</v>
      </c>
    </row>
    <row r="865" spans="1:10" x14ac:dyDescent="0.25">
      <c r="A865">
        <v>11543483</v>
      </c>
      <c r="B865" s="1">
        <v>45720.925173611111</v>
      </c>
      <c r="C865" t="s">
        <v>0</v>
      </c>
      <c r="D865" t="str">
        <f>VLOOKUP(A865,MERCADO!A:B,2,0)</f>
        <v>Tecnologia</v>
      </c>
      <c r="E865" t="str">
        <f>_xlfn.XLOOKUP(A865, ORIGEM!A:A, ORIGEM!B:B)</f>
        <v>Facebook</v>
      </c>
      <c r="F865" t="str">
        <f>_xlfn.XLOOKUP(A865, ORIGEM!A:A, ORIGEM!C:C)</f>
        <v>facebook - cpc</v>
      </c>
      <c r="G865" t="str">
        <f>_xlfn.XLOOKUP(A865, LOCAL!A:A, LOCAL!B:B)</f>
        <v>Jacobina - BA</v>
      </c>
      <c r="H865" t="str">
        <f>_xlfn.XLOOKUP(A865, PORTE!A:A, PORTE!B:B)</f>
        <v>1-10</v>
      </c>
      <c r="I865" t="str">
        <f>_xlfn.XLOOKUP(A865, OBJETIVO!A:A, OBJETIVO!B:B)</f>
        <v>Geração de leads b2b</v>
      </c>
      <c r="J865">
        <f t="shared" si="13"/>
        <v>0</v>
      </c>
    </row>
    <row r="866" spans="1:10" x14ac:dyDescent="0.25">
      <c r="A866">
        <v>11543243</v>
      </c>
      <c r="B866" s="1">
        <v>45720.880462962959</v>
      </c>
      <c r="C866" t="s">
        <v>0</v>
      </c>
      <c r="D866" t="str">
        <f>VLOOKUP(A866,MERCADO!A:B,2,0)</f>
        <v>Varejo</v>
      </c>
      <c r="E866" t="str">
        <f>_xlfn.XLOOKUP(A866, ORIGEM!A:A, ORIGEM!B:B)</f>
        <v>Facebook</v>
      </c>
      <c r="F866" t="str">
        <f>_xlfn.XLOOKUP(A866, ORIGEM!A:A, ORIGEM!C:C)</f>
        <v>facebook - cpc</v>
      </c>
      <c r="G866" t="str">
        <f>_xlfn.XLOOKUP(A866, LOCAL!A:A, LOCAL!B:B)</f>
        <v>Santana do Ipanema - AL</v>
      </c>
      <c r="H866" t="str">
        <f>_xlfn.XLOOKUP(A866, PORTE!A:A, PORTE!B:B)</f>
        <v>51-300</v>
      </c>
      <c r="I866" t="str">
        <f>_xlfn.XLOOKUP(A866, OBJETIVO!A:A, OBJETIVO!B:B)</f>
        <v>Geração de leads b2b</v>
      </c>
      <c r="J866">
        <f t="shared" si="13"/>
        <v>0</v>
      </c>
    </row>
    <row r="867" spans="1:10" x14ac:dyDescent="0.25">
      <c r="A867">
        <v>11410871</v>
      </c>
      <c r="B867" s="1">
        <v>45709.884444444448</v>
      </c>
      <c r="C867" t="s">
        <v>0</v>
      </c>
      <c r="D867" t="str">
        <f>VLOOKUP(A867,MERCADO!A:B,2,0)</f>
        <v>Varejo</v>
      </c>
      <c r="E867" t="str">
        <f>_xlfn.XLOOKUP(A867, ORIGEM!A:A, ORIGEM!B:B)</f>
        <v>Google</v>
      </c>
      <c r="F867" t="str">
        <f>_xlfn.XLOOKUP(A867, ORIGEM!A:A, ORIGEM!C:C)</f>
        <v>google - cpc</v>
      </c>
      <c r="G867" t="str">
        <f>_xlfn.XLOOKUP(A867, LOCAL!A:A, LOCAL!B:B)</f>
        <v>Vicosa - AL</v>
      </c>
      <c r="H867" t="str">
        <f>_xlfn.XLOOKUP(A867, PORTE!A:A, PORTE!B:B)</f>
        <v>1-10</v>
      </c>
      <c r="I867" t="str">
        <f>_xlfn.XLOOKUP(A867, OBJETIVO!A:A, OBJETIVO!B:B)</f>
        <v>Outro</v>
      </c>
      <c r="J867">
        <f t="shared" si="13"/>
        <v>0</v>
      </c>
    </row>
    <row r="868" spans="1:10" x14ac:dyDescent="0.25">
      <c r="A868">
        <v>11438527</v>
      </c>
      <c r="B868" s="1">
        <v>45711.710636574076</v>
      </c>
      <c r="C868" t="s">
        <v>0</v>
      </c>
      <c r="D868" t="str">
        <f>VLOOKUP(A868,MERCADO!A:B,2,0)</f>
        <v>Varejo</v>
      </c>
      <c r="E868" t="str">
        <f>_xlfn.XLOOKUP(A868, ORIGEM!A:A, ORIGEM!B:B)</f>
        <v>Google</v>
      </c>
      <c r="F868" t="str">
        <f>_xlfn.XLOOKUP(A868, ORIGEM!A:A, ORIGEM!C:C)</f>
        <v>google - cpc</v>
      </c>
      <c r="G868" t="str">
        <f>_xlfn.XLOOKUP(A868, LOCAL!A:A, LOCAL!B:B)</f>
        <v>Manaus - AM</v>
      </c>
      <c r="H868" t="str">
        <f>_xlfn.XLOOKUP(A868, PORTE!A:A, PORTE!B:B)</f>
        <v>51-300</v>
      </c>
      <c r="I868" t="str">
        <f>_xlfn.XLOOKUP(A868, OBJETIVO!A:A, OBJETIVO!B:B)</f>
        <v>Abertura/Expansão</v>
      </c>
      <c r="J868">
        <f t="shared" si="13"/>
        <v>0</v>
      </c>
    </row>
    <row r="869" spans="1:10" x14ac:dyDescent="0.25">
      <c r="A869">
        <v>11912313</v>
      </c>
      <c r="B869" s="1">
        <v>45755.476736111108</v>
      </c>
      <c r="C869" t="s">
        <v>0</v>
      </c>
      <c r="D869" t="str">
        <f>VLOOKUP(A869,MERCADO!A:B,2,0)</f>
        <v>Varejo</v>
      </c>
      <c r="E869" t="str">
        <f>_xlfn.XLOOKUP(A869, ORIGEM!A:A, ORIGEM!B:B)</f>
        <v>Bing</v>
      </c>
      <c r="F869" t="str">
        <f>_xlfn.XLOOKUP(A869, ORIGEM!A:A, ORIGEM!C:C)</f>
        <v>bing - cpc</v>
      </c>
      <c r="G869" t="str">
        <f>_xlfn.XLOOKUP(A869, LOCAL!A:A, LOCAL!B:B)</f>
        <v>Manaus - AM</v>
      </c>
      <c r="H869" t="str">
        <f>_xlfn.XLOOKUP(A869, PORTE!A:A, PORTE!B:B)</f>
        <v>11-50</v>
      </c>
      <c r="I869" t="str">
        <f>_xlfn.XLOOKUP(A869, OBJETIVO!A:A, OBJETIVO!B:B)</f>
        <v>Abertura/Expansão</v>
      </c>
      <c r="J869">
        <f t="shared" si="13"/>
        <v>0</v>
      </c>
    </row>
    <row r="870" spans="1:10" x14ac:dyDescent="0.25">
      <c r="A870">
        <v>11450954</v>
      </c>
      <c r="B870" s="1">
        <v>45712.703842592593</v>
      </c>
      <c r="C870" t="s">
        <v>0</v>
      </c>
      <c r="D870" t="str">
        <f>VLOOKUP(A870,MERCADO!A:B,2,0)</f>
        <v>Servicos</v>
      </c>
      <c r="E870" t="str">
        <f>_xlfn.XLOOKUP(A870, ORIGEM!A:A, ORIGEM!B:B)</f>
        <v>Google</v>
      </c>
      <c r="F870" t="str">
        <f>_xlfn.XLOOKUP(A870, ORIGEM!A:A, ORIGEM!C:C)</f>
        <v>google - cpc</v>
      </c>
      <c r="G870" t="str">
        <f>_xlfn.XLOOKUP(A870, LOCAL!A:A, LOCAL!B:B)</f>
        <v>Manaus - AM</v>
      </c>
      <c r="H870" t="str">
        <f>_xlfn.XLOOKUP(A870, PORTE!A:A, PORTE!B:B)</f>
        <v>1-10</v>
      </c>
      <c r="I870" t="str">
        <f>_xlfn.XLOOKUP(A870, OBJETIVO!A:A, OBJETIVO!B:B)</f>
        <v>Abertura/Expansão</v>
      </c>
      <c r="J870">
        <f t="shared" si="13"/>
        <v>0</v>
      </c>
    </row>
    <row r="871" spans="1:10" x14ac:dyDescent="0.25">
      <c r="A871">
        <v>11983393</v>
      </c>
      <c r="B871" s="1">
        <v>45761.479375000003</v>
      </c>
      <c r="C871" t="s">
        <v>0</v>
      </c>
      <c r="D871" t="str">
        <f>VLOOKUP(A871,MERCADO!A:B,2,0)</f>
        <v>Industria</v>
      </c>
      <c r="E871" t="str">
        <f>_xlfn.XLOOKUP(A871, ORIGEM!A:A, ORIGEM!B:B)</f>
        <v>Google</v>
      </c>
      <c r="F871" t="str">
        <f>_xlfn.XLOOKUP(A871, ORIGEM!A:A, ORIGEM!C:C)</f>
        <v>google - cpc</v>
      </c>
      <c r="G871" t="str">
        <f>_xlfn.XLOOKUP(A871, LOCAL!A:A, LOCAL!B:B)</f>
        <v>Manaus - AM</v>
      </c>
      <c r="H871" t="str">
        <f>_xlfn.XLOOKUP(A871, PORTE!A:A, PORTE!B:B)</f>
        <v>301-1000</v>
      </c>
      <c r="I871" t="str">
        <f>_xlfn.XLOOKUP(A871, OBJETIVO!A:A, OBJETIVO!B:B)</f>
        <v>Planejamento estratégico</v>
      </c>
      <c r="J871">
        <f t="shared" si="13"/>
        <v>0</v>
      </c>
    </row>
    <row r="872" spans="1:10" x14ac:dyDescent="0.25">
      <c r="A872">
        <v>10848825</v>
      </c>
      <c r="B872" s="1">
        <v>45658.51295138889</v>
      </c>
      <c r="C872" t="s">
        <v>0</v>
      </c>
      <c r="D872" t="str">
        <f>VLOOKUP(A872,MERCADO!A:B,2,0)</f>
        <v>Industria</v>
      </c>
      <c r="E872" t="str">
        <f>_xlfn.XLOOKUP(A872, ORIGEM!A:A, ORIGEM!B:B)</f>
        <v>Google</v>
      </c>
      <c r="F872" t="str">
        <f>_xlfn.XLOOKUP(A872, ORIGEM!A:A, ORIGEM!C:C)</f>
        <v>google - cpc</v>
      </c>
      <c r="G872" t="str">
        <f>_xlfn.XLOOKUP(A872, LOCAL!A:A, LOCAL!B:B)</f>
        <v>Canela - RS</v>
      </c>
      <c r="H872" t="str">
        <f>_xlfn.XLOOKUP(A872, PORTE!A:A, PORTE!B:B)</f>
        <v>1-10</v>
      </c>
      <c r="I872" t="str">
        <f>_xlfn.XLOOKUP(A872, OBJETIVO!A:A, OBJETIVO!B:B)</f>
        <v>Ações de marketing/vendas</v>
      </c>
      <c r="J872">
        <f t="shared" si="13"/>
        <v>0</v>
      </c>
    </row>
    <row r="873" spans="1:10" x14ac:dyDescent="0.25">
      <c r="A873">
        <v>10945780</v>
      </c>
      <c r="B873" s="1">
        <v>45669.481041666666</v>
      </c>
      <c r="C873" t="s">
        <v>0</v>
      </c>
      <c r="D873" t="str">
        <f>VLOOKUP(A873,MERCADO!A:B,2,0)</f>
        <v>Industria</v>
      </c>
      <c r="E873" t="str">
        <f>_xlfn.XLOOKUP(A873, ORIGEM!A:A, ORIGEM!B:B)</f>
        <v>Google</v>
      </c>
      <c r="F873" t="str">
        <f>_xlfn.XLOOKUP(A873, ORIGEM!A:A, ORIGEM!C:C)</f>
        <v>google - cpc</v>
      </c>
      <c r="G873" t="str">
        <f>_xlfn.XLOOKUP(A873, LOCAL!A:A, LOCAL!B:B)</f>
        <v>Parada de Lucas - RJ</v>
      </c>
      <c r="H873" t="str">
        <f>_xlfn.XLOOKUP(A873, PORTE!A:A, PORTE!B:B)</f>
        <v>301-1000</v>
      </c>
      <c r="I873" t="str">
        <f>_xlfn.XLOOKUP(A873, OBJETIVO!A:A, OBJETIVO!B:B)</f>
        <v>Abertura/Expansão</v>
      </c>
      <c r="J873">
        <f t="shared" si="13"/>
        <v>0</v>
      </c>
    </row>
    <row r="874" spans="1:10" x14ac:dyDescent="0.25">
      <c r="A874">
        <v>11557930</v>
      </c>
      <c r="B874" s="1">
        <v>45722.027094907404</v>
      </c>
      <c r="C874" t="s">
        <v>0</v>
      </c>
      <c r="D874" t="str">
        <f>VLOOKUP(A874,MERCADO!A:B,2,0)</f>
        <v>Industria</v>
      </c>
      <c r="E874" t="str">
        <f>_xlfn.XLOOKUP(A874, ORIGEM!A:A, ORIGEM!B:B)</f>
        <v>Orgânico</v>
      </c>
      <c r="F874">
        <f>_xlfn.XLOOKUP(A874, ORIGEM!A:A, ORIGEM!C:C)</f>
        <v>0</v>
      </c>
      <c r="G874" t="str">
        <f>_xlfn.XLOOKUP(A874, LOCAL!A:A, LOCAL!B:B)</f>
        <v>São Paulo - SP</v>
      </c>
      <c r="H874" t="str">
        <f>_xlfn.XLOOKUP(A874, PORTE!A:A, PORTE!B:B)</f>
        <v>1-10</v>
      </c>
      <c r="I874" t="str">
        <f>_xlfn.XLOOKUP(A874, OBJETIVO!A:A, OBJETIVO!B:B)</f>
        <v>Geração de leads b2b</v>
      </c>
      <c r="J874">
        <f t="shared" si="13"/>
        <v>0</v>
      </c>
    </row>
    <row r="875" spans="1:10" x14ac:dyDescent="0.25">
      <c r="A875">
        <v>11537969</v>
      </c>
      <c r="B875" s="1">
        <v>45720.626516203702</v>
      </c>
      <c r="C875" t="s">
        <v>0</v>
      </c>
      <c r="D875" t="str">
        <f>VLOOKUP(A875,MERCADO!A:B,2,0)</f>
        <v>Industria</v>
      </c>
      <c r="E875" t="str">
        <f>_xlfn.XLOOKUP(A875, ORIGEM!A:A, ORIGEM!B:B)</f>
        <v>Orgânico</v>
      </c>
      <c r="F875">
        <f>_xlfn.XLOOKUP(A875, ORIGEM!A:A, ORIGEM!C:C)</f>
        <v>0</v>
      </c>
      <c r="G875" t="str">
        <f>_xlfn.XLOOKUP(A875, LOCAL!A:A, LOCAL!B:B)</f>
        <v>São Paulo - SP</v>
      </c>
      <c r="H875" t="str">
        <f>_xlfn.XLOOKUP(A875, PORTE!A:A, PORTE!B:B)</f>
        <v>51-300</v>
      </c>
      <c r="I875" t="str">
        <f>_xlfn.XLOOKUP(A875, OBJETIVO!A:A, OBJETIVO!B:B)</f>
        <v>Ações de marketing/vendas</v>
      </c>
      <c r="J875">
        <f t="shared" si="13"/>
        <v>0</v>
      </c>
    </row>
    <row r="876" spans="1:10" x14ac:dyDescent="0.25">
      <c r="A876">
        <v>11363349</v>
      </c>
      <c r="B876" s="1">
        <v>45704.527858796297</v>
      </c>
      <c r="C876" t="s">
        <v>0</v>
      </c>
      <c r="D876" t="str">
        <f>VLOOKUP(A876,MERCADO!A:B,2,0)</f>
        <v>Industria</v>
      </c>
      <c r="E876" t="str">
        <f>_xlfn.XLOOKUP(A876, ORIGEM!A:A, ORIGEM!B:B)</f>
        <v>Orgânico</v>
      </c>
      <c r="F876">
        <f>_xlfn.XLOOKUP(A876, ORIGEM!A:A, ORIGEM!C:C)</f>
        <v>0</v>
      </c>
      <c r="G876" t="str">
        <f>_xlfn.XLOOKUP(A876, LOCAL!A:A, LOCAL!B:B)</f>
        <v>Brasília - DF</v>
      </c>
      <c r="H876" t="str">
        <f>_xlfn.XLOOKUP(A876, PORTE!A:A, PORTE!B:B)</f>
        <v>11-50</v>
      </c>
      <c r="I876" t="str">
        <f>_xlfn.XLOOKUP(A876, OBJETIVO!A:A, OBJETIVO!B:B)</f>
        <v>Geração de leads b2b</v>
      </c>
      <c r="J876">
        <f t="shared" si="13"/>
        <v>0</v>
      </c>
    </row>
    <row r="877" spans="1:10" x14ac:dyDescent="0.25">
      <c r="A877">
        <v>11266152</v>
      </c>
      <c r="B877" s="1">
        <v>45693.724872685183</v>
      </c>
      <c r="C877" t="s">
        <v>0</v>
      </c>
      <c r="D877" t="str">
        <f>VLOOKUP(A877,MERCADO!A:B,2,0)</f>
        <v>Industria</v>
      </c>
      <c r="E877" t="str">
        <f>_xlfn.XLOOKUP(A877, ORIGEM!A:A, ORIGEM!B:B)</f>
        <v>Orgânico</v>
      </c>
      <c r="F877">
        <f>_xlfn.XLOOKUP(A877, ORIGEM!A:A, ORIGEM!C:C)</f>
        <v>0</v>
      </c>
      <c r="G877" t="str">
        <f>_xlfn.XLOOKUP(A877, LOCAL!A:A, LOCAL!B:B)</f>
        <v>Uberlândia - MG</v>
      </c>
      <c r="H877" t="str">
        <f>_xlfn.XLOOKUP(A877, PORTE!A:A, PORTE!B:B)</f>
        <v>51-300</v>
      </c>
      <c r="I877" t="str">
        <f>_xlfn.XLOOKUP(A877, OBJETIVO!A:A, OBJETIVO!B:B)</f>
        <v>Planejamento estratégico</v>
      </c>
      <c r="J877">
        <f t="shared" si="13"/>
        <v>0</v>
      </c>
    </row>
    <row r="878" spans="1:10" x14ac:dyDescent="0.25">
      <c r="A878">
        <v>11299097</v>
      </c>
      <c r="B878" s="1">
        <v>45697.563379629632</v>
      </c>
      <c r="C878" t="s">
        <v>0</v>
      </c>
      <c r="D878" t="str">
        <f>VLOOKUP(A878,MERCADO!A:B,2,0)</f>
        <v>Industria</v>
      </c>
      <c r="E878" t="str">
        <f>_xlfn.XLOOKUP(A878, ORIGEM!A:A, ORIGEM!B:B)</f>
        <v>Orgânico</v>
      </c>
      <c r="F878">
        <f>_xlfn.XLOOKUP(A878, ORIGEM!A:A, ORIGEM!C:C)</f>
        <v>0</v>
      </c>
      <c r="G878" t="str">
        <f>_xlfn.XLOOKUP(A878, LOCAL!A:A, LOCAL!B:B)</f>
        <v>Barra de Sao Francisco - ES</v>
      </c>
      <c r="H878" t="str">
        <f>_xlfn.XLOOKUP(A878, PORTE!A:A, PORTE!B:B)</f>
        <v>11-50</v>
      </c>
      <c r="I878" t="str">
        <f>_xlfn.XLOOKUP(A878, OBJETIVO!A:A, OBJETIVO!B:B)</f>
        <v>Geração de leads b2b</v>
      </c>
      <c r="J878">
        <f t="shared" si="13"/>
        <v>0</v>
      </c>
    </row>
    <row r="879" spans="1:10" x14ac:dyDescent="0.25">
      <c r="A879">
        <v>10965606</v>
      </c>
      <c r="B879" s="1">
        <v>45670.653680555559</v>
      </c>
      <c r="C879" t="s">
        <v>0</v>
      </c>
      <c r="D879" t="str">
        <f>VLOOKUP(A879,MERCADO!A:B,2,0)</f>
        <v>Industria</v>
      </c>
      <c r="E879" t="str">
        <f>_xlfn.XLOOKUP(A879, ORIGEM!A:A, ORIGEM!B:B)</f>
        <v>Orgânico</v>
      </c>
      <c r="F879">
        <f>_xlfn.XLOOKUP(A879, ORIGEM!A:A, ORIGEM!C:C)</f>
        <v>0</v>
      </c>
      <c r="G879" t="str">
        <f>_xlfn.XLOOKUP(A879, LOCAL!A:A, LOCAL!B:B)</f>
        <v>Vargem Grande do Sul - SP</v>
      </c>
      <c r="H879" t="str">
        <f>_xlfn.XLOOKUP(A879, PORTE!A:A, PORTE!B:B)</f>
        <v>51-300</v>
      </c>
      <c r="I879" t="str">
        <f>_xlfn.XLOOKUP(A879, OBJETIVO!A:A, OBJETIVO!B:B)</f>
        <v>Planejamento estratégico</v>
      </c>
      <c r="J879">
        <f t="shared" si="13"/>
        <v>0</v>
      </c>
    </row>
    <row r="880" spans="1:10" x14ac:dyDescent="0.25">
      <c r="A880">
        <v>10923624</v>
      </c>
      <c r="B880" s="1">
        <v>45667.861585648148</v>
      </c>
      <c r="C880" t="s">
        <v>0</v>
      </c>
      <c r="D880" t="str">
        <f>VLOOKUP(A880,MERCADO!A:B,2,0)</f>
        <v>Industria</v>
      </c>
      <c r="E880" t="str">
        <f>_xlfn.XLOOKUP(A880, ORIGEM!A:A, ORIGEM!B:B)</f>
        <v>Orgânico</v>
      </c>
      <c r="F880">
        <f>_xlfn.XLOOKUP(A880, ORIGEM!A:A, ORIGEM!C:C)</f>
        <v>0</v>
      </c>
      <c r="G880" t="str">
        <f>_xlfn.XLOOKUP(A880, LOCAL!A:A, LOCAL!B:B)</f>
        <v>Caucaia - CE</v>
      </c>
      <c r="H880" t="str">
        <f>_xlfn.XLOOKUP(A880, PORTE!A:A, PORTE!B:B)</f>
        <v>0</v>
      </c>
      <c r="I880" t="str">
        <f>_xlfn.XLOOKUP(A880, OBJETIVO!A:A, OBJETIVO!B:B)</f>
        <v>Outro</v>
      </c>
      <c r="J880">
        <f t="shared" si="13"/>
        <v>0</v>
      </c>
    </row>
    <row r="881" spans="1:10" x14ac:dyDescent="0.25">
      <c r="A881">
        <v>10935352</v>
      </c>
      <c r="B881" s="1">
        <v>45668.645902777775</v>
      </c>
      <c r="C881" t="s">
        <v>0</v>
      </c>
      <c r="D881" t="str">
        <f>VLOOKUP(A881,MERCADO!A:B,2,0)</f>
        <v>Industria</v>
      </c>
      <c r="E881" t="str">
        <f>_xlfn.XLOOKUP(A881, ORIGEM!A:A, ORIGEM!B:B)</f>
        <v>Orgânico</v>
      </c>
      <c r="F881">
        <f>_xlfn.XLOOKUP(A881, ORIGEM!A:A, ORIGEM!C:C)</f>
        <v>0</v>
      </c>
      <c r="G881" t="str">
        <f>_xlfn.XLOOKUP(A881, LOCAL!A:A, LOCAL!B:B)</f>
        <v>-</v>
      </c>
      <c r="H881" t="str">
        <f>_xlfn.XLOOKUP(A881, PORTE!A:A, PORTE!B:B)</f>
        <v>51-300</v>
      </c>
      <c r="I881" t="str">
        <f>_xlfn.XLOOKUP(A881, OBJETIVO!A:A, OBJETIVO!B:B)</f>
        <v>Planejamento estratégico</v>
      </c>
      <c r="J881">
        <f t="shared" si="13"/>
        <v>0</v>
      </c>
    </row>
    <row r="882" spans="1:10" x14ac:dyDescent="0.25">
      <c r="A882">
        <v>10948184</v>
      </c>
      <c r="B882" s="1">
        <v>45669.559756944444</v>
      </c>
      <c r="C882" t="s">
        <v>0</v>
      </c>
      <c r="D882" t="str">
        <f>VLOOKUP(A882,MERCADO!A:B,2,0)</f>
        <v>Industria</v>
      </c>
      <c r="E882" t="str">
        <f>_xlfn.XLOOKUP(A882, ORIGEM!A:A, ORIGEM!B:B)</f>
        <v>Orgânico</v>
      </c>
      <c r="F882">
        <f>_xlfn.XLOOKUP(A882, ORIGEM!A:A, ORIGEM!C:C)</f>
        <v>0</v>
      </c>
      <c r="G882" t="str">
        <f>_xlfn.XLOOKUP(A882, LOCAL!A:A, LOCAL!B:B)</f>
        <v>-</v>
      </c>
      <c r="H882" t="str">
        <f>_xlfn.XLOOKUP(A882, PORTE!A:A, PORTE!B:B)</f>
        <v>301-1000</v>
      </c>
      <c r="I882" t="str">
        <f>_xlfn.XLOOKUP(A882, OBJETIVO!A:A, OBJETIVO!B:B)</f>
        <v>Planejamento estratégico</v>
      </c>
      <c r="J882">
        <f t="shared" si="13"/>
        <v>0</v>
      </c>
    </row>
    <row r="883" spans="1:10" x14ac:dyDescent="0.25">
      <c r="A883">
        <v>10724396</v>
      </c>
      <c r="B883" s="1">
        <v>45640.904479166667</v>
      </c>
      <c r="C883" t="s">
        <v>0</v>
      </c>
      <c r="D883" t="str">
        <f>VLOOKUP(A883,MERCADO!A:B,2,0)</f>
        <v>Industria</v>
      </c>
      <c r="E883" t="str">
        <f>_xlfn.XLOOKUP(A883, ORIGEM!A:A, ORIGEM!B:B)</f>
        <v>Orgânico</v>
      </c>
      <c r="F883">
        <f>_xlfn.XLOOKUP(A883, ORIGEM!A:A, ORIGEM!C:C)</f>
        <v>0</v>
      </c>
      <c r="G883" t="str">
        <f>_xlfn.XLOOKUP(A883, LOCAL!A:A, LOCAL!B:B)</f>
        <v>Piracicaba - SP</v>
      </c>
      <c r="H883" t="str">
        <f>_xlfn.XLOOKUP(A883, PORTE!A:A, PORTE!B:B)</f>
        <v>1-10</v>
      </c>
      <c r="I883" t="str">
        <f>_xlfn.XLOOKUP(A883, OBJETIVO!A:A, OBJETIVO!B:B)</f>
        <v>Outro</v>
      </c>
      <c r="J883">
        <f t="shared" si="13"/>
        <v>0</v>
      </c>
    </row>
    <row r="884" spans="1:10" x14ac:dyDescent="0.25">
      <c r="A884">
        <v>10748632</v>
      </c>
      <c r="B884" s="1">
        <v>45642.704444444447</v>
      </c>
      <c r="C884" t="s">
        <v>0</v>
      </c>
      <c r="D884" t="str">
        <f>VLOOKUP(A884,MERCADO!A:B,2,0)</f>
        <v>Industria</v>
      </c>
      <c r="E884" t="str">
        <f>_xlfn.XLOOKUP(A884, ORIGEM!A:A, ORIGEM!B:B)</f>
        <v>Orgânico</v>
      </c>
      <c r="F884">
        <f>_xlfn.XLOOKUP(A884, ORIGEM!A:A, ORIGEM!C:C)</f>
        <v>0</v>
      </c>
      <c r="G884" t="str">
        <f>_xlfn.XLOOKUP(A884, LOCAL!A:A, LOCAL!B:B)</f>
        <v>Madalena - CE</v>
      </c>
      <c r="H884" t="str">
        <f>_xlfn.XLOOKUP(A884, PORTE!A:A, PORTE!B:B)</f>
        <v>0</v>
      </c>
      <c r="I884" t="str">
        <f>_xlfn.XLOOKUP(A884, OBJETIVO!A:A, OBJETIVO!B:B)</f>
        <v>Outro</v>
      </c>
      <c r="J884">
        <f t="shared" si="13"/>
        <v>0</v>
      </c>
    </row>
    <row r="885" spans="1:10" x14ac:dyDescent="0.25">
      <c r="A885">
        <v>10892112</v>
      </c>
      <c r="B885" s="1">
        <v>45663.698634259257</v>
      </c>
      <c r="C885" t="s">
        <v>0</v>
      </c>
      <c r="D885" t="str">
        <f>VLOOKUP(A885,MERCADO!A:B,2,0)</f>
        <v>Industria</v>
      </c>
      <c r="E885" t="str">
        <f>_xlfn.XLOOKUP(A885, ORIGEM!A:A, ORIGEM!B:B)</f>
        <v>Orgânico</v>
      </c>
      <c r="F885">
        <f>_xlfn.XLOOKUP(A885, ORIGEM!A:A, ORIGEM!C:C)</f>
        <v>0</v>
      </c>
      <c r="G885" t="str">
        <f>_xlfn.XLOOKUP(A885, LOCAL!A:A, LOCAL!B:B)</f>
        <v>Sao Jose de Ribamar - MA</v>
      </c>
      <c r="H885" t="str">
        <f>_xlfn.XLOOKUP(A885, PORTE!A:A, PORTE!B:B)</f>
        <v>0</v>
      </c>
      <c r="I885" t="str">
        <f>_xlfn.XLOOKUP(A885, OBJETIVO!A:A, OBJETIVO!B:B)</f>
        <v>Outro</v>
      </c>
      <c r="J885">
        <f t="shared" si="13"/>
        <v>0</v>
      </c>
    </row>
    <row r="886" spans="1:10" x14ac:dyDescent="0.25">
      <c r="A886">
        <v>10878619</v>
      </c>
      <c r="B886" s="1">
        <v>45662.69971064815</v>
      </c>
      <c r="C886" t="s">
        <v>0</v>
      </c>
      <c r="D886" t="str">
        <f>VLOOKUP(A886,MERCADO!A:B,2,0)</f>
        <v>Industria</v>
      </c>
      <c r="E886" t="str">
        <f>_xlfn.XLOOKUP(A886, ORIGEM!A:A, ORIGEM!B:B)</f>
        <v>Orgânico</v>
      </c>
      <c r="F886">
        <f>_xlfn.XLOOKUP(A886, ORIGEM!A:A, ORIGEM!C:C)</f>
        <v>0</v>
      </c>
      <c r="G886" t="str">
        <f>_xlfn.XLOOKUP(A886, LOCAL!A:A, LOCAL!B:B)</f>
        <v>Belo Horizonte - MG</v>
      </c>
      <c r="H886" t="str">
        <f>_xlfn.XLOOKUP(A886, PORTE!A:A, PORTE!B:B)</f>
        <v>1-10</v>
      </c>
      <c r="I886" t="str">
        <f>_xlfn.XLOOKUP(A886, OBJETIVO!A:A, OBJETIVO!B:B)</f>
        <v>Outro</v>
      </c>
      <c r="J886">
        <f t="shared" si="13"/>
        <v>0</v>
      </c>
    </row>
    <row r="887" spans="1:10" x14ac:dyDescent="0.25">
      <c r="A887">
        <v>10804208</v>
      </c>
      <c r="B887" s="1">
        <v>45648.940381944441</v>
      </c>
      <c r="C887" t="s">
        <v>0</v>
      </c>
      <c r="D887" t="str">
        <f>VLOOKUP(A887,MERCADO!A:B,2,0)</f>
        <v>Industria</v>
      </c>
      <c r="E887" t="str">
        <f>_xlfn.XLOOKUP(A887, ORIGEM!A:A, ORIGEM!B:B)</f>
        <v>Orgânico</v>
      </c>
      <c r="F887">
        <f>_xlfn.XLOOKUP(A887, ORIGEM!A:A, ORIGEM!C:C)</f>
        <v>0</v>
      </c>
      <c r="G887" t="str">
        <f>_xlfn.XLOOKUP(A887, LOCAL!A:A, LOCAL!B:B)</f>
        <v>Brasília - DF</v>
      </c>
      <c r="H887" t="str">
        <f>_xlfn.XLOOKUP(A887, PORTE!A:A, PORTE!B:B)</f>
        <v>+ 1000</v>
      </c>
      <c r="I887" t="str">
        <f>_xlfn.XLOOKUP(A887, OBJETIVO!A:A, OBJETIVO!B:B)</f>
        <v>Consultoria</v>
      </c>
      <c r="J887">
        <f t="shared" si="13"/>
        <v>0</v>
      </c>
    </row>
    <row r="888" spans="1:10" x14ac:dyDescent="0.25">
      <c r="A888">
        <v>10818064</v>
      </c>
      <c r="B888" s="1">
        <v>45652.903460648151</v>
      </c>
      <c r="C888" t="s">
        <v>0</v>
      </c>
      <c r="D888" t="str">
        <f>VLOOKUP(A888,MERCADO!A:B,2,0)</f>
        <v>Industria</v>
      </c>
      <c r="E888" t="str">
        <f>_xlfn.XLOOKUP(A888, ORIGEM!A:A, ORIGEM!B:B)</f>
        <v>Orgânico</v>
      </c>
      <c r="F888">
        <f>_xlfn.XLOOKUP(A888, ORIGEM!A:A, ORIGEM!C:C)</f>
        <v>0</v>
      </c>
      <c r="G888" t="str">
        <f>_xlfn.XLOOKUP(A888, LOCAL!A:A, LOCAL!B:B)</f>
        <v>Costa Rica - MS</v>
      </c>
      <c r="H888" t="str">
        <f>_xlfn.XLOOKUP(A888, PORTE!A:A, PORTE!B:B)</f>
        <v>1-10</v>
      </c>
      <c r="I888" t="str">
        <f>_xlfn.XLOOKUP(A888, OBJETIVO!A:A, OBJETIVO!B:B)</f>
        <v>Outro</v>
      </c>
      <c r="J888">
        <f t="shared" si="13"/>
        <v>0</v>
      </c>
    </row>
    <row r="889" spans="1:10" x14ac:dyDescent="0.25">
      <c r="A889">
        <v>10835424</v>
      </c>
      <c r="B889" s="1">
        <v>45656.088587962964</v>
      </c>
      <c r="C889" t="s">
        <v>0</v>
      </c>
      <c r="D889" t="str">
        <f>VLOOKUP(A889,MERCADO!A:B,2,0)</f>
        <v>Industria</v>
      </c>
      <c r="E889" t="str">
        <f>_xlfn.XLOOKUP(A889, ORIGEM!A:A, ORIGEM!B:B)</f>
        <v>Orgânico</v>
      </c>
      <c r="F889">
        <f>_xlfn.XLOOKUP(A889, ORIGEM!A:A, ORIGEM!C:C)</f>
        <v>0</v>
      </c>
      <c r="G889" t="str">
        <f>_xlfn.XLOOKUP(A889, LOCAL!A:A, LOCAL!B:B)</f>
        <v>Contagem - MG</v>
      </c>
      <c r="H889" t="str">
        <f>_xlfn.XLOOKUP(A889, PORTE!A:A, PORTE!B:B)</f>
        <v>1-10</v>
      </c>
      <c r="I889" t="str">
        <f>_xlfn.XLOOKUP(A889, OBJETIVO!A:A, OBJETIVO!B:B)</f>
        <v>Outro</v>
      </c>
      <c r="J889">
        <f t="shared" si="13"/>
        <v>0</v>
      </c>
    </row>
    <row r="890" spans="1:10" x14ac:dyDescent="0.25">
      <c r="A890">
        <v>10731532</v>
      </c>
      <c r="B890" s="1">
        <v>45641.614328703705</v>
      </c>
      <c r="C890" t="s">
        <v>0</v>
      </c>
      <c r="D890" t="str">
        <f>VLOOKUP(A890,MERCADO!A:B,2,0)</f>
        <v>Industria</v>
      </c>
      <c r="E890" t="str">
        <f>_xlfn.XLOOKUP(A890, ORIGEM!A:A, ORIGEM!B:B)</f>
        <v>Google</v>
      </c>
      <c r="F890" t="str">
        <f>_xlfn.XLOOKUP(A890, ORIGEM!A:A, ORIGEM!C:C)</f>
        <v>google - cpc</v>
      </c>
      <c r="G890" t="str">
        <f>_xlfn.XLOOKUP(A890, LOCAL!A:A, LOCAL!B:B)</f>
        <v>Umuarama - PR</v>
      </c>
      <c r="H890" t="str">
        <f>_xlfn.XLOOKUP(A890, PORTE!A:A, PORTE!B:B)</f>
        <v>11-50</v>
      </c>
      <c r="I890" t="str">
        <f>_xlfn.XLOOKUP(A890, OBJETIVO!A:A, OBJETIVO!B:B)</f>
        <v>Planejamento estratégico</v>
      </c>
      <c r="J890">
        <f t="shared" si="13"/>
        <v>0</v>
      </c>
    </row>
    <row r="891" spans="1:10" x14ac:dyDescent="0.25">
      <c r="A891">
        <v>11890015</v>
      </c>
      <c r="B891" s="1">
        <v>45753.699965277781</v>
      </c>
      <c r="C891" t="s">
        <v>0</v>
      </c>
      <c r="D891" t="str">
        <f>VLOOKUP(A891,MERCADO!A:B,2,0)</f>
        <v>Industria</v>
      </c>
      <c r="E891" t="str">
        <f>_xlfn.XLOOKUP(A891, ORIGEM!A:A, ORIGEM!B:B)</f>
        <v>Bing</v>
      </c>
      <c r="F891" t="str">
        <f>_xlfn.XLOOKUP(A891, ORIGEM!A:A, ORIGEM!C:C)</f>
        <v>bing - cpc</v>
      </c>
      <c r="G891" t="str">
        <f>_xlfn.XLOOKUP(A891, LOCAL!A:A, LOCAL!B:B)</f>
        <v>Campo Grande - MS</v>
      </c>
      <c r="H891" t="str">
        <f>_xlfn.XLOOKUP(A891, PORTE!A:A, PORTE!B:B)</f>
        <v>51-300</v>
      </c>
      <c r="I891" t="str">
        <f>_xlfn.XLOOKUP(A891, OBJETIVO!A:A, OBJETIVO!B:B)</f>
        <v>Geração de leads b2b</v>
      </c>
      <c r="J891">
        <f t="shared" si="13"/>
        <v>0</v>
      </c>
    </row>
    <row r="892" spans="1:10" x14ac:dyDescent="0.25">
      <c r="A892">
        <v>11715288</v>
      </c>
      <c r="B892" s="1">
        <v>45738.443923611114</v>
      </c>
      <c r="C892" t="s">
        <v>0</v>
      </c>
      <c r="D892" t="str">
        <f>VLOOKUP(A892,MERCADO!A:B,2,0)</f>
        <v>Industria</v>
      </c>
      <c r="E892" t="str">
        <f>_xlfn.XLOOKUP(A892, ORIGEM!A:A, ORIGEM!B:B)</f>
        <v>Orgânico</v>
      </c>
      <c r="F892">
        <f>_xlfn.XLOOKUP(A892, ORIGEM!A:A, ORIGEM!C:C)</f>
        <v>0</v>
      </c>
      <c r="G892" t="str">
        <f>_xlfn.XLOOKUP(A892, LOCAL!A:A, LOCAL!B:B)</f>
        <v>São Paulo - SP</v>
      </c>
      <c r="H892" t="str">
        <f>_xlfn.XLOOKUP(A892, PORTE!A:A, PORTE!B:B)</f>
        <v>1-10</v>
      </c>
      <c r="I892" t="str">
        <f>_xlfn.XLOOKUP(A892, OBJETIVO!A:A, OBJETIVO!B:B)</f>
        <v>Ações de marketing/vendas</v>
      </c>
      <c r="J892">
        <f t="shared" si="13"/>
        <v>0</v>
      </c>
    </row>
    <row r="893" spans="1:10" x14ac:dyDescent="0.25">
      <c r="A893">
        <v>11723147</v>
      </c>
      <c r="B893" s="1">
        <v>45738.692870370367</v>
      </c>
      <c r="C893" t="s">
        <v>0</v>
      </c>
      <c r="D893" t="str">
        <f>VLOOKUP(A893,MERCADO!A:B,2,0)</f>
        <v>Industria</v>
      </c>
      <c r="E893" t="str">
        <f>_xlfn.XLOOKUP(A893, ORIGEM!A:A, ORIGEM!B:B)</f>
        <v>Orgânico</v>
      </c>
      <c r="F893">
        <f>_xlfn.XLOOKUP(A893, ORIGEM!A:A, ORIGEM!C:C)</f>
        <v>0</v>
      </c>
      <c r="G893" t="str">
        <f>_xlfn.XLOOKUP(A893, LOCAL!A:A, LOCAL!B:B)</f>
        <v>São José dos Campos - SP</v>
      </c>
      <c r="H893" t="str">
        <f>_xlfn.XLOOKUP(A893, PORTE!A:A, PORTE!B:B)</f>
        <v>+ 1000</v>
      </c>
      <c r="I893" t="str">
        <f>_xlfn.XLOOKUP(A893, OBJETIVO!A:A, OBJETIVO!B:B)</f>
        <v>Outro</v>
      </c>
      <c r="J893">
        <f t="shared" si="13"/>
        <v>0</v>
      </c>
    </row>
    <row r="894" spans="1:10" x14ac:dyDescent="0.25">
      <c r="A894">
        <v>11711387</v>
      </c>
      <c r="B894" s="1">
        <v>45737.8906712963</v>
      </c>
      <c r="C894" t="s">
        <v>0</v>
      </c>
      <c r="D894" t="str">
        <f>VLOOKUP(A894,MERCADO!A:B,2,0)</f>
        <v>Industria</v>
      </c>
      <c r="E894" t="str">
        <f>_xlfn.XLOOKUP(A894, ORIGEM!A:A, ORIGEM!B:B)</f>
        <v>Google</v>
      </c>
      <c r="F894" t="str">
        <f>_xlfn.XLOOKUP(A894, ORIGEM!A:A, ORIGEM!C:C)</f>
        <v>google - cpc</v>
      </c>
      <c r="G894" t="str">
        <f>_xlfn.XLOOKUP(A894, LOCAL!A:A, LOCAL!B:B)</f>
        <v>São Borja - RS</v>
      </c>
      <c r="H894" t="str">
        <f>_xlfn.XLOOKUP(A894, PORTE!A:A, PORTE!B:B)</f>
        <v>+ 1000</v>
      </c>
      <c r="I894" t="str">
        <f>_xlfn.XLOOKUP(A894, OBJETIVO!A:A, OBJETIVO!B:B)</f>
        <v>Planejamento estratégico</v>
      </c>
      <c r="J894">
        <f t="shared" si="13"/>
        <v>0</v>
      </c>
    </row>
    <row r="895" spans="1:10" x14ac:dyDescent="0.25">
      <c r="A895">
        <v>11611514</v>
      </c>
      <c r="B895" s="1">
        <v>45727.486076388886</v>
      </c>
      <c r="C895" t="s">
        <v>0</v>
      </c>
      <c r="D895" t="str">
        <f>VLOOKUP(A895,MERCADO!A:B,2,0)</f>
        <v>Industria</v>
      </c>
      <c r="E895" t="str">
        <f>_xlfn.XLOOKUP(A895, ORIGEM!A:A, ORIGEM!B:B)</f>
        <v>Google</v>
      </c>
      <c r="F895" t="str">
        <f>_xlfn.XLOOKUP(A895, ORIGEM!A:A, ORIGEM!C:C)</f>
        <v>google - cpc</v>
      </c>
      <c r="G895" t="str">
        <f>_xlfn.XLOOKUP(A895, LOCAL!A:A, LOCAL!B:B)</f>
        <v>Ipatinga - MG</v>
      </c>
      <c r="H895" t="str">
        <f>_xlfn.XLOOKUP(A895, PORTE!A:A, PORTE!B:B)</f>
        <v>0</v>
      </c>
      <c r="I895" t="str">
        <f>_xlfn.XLOOKUP(A895, OBJETIVO!A:A, OBJETIVO!B:B)</f>
        <v>Abertura/Expansão</v>
      </c>
      <c r="J895">
        <f t="shared" si="13"/>
        <v>0</v>
      </c>
    </row>
    <row r="896" spans="1:10" x14ac:dyDescent="0.25">
      <c r="A896">
        <v>11508898</v>
      </c>
      <c r="B896" s="1">
        <v>45718.68136574074</v>
      </c>
      <c r="C896" t="s">
        <v>0</v>
      </c>
      <c r="D896" t="str">
        <f>VLOOKUP(A896,MERCADO!A:B,2,0)</f>
        <v>Industria</v>
      </c>
      <c r="E896" t="str">
        <f>_xlfn.XLOOKUP(A896, ORIGEM!A:A, ORIGEM!B:B)</f>
        <v>Google</v>
      </c>
      <c r="F896" t="str">
        <f>_xlfn.XLOOKUP(A896, ORIGEM!A:A, ORIGEM!C:C)</f>
        <v>google - cpc</v>
      </c>
      <c r="G896" t="str">
        <f>_xlfn.XLOOKUP(A896, LOCAL!A:A, LOCAL!B:B)</f>
        <v>Niterói - RJ</v>
      </c>
      <c r="H896" t="str">
        <f>_xlfn.XLOOKUP(A896, PORTE!A:A, PORTE!B:B)</f>
        <v>11-50</v>
      </c>
      <c r="I896" t="str">
        <f>_xlfn.XLOOKUP(A896, OBJETIVO!A:A, OBJETIVO!B:B)</f>
        <v>Consultoria</v>
      </c>
      <c r="J896">
        <f t="shared" si="13"/>
        <v>0</v>
      </c>
    </row>
    <row r="897" spans="1:10" x14ac:dyDescent="0.25">
      <c r="A897">
        <v>11274543</v>
      </c>
      <c r="B897" s="1">
        <v>45696.366273148145</v>
      </c>
      <c r="C897" t="s">
        <v>0</v>
      </c>
      <c r="D897" t="str">
        <f>VLOOKUP(A897,MERCADO!A:B,2,0)</f>
        <v>Industria</v>
      </c>
      <c r="E897" t="str">
        <f>_xlfn.XLOOKUP(A897, ORIGEM!A:A, ORIGEM!B:B)</f>
        <v>Google</v>
      </c>
      <c r="F897" t="str">
        <f>_xlfn.XLOOKUP(A897, ORIGEM!A:A, ORIGEM!C:C)</f>
        <v>google - cpc</v>
      </c>
      <c r="G897" t="str">
        <f>_xlfn.XLOOKUP(A897, LOCAL!A:A, LOCAL!B:B)</f>
        <v>Tamboré - SP</v>
      </c>
      <c r="H897" t="str">
        <f>_xlfn.XLOOKUP(A897, PORTE!A:A, PORTE!B:B)</f>
        <v>11-50</v>
      </c>
      <c r="I897" t="str">
        <f>_xlfn.XLOOKUP(A897, OBJETIVO!A:A, OBJETIVO!B:B)</f>
        <v>Geração de leads b2b</v>
      </c>
      <c r="J897">
        <f t="shared" si="13"/>
        <v>0</v>
      </c>
    </row>
    <row r="898" spans="1:10" x14ac:dyDescent="0.25">
      <c r="A898">
        <v>11298995</v>
      </c>
      <c r="B898" s="1">
        <v>45697.556909722225</v>
      </c>
      <c r="C898" t="s">
        <v>0</v>
      </c>
      <c r="D898" t="str">
        <f>VLOOKUP(A898,MERCADO!A:B,2,0)</f>
        <v>Industria</v>
      </c>
      <c r="E898" t="str">
        <f>_xlfn.XLOOKUP(A898, ORIGEM!A:A, ORIGEM!B:B)</f>
        <v>Google</v>
      </c>
      <c r="F898" t="str">
        <f>_xlfn.XLOOKUP(A898, ORIGEM!A:A, ORIGEM!C:C)</f>
        <v>google - cpc</v>
      </c>
      <c r="G898" t="str">
        <f>_xlfn.XLOOKUP(A898, LOCAL!A:A, LOCAL!B:B)</f>
        <v>São Paulo - SP</v>
      </c>
      <c r="H898" t="str">
        <f>_xlfn.XLOOKUP(A898, PORTE!A:A, PORTE!B:B)</f>
        <v>301-1000</v>
      </c>
      <c r="I898" t="str">
        <f>_xlfn.XLOOKUP(A898, OBJETIVO!A:A, OBJETIVO!B:B)</f>
        <v>Geração de leads b2b</v>
      </c>
      <c r="J898">
        <f t="shared" si="13"/>
        <v>0</v>
      </c>
    </row>
    <row r="899" spans="1:10" x14ac:dyDescent="0.25">
      <c r="A899">
        <v>11325600</v>
      </c>
      <c r="B899" s="1">
        <v>45699.579247685186</v>
      </c>
      <c r="C899" t="s">
        <v>0</v>
      </c>
      <c r="D899" t="str">
        <f>VLOOKUP(A899,MERCADO!A:B,2,0)</f>
        <v>Industria</v>
      </c>
      <c r="E899" t="str">
        <f>_xlfn.XLOOKUP(A899, ORIGEM!A:A, ORIGEM!B:B)</f>
        <v>Google</v>
      </c>
      <c r="F899" t="str">
        <f>_xlfn.XLOOKUP(A899, ORIGEM!A:A, ORIGEM!C:C)</f>
        <v>google - cpc</v>
      </c>
      <c r="G899" t="str">
        <f>_xlfn.XLOOKUP(A899, LOCAL!A:A, LOCAL!B:B)</f>
        <v>Recife - PE</v>
      </c>
      <c r="H899" t="str">
        <f>_xlfn.XLOOKUP(A899, PORTE!A:A, PORTE!B:B)</f>
        <v>301-1000</v>
      </c>
      <c r="I899" t="str">
        <f>_xlfn.XLOOKUP(A899, OBJETIVO!A:A, OBJETIVO!B:B)</f>
        <v>Abertura/Expansão</v>
      </c>
      <c r="J899">
        <f t="shared" ref="J899:J962" si="14">IF(C899="SIM",1,0)</f>
        <v>0</v>
      </c>
    </row>
    <row r="900" spans="1:10" x14ac:dyDescent="0.25">
      <c r="A900">
        <v>11008042</v>
      </c>
      <c r="B900" s="1">
        <v>45673.296087962961</v>
      </c>
      <c r="C900" t="s">
        <v>0</v>
      </c>
      <c r="D900" t="str">
        <f>VLOOKUP(A900,MERCADO!A:B,2,0)</f>
        <v>Industria</v>
      </c>
      <c r="E900" t="str">
        <f>_xlfn.XLOOKUP(A900, ORIGEM!A:A, ORIGEM!B:B)</f>
        <v>Google</v>
      </c>
      <c r="F900" t="str">
        <f>_xlfn.XLOOKUP(A900, ORIGEM!A:A, ORIGEM!C:C)</f>
        <v>google - cpc</v>
      </c>
      <c r="G900" t="str">
        <f>_xlfn.XLOOKUP(A900, LOCAL!A:A, LOCAL!B:B)</f>
        <v>Barretos - SP</v>
      </c>
      <c r="H900" t="str">
        <f>_xlfn.XLOOKUP(A900, PORTE!A:A, PORTE!B:B)</f>
        <v>11-50</v>
      </c>
      <c r="I900" t="str">
        <f>_xlfn.XLOOKUP(A900, OBJETIVO!A:A, OBJETIVO!B:B)</f>
        <v>Planejamento estratégico</v>
      </c>
      <c r="J900">
        <f t="shared" si="14"/>
        <v>0</v>
      </c>
    </row>
    <row r="901" spans="1:10" x14ac:dyDescent="0.25">
      <c r="A901">
        <v>11035343</v>
      </c>
      <c r="B901" s="1">
        <v>45676.4765162037</v>
      </c>
      <c r="C901" t="s">
        <v>0</v>
      </c>
      <c r="D901" t="str">
        <f>VLOOKUP(A901,MERCADO!A:B,2,0)</f>
        <v>Industria</v>
      </c>
      <c r="E901" t="str">
        <f>_xlfn.XLOOKUP(A901, ORIGEM!A:A, ORIGEM!B:B)</f>
        <v>Google</v>
      </c>
      <c r="F901" t="str">
        <f>_xlfn.XLOOKUP(A901, ORIGEM!A:A, ORIGEM!C:C)</f>
        <v>google - cpc</v>
      </c>
      <c r="G901" t="str">
        <f>_xlfn.XLOOKUP(A901, LOCAL!A:A, LOCAL!B:B)</f>
        <v>Sorocaba - SP</v>
      </c>
      <c r="H901" t="str">
        <f>_xlfn.XLOOKUP(A901, PORTE!A:A, PORTE!B:B)</f>
        <v>11-50</v>
      </c>
      <c r="I901" t="str">
        <f>_xlfn.XLOOKUP(A901, OBJETIVO!A:A, OBJETIVO!B:B)</f>
        <v>Outro</v>
      </c>
      <c r="J901">
        <f t="shared" si="14"/>
        <v>0</v>
      </c>
    </row>
    <row r="902" spans="1:10" x14ac:dyDescent="0.25">
      <c r="A902">
        <v>11036625</v>
      </c>
      <c r="B902" s="1">
        <v>45676.491122685184</v>
      </c>
      <c r="C902" t="s">
        <v>0</v>
      </c>
      <c r="D902" t="str">
        <f>VLOOKUP(A902,MERCADO!A:B,2,0)</f>
        <v>Industria</v>
      </c>
      <c r="E902" t="str">
        <f>_xlfn.XLOOKUP(A902, ORIGEM!A:A, ORIGEM!B:B)</f>
        <v>Google</v>
      </c>
      <c r="F902" t="str">
        <f>_xlfn.XLOOKUP(A902, ORIGEM!A:A, ORIGEM!C:C)</f>
        <v>google - cpc</v>
      </c>
      <c r="G902" t="str">
        <f>_xlfn.XLOOKUP(A902, LOCAL!A:A, LOCAL!B:B)</f>
        <v>Curitiba - PR</v>
      </c>
      <c r="H902" t="str">
        <f>_xlfn.XLOOKUP(A902, PORTE!A:A, PORTE!B:B)</f>
        <v>1-10</v>
      </c>
      <c r="I902" t="str">
        <f>_xlfn.XLOOKUP(A902, OBJETIVO!A:A, OBJETIVO!B:B)</f>
        <v>Ações de marketing/vendas</v>
      </c>
      <c r="J902">
        <f t="shared" si="14"/>
        <v>0</v>
      </c>
    </row>
    <row r="903" spans="1:10" x14ac:dyDescent="0.25">
      <c r="A903">
        <v>10802698</v>
      </c>
      <c r="B903" s="1">
        <v>45648.703888888886</v>
      </c>
      <c r="C903" t="s">
        <v>0</v>
      </c>
      <c r="D903" t="str">
        <f>VLOOKUP(A903,MERCADO!A:B,2,0)</f>
        <v>Industria</v>
      </c>
      <c r="E903" t="str">
        <f>_xlfn.XLOOKUP(A903, ORIGEM!A:A, ORIGEM!B:B)</f>
        <v>Google</v>
      </c>
      <c r="F903" t="str">
        <f>_xlfn.XLOOKUP(A903, ORIGEM!A:A, ORIGEM!C:C)</f>
        <v>google - cpc</v>
      </c>
      <c r="G903" t="str">
        <f>_xlfn.XLOOKUP(A903, LOCAL!A:A, LOCAL!B:B)</f>
        <v>Fortaleza - CE</v>
      </c>
      <c r="H903" t="str">
        <f>_xlfn.XLOOKUP(A903, PORTE!A:A, PORTE!B:B)</f>
        <v>+ 1000</v>
      </c>
      <c r="I903" t="str">
        <f>_xlfn.XLOOKUP(A903, OBJETIVO!A:A, OBJETIVO!B:B)</f>
        <v>Geração de leads b2b</v>
      </c>
      <c r="J903">
        <f t="shared" si="14"/>
        <v>0</v>
      </c>
    </row>
    <row r="904" spans="1:10" x14ac:dyDescent="0.25">
      <c r="A904">
        <v>10763288</v>
      </c>
      <c r="B904" s="1">
        <v>45643.67832175926</v>
      </c>
      <c r="C904" t="s">
        <v>0</v>
      </c>
      <c r="D904" t="str">
        <f>VLOOKUP(A904,MERCADO!A:B,2,0)</f>
        <v>Industria</v>
      </c>
      <c r="E904" t="str">
        <f>_xlfn.XLOOKUP(A904, ORIGEM!A:A, ORIGEM!B:B)</f>
        <v>Google</v>
      </c>
      <c r="F904" t="str">
        <f>_xlfn.XLOOKUP(A904, ORIGEM!A:A, ORIGEM!C:C)</f>
        <v>google - cpc</v>
      </c>
      <c r="G904" t="str">
        <f>_xlfn.XLOOKUP(A904, LOCAL!A:A, LOCAL!B:B)</f>
        <v>Uberlândia - MG</v>
      </c>
      <c r="H904" t="str">
        <f>_xlfn.XLOOKUP(A904, PORTE!A:A, PORTE!B:B)</f>
        <v>11-50</v>
      </c>
      <c r="I904" t="str">
        <f>_xlfn.XLOOKUP(A904, OBJETIVO!A:A, OBJETIVO!B:B)</f>
        <v>Geração de leads b2b</v>
      </c>
      <c r="J904">
        <f t="shared" si="14"/>
        <v>0</v>
      </c>
    </row>
    <row r="905" spans="1:10" x14ac:dyDescent="0.25">
      <c r="A905">
        <v>10767538</v>
      </c>
      <c r="B905" s="1">
        <v>45644.378993055558</v>
      </c>
      <c r="C905" t="s">
        <v>0</v>
      </c>
      <c r="D905" t="str">
        <f>VLOOKUP(A905,MERCADO!A:B,2,0)</f>
        <v>Industria</v>
      </c>
      <c r="E905" t="str">
        <f>_xlfn.XLOOKUP(A905, ORIGEM!A:A, ORIGEM!B:B)</f>
        <v>Google</v>
      </c>
      <c r="F905" t="str">
        <f>_xlfn.XLOOKUP(A905, ORIGEM!A:A, ORIGEM!C:C)</f>
        <v>google - cpc</v>
      </c>
      <c r="G905" t="str">
        <f>_xlfn.XLOOKUP(A905, LOCAL!A:A, LOCAL!B:B)</f>
        <v>Joinville - SC</v>
      </c>
      <c r="H905" t="str">
        <f>_xlfn.XLOOKUP(A905, PORTE!A:A, PORTE!B:B)</f>
        <v>11-50</v>
      </c>
      <c r="I905" t="str">
        <f>_xlfn.XLOOKUP(A905, OBJETIVO!A:A, OBJETIVO!B:B)</f>
        <v>Geração de leads b2b</v>
      </c>
      <c r="J905">
        <f t="shared" si="14"/>
        <v>0</v>
      </c>
    </row>
    <row r="906" spans="1:10" x14ac:dyDescent="0.25">
      <c r="A906">
        <v>11591609</v>
      </c>
      <c r="B906" s="1">
        <v>45725.74795138889</v>
      </c>
      <c r="C906" t="s">
        <v>0</v>
      </c>
      <c r="D906" t="str">
        <f>VLOOKUP(A906,MERCADO!A:B,2,0)</f>
        <v>Varejo</v>
      </c>
      <c r="E906" t="str">
        <f>_xlfn.XLOOKUP(A906, ORIGEM!A:A, ORIGEM!B:B)</f>
        <v>Google</v>
      </c>
      <c r="F906" t="str">
        <f>_xlfn.XLOOKUP(A906, ORIGEM!A:A, ORIGEM!C:C)</f>
        <v>google - cpc</v>
      </c>
      <c r="G906" t="str">
        <f>_xlfn.XLOOKUP(A906, LOCAL!A:A, LOCAL!B:B)</f>
        <v>Salvador - BA</v>
      </c>
      <c r="H906" t="str">
        <f>_xlfn.XLOOKUP(A906, PORTE!A:A, PORTE!B:B)</f>
        <v>0</v>
      </c>
      <c r="I906" t="str">
        <f>_xlfn.XLOOKUP(A906, OBJETIVO!A:A, OBJETIVO!B:B)</f>
        <v>Abertura/Expansão</v>
      </c>
      <c r="J906">
        <f t="shared" si="14"/>
        <v>0</v>
      </c>
    </row>
    <row r="907" spans="1:10" x14ac:dyDescent="0.25">
      <c r="A907">
        <v>11348297</v>
      </c>
      <c r="B907" s="1">
        <v>45702.984988425924</v>
      </c>
      <c r="C907" t="s">
        <v>0</v>
      </c>
      <c r="D907" t="str">
        <f>VLOOKUP(A907,MERCADO!A:B,2,0)</f>
        <v>Varejo</v>
      </c>
      <c r="E907" t="str">
        <f>_xlfn.XLOOKUP(A907, ORIGEM!A:A, ORIGEM!B:B)</f>
        <v>Google</v>
      </c>
      <c r="F907" t="str">
        <f>_xlfn.XLOOKUP(A907, ORIGEM!A:A, ORIGEM!C:C)</f>
        <v>google - cpc</v>
      </c>
      <c r="G907" t="str">
        <f>_xlfn.XLOOKUP(A907, LOCAL!A:A, LOCAL!B:B)</f>
        <v>Salvador - BA</v>
      </c>
      <c r="H907" t="str">
        <f>_xlfn.XLOOKUP(A907, PORTE!A:A, PORTE!B:B)</f>
        <v>1-10</v>
      </c>
      <c r="I907" t="str">
        <f>_xlfn.XLOOKUP(A907, OBJETIVO!A:A, OBJETIVO!B:B)</f>
        <v>Outro</v>
      </c>
      <c r="J907">
        <f t="shared" si="14"/>
        <v>0</v>
      </c>
    </row>
    <row r="908" spans="1:10" x14ac:dyDescent="0.25">
      <c r="A908">
        <v>11944614</v>
      </c>
      <c r="B908" s="1">
        <v>45759.390324074076</v>
      </c>
      <c r="C908" t="s">
        <v>0</v>
      </c>
      <c r="D908" t="str">
        <f>VLOOKUP(A908,MERCADO!A:B,2,0)</f>
        <v>Servicos</v>
      </c>
      <c r="E908" t="str">
        <f>_xlfn.XLOOKUP(A908, ORIGEM!A:A, ORIGEM!B:B)</f>
        <v>Orgânico</v>
      </c>
      <c r="F908">
        <f>_xlfn.XLOOKUP(A908, ORIGEM!A:A, ORIGEM!C:C)</f>
        <v>0</v>
      </c>
      <c r="G908" t="str">
        <f>_xlfn.XLOOKUP(A908, LOCAL!A:A, LOCAL!B:B)</f>
        <v>Salvador - BA</v>
      </c>
      <c r="H908" t="str">
        <f>_xlfn.XLOOKUP(A908, PORTE!A:A, PORTE!B:B)</f>
        <v>11-50</v>
      </c>
      <c r="I908" t="str">
        <f>_xlfn.XLOOKUP(A908, OBJETIVO!A:A, OBJETIVO!B:B)</f>
        <v>Abertura/Expansão</v>
      </c>
      <c r="J908">
        <f t="shared" si="14"/>
        <v>0</v>
      </c>
    </row>
    <row r="909" spans="1:10" x14ac:dyDescent="0.25">
      <c r="A909">
        <v>11711379</v>
      </c>
      <c r="B909" s="1">
        <v>45737.889189814814</v>
      </c>
      <c r="C909" t="s">
        <v>0</v>
      </c>
      <c r="D909" t="str">
        <f>VLOOKUP(A909,MERCADO!A:B,2,0)</f>
        <v>Servicos</v>
      </c>
      <c r="E909" t="str">
        <f>_xlfn.XLOOKUP(A909, ORIGEM!A:A, ORIGEM!B:B)</f>
        <v>Google</v>
      </c>
      <c r="F909" t="str">
        <f>_xlfn.XLOOKUP(A909, ORIGEM!A:A, ORIGEM!C:C)</f>
        <v>google - cpc</v>
      </c>
      <c r="G909" t="str">
        <f>_xlfn.XLOOKUP(A909, LOCAL!A:A, LOCAL!B:B)</f>
        <v>Salvador - BA</v>
      </c>
      <c r="H909" t="str">
        <f>_xlfn.XLOOKUP(A909, PORTE!A:A, PORTE!B:B)</f>
        <v>1-10</v>
      </c>
      <c r="I909" t="str">
        <f>_xlfn.XLOOKUP(A909, OBJETIVO!A:A, OBJETIVO!B:B)</f>
        <v>Abertura/Expansão</v>
      </c>
      <c r="J909">
        <f t="shared" si="14"/>
        <v>0</v>
      </c>
    </row>
    <row r="910" spans="1:10" x14ac:dyDescent="0.25">
      <c r="A910">
        <v>10955275</v>
      </c>
      <c r="B910" s="1">
        <v>45670.06994212963</v>
      </c>
      <c r="C910" t="s">
        <v>0</v>
      </c>
      <c r="D910" t="str">
        <f>VLOOKUP(A910,MERCADO!A:B,2,0)</f>
        <v>Servicos</v>
      </c>
      <c r="E910" t="str">
        <f>_xlfn.XLOOKUP(A910, ORIGEM!A:A, ORIGEM!B:B)</f>
        <v>Orgânico</v>
      </c>
      <c r="F910">
        <f>_xlfn.XLOOKUP(A910, ORIGEM!A:A, ORIGEM!C:C)</f>
        <v>0</v>
      </c>
      <c r="G910" t="str">
        <f>_xlfn.XLOOKUP(A910, LOCAL!A:A, LOCAL!B:B)</f>
        <v>Lauro de Freitas - BA</v>
      </c>
      <c r="H910" t="str">
        <f>_xlfn.XLOOKUP(A910, PORTE!A:A, PORTE!B:B)</f>
        <v>1-10</v>
      </c>
      <c r="I910" t="str">
        <f>_xlfn.XLOOKUP(A910, OBJETIVO!A:A, OBJETIVO!B:B)</f>
        <v>Ações de marketing/vendas</v>
      </c>
      <c r="J910">
        <f t="shared" si="14"/>
        <v>0</v>
      </c>
    </row>
    <row r="911" spans="1:10" x14ac:dyDescent="0.25">
      <c r="A911">
        <v>11712731</v>
      </c>
      <c r="B911" s="1">
        <v>45738.36482638889</v>
      </c>
      <c r="C911" t="s">
        <v>0</v>
      </c>
      <c r="D911" t="str">
        <f>VLOOKUP(A911,MERCADO!A:B,2,0)</f>
        <v>Marketing/Publicidade/Consultoria</v>
      </c>
      <c r="E911" t="str">
        <f>_xlfn.XLOOKUP(A911, ORIGEM!A:A, ORIGEM!B:B)</f>
        <v>Google</v>
      </c>
      <c r="F911" t="str">
        <f>_xlfn.XLOOKUP(A911, ORIGEM!A:A, ORIGEM!C:C)</f>
        <v>google - cpc</v>
      </c>
      <c r="G911" t="str">
        <f>_xlfn.XLOOKUP(A911, LOCAL!A:A, LOCAL!B:B)</f>
        <v>Salvador - BA</v>
      </c>
      <c r="H911" t="str">
        <f>_xlfn.XLOOKUP(A911, PORTE!A:A, PORTE!B:B)</f>
        <v>11-50</v>
      </c>
      <c r="I911" t="str">
        <f>_xlfn.XLOOKUP(A911, OBJETIVO!A:A, OBJETIVO!B:B)</f>
        <v>Consultoria</v>
      </c>
      <c r="J911">
        <f t="shared" si="14"/>
        <v>0</v>
      </c>
    </row>
    <row r="912" spans="1:10" x14ac:dyDescent="0.25">
      <c r="A912">
        <v>11590342</v>
      </c>
      <c r="B912" s="1">
        <v>45725.691018518519</v>
      </c>
      <c r="C912" t="s">
        <v>0</v>
      </c>
      <c r="D912" t="str">
        <f>VLOOKUP(A912,MERCADO!A:B,2,0)</f>
        <v>Imobiliaria/Incorporadora/Construtora</v>
      </c>
      <c r="E912" t="str">
        <f>_xlfn.XLOOKUP(A912, ORIGEM!A:A, ORIGEM!B:B)</f>
        <v>Linkedin</v>
      </c>
      <c r="F912" t="str">
        <f>_xlfn.XLOOKUP(A912, ORIGEM!A:A, ORIGEM!C:C)</f>
        <v>linkedin - cpc</v>
      </c>
      <c r="G912" t="str">
        <f>_xlfn.XLOOKUP(A912, LOCAL!A:A, LOCAL!B:B)</f>
        <v>Salvador - BA</v>
      </c>
      <c r="H912" t="str">
        <f>_xlfn.XLOOKUP(A912, PORTE!A:A, PORTE!B:B)</f>
        <v>0</v>
      </c>
      <c r="I912" t="str">
        <f>_xlfn.XLOOKUP(A912, OBJETIVO!A:A, OBJETIVO!B:B)</f>
        <v>Geração de leads b2b</v>
      </c>
      <c r="J912">
        <f t="shared" si="14"/>
        <v>0</v>
      </c>
    </row>
    <row r="913" spans="1:10" x14ac:dyDescent="0.25">
      <c r="A913">
        <v>11348238</v>
      </c>
      <c r="B913" s="1">
        <v>45702.95894675926</v>
      </c>
      <c r="C913" t="s">
        <v>0</v>
      </c>
      <c r="D913" t="str">
        <f>VLOOKUP(A913,MERCADO!A:B,2,0)</f>
        <v>Varejo</v>
      </c>
      <c r="E913" t="str">
        <f>_xlfn.XLOOKUP(A913, ORIGEM!A:A, ORIGEM!B:B)</f>
        <v>Instagram</v>
      </c>
      <c r="F913" t="str">
        <f>_xlfn.XLOOKUP(A913, ORIGEM!A:A, ORIGEM!C:C)</f>
        <v>instagram - social</v>
      </c>
      <c r="G913" t="str">
        <f>_xlfn.XLOOKUP(A913, LOCAL!A:A, LOCAL!B:B)</f>
        <v>Fortaleza - CE</v>
      </c>
      <c r="H913" t="str">
        <f>_xlfn.XLOOKUP(A913, PORTE!A:A, PORTE!B:B)</f>
        <v>1-10</v>
      </c>
      <c r="I913" t="str">
        <f>_xlfn.XLOOKUP(A913, OBJETIVO!A:A, OBJETIVO!B:B)</f>
        <v>Ações de marketing/vendas</v>
      </c>
      <c r="J913">
        <f t="shared" si="14"/>
        <v>0</v>
      </c>
    </row>
    <row r="914" spans="1:10" x14ac:dyDescent="0.25">
      <c r="A914">
        <v>11622938</v>
      </c>
      <c r="B914" s="1">
        <v>45728.472013888888</v>
      </c>
      <c r="C914" t="s">
        <v>0</v>
      </c>
      <c r="D914" t="str">
        <f>VLOOKUP(A914,MERCADO!A:B,2,0)</f>
        <v>Varejo</v>
      </c>
      <c r="E914" t="str">
        <f>_xlfn.XLOOKUP(A914, ORIGEM!A:A, ORIGEM!B:B)</f>
        <v>Instagram</v>
      </c>
      <c r="F914" t="str">
        <f>_xlfn.XLOOKUP(A914, ORIGEM!A:A, ORIGEM!C:C)</f>
        <v>instagram - social</v>
      </c>
      <c r="G914" t="str">
        <f>_xlfn.XLOOKUP(A914, LOCAL!A:A, LOCAL!B:B)</f>
        <v>Fortaleza - CE</v>
      </c>
      <c r="H914" t="str">
        <f>_xlfn.XLOOKUP(A914, PORTE!A:A, PORTE!B:B)</f>
        <v>11-50</v>
      </c>
      <c r="I914" t="str">
        <f>_xlfn.XLOOKUP(A914, OBJETIVO!A:A, OBJETIVO!B:B)</f>
        <v>Ações de marketing/vendas</v>
      </c>
      <c r="J914">
        <f t="shared" si="14"/>
        <v>0</v>
      </c>
    </row>
    <row r="915" spans="1:10" x14ac:dyDescent="0.25">
      <c r="A915">
        <v>10573098</v>
      </c>
      <c r="B915" s="1">
        <v>45627.56621527778</v>
      </c>
      <c r="C915" t="s">
        <v>0</v>
      </c>
      <c r="D915" t="str">
        <f>VLOOKUP(A915,MERCADO!A:B,2,0)</f>
        <v>Marketing/Publicidade/Consultoria</v>
      </c>
      <c r="E915" t="str">
        <f>_xlfn.XLOOKUP(A915, ORIGEM!A:A, ORIGEM!B:B)</f>
        <v>Google</v>
      </c>
      <c r="F915" t="str">
        <f>_xlfn.XLOOKUP(A915, ORIGEM!A:A, ORIGEM!C:C)</f>
        <v>google - cpc</v>
      </c>
      <c r="G915" t="str">
        <f>_xlfn.XLOOKUP(A915, LOCAL!A:A, LOCAL!B:B)</f>
        <v>Fortaleza - CE</v>
      </c>
      <c r="H915" t="str">
        <f>_xlfn.XLOOKUP(A915, PORTE!A:A, PORTE!B:B)</f>
        <v>1-10</v>
      </c>
      <c r="I915" t="str">
        <f>_xlfn.XLOOKUP(A915, OBJETIVO!A:A, OBJETIVO!B:B)</f>
        <v>Abertura/Expansão</v>
      </c>
      <c r="J915">
        <f t="shared" si="14"/>
        <v>0</v>
      </c>
    </row>
    <row r="916" spans="1:10" x14ac:dyDescent="0.25">
      <c r="A916">
        <v>10698755</v>
      </c>
      <c r="B916" s="1">
        <v>45637.654039351852</v>
      </c>
      <c r="C916" t="s">
        <v>0</v>
      </c>
      <c r="D916" t="str">
        <f>VLOOKUP(A916,MERCADO!A:B,2,0)</f>
        <v>Tecnologia</v>
      </c>
      <c r="E916" t="str">
        <f>_xlfn.XLOOKUP(A916, ORIGEM!A:A, ORIGEM!B:B)</f>
        <v>Google</v>
      </c>
      <c r="F916" t="str">
        <f>_xlfn.XLOOKUP(A916, ORIGEM!A:A, ORIGEM!C:C)</f>
        <v>google - cpc</v>
      </c>
      <c r="G916" t="str">
        <f>_xlfn.XLOOKUP(A916, LOCAL!A:A, LOCAL!B:B)</f>
        <v>Fortaleza - CE</v>
      </c>
      <c r="H916" t="str">
        <f>_xlfn.XLOOKUP(A916, PORTE!A:A, PORTE!B:B)</f>
        <v>11-50</v>
      </c>
      <c r="I916" t="str">
        <f>_xlfn.XLOOKUP(A916, OBJETIVO!A:A, OBJETIVO!B:B)</f>
        <v>Geração de leads b2b</v>
      </c>
      <c r="J916">
        <f t="shared" si="14"/>
        <v>0</v>
      </c>
    </row>
    <row r="917" spans="1:10" x14ac:dyDescent="0.25">
      <c r="A917">
        <v>10737181</v>
      </c>
      <c r="B917" s="1">
        <v>45641.83388888889</v>
      </c>
      <c r="C917" t="s">
        <v>0</v>
      </c>
      <c r="D917" t="str">
        <f>VLOOKUP(A917,MERCADO!A:B,2,0)</f>
        <v>Imobiliaria/Incorporadora/Construtora</v>
      </c>
      <c r="E917" t="str">
        <f>_xlfn.XLOOKUP(A917, ORIGEM!A:A, ORIGEM!B:B)</f>
        <v>Google</v>
      </c>
      <c r="F917" t="str">
        <f>_xlfn.XLOOKUP(A917, ORIGEM!A:A, ORIGEM!C:C)</f>
        <v>google - cpc</v>
      </c>
      <c r="G917" t="str">
        <f>_xlfn.XLOOKUP(A917, LOCAL!A:A, LOCAL!B:B)</f>
        <v>Eusebio - CE</v>
      </c>
      <c r="H917" t="str">
        <f>_xlfn.XLOOKUP(A917, PORTE!A:A, PORTE!B:B)</f>
        <v>0</v>
      </c>
      <c r="I917" t="str">
        <f>_xlfn.XLOOKUP(A917, OBJETIVO!A:A, OBJETIVO!B:B)</f>
        <v>Abertura/Expansão</v>
      </c>
      <c r="J917">
        <f t="shared" si="14"/>
        <v>0</v>
      </c>
    </row>
    <row r="918" spans="1:10" x14ac:dyDescent="0.25">
      <c r="A918">
        <v>11600848</v>
      </c>
      <c r="B918" s="1">
        <v>45726.57539351852</v>
      </c>
      <c r="C918" t="s">
        <v>0</v>
      </c>
      <c r="D918" t="str">
        <f>VLOOKUP(A918,MERCADO!A:B,2,0)</f>
        <v>Servicos</v>
      </c>
      <c r="E918" t="str">
        <f>_xlfn.XLOOKUP(A918, ORIGEM!A:A, ORIGEM!B:B)</f>
        <v>Google</v>
      </c>
      <c r="F918" t="str">
        <f>_xlfn.XLOOKUP(A918, ORIGEM!A:A, ORIGEM!C:C)</f>
        <v>google - cpc</v>
      </c>
      <c r="G918" t="str">
        <f>_xlfn.XLOOKUP(A918, LOCAL!A:A, LOCAL!B:B)</f>
        <v>Fortaleza - CE</v>
      </c>
      <c r="H918" t="str">
        <f>_xlfn.XLOOKUP(A918, PORTE!A:A, PORTE!B:B)</f>
        <v>11-50</v>
      </c>
      <c r="I918" t="str">
        <f>_xlfn.XLOOKUP(A918, OBJETIVO!A:A, OBJETIVO!B:B)</f>
        <v>Abertura/Expansão</v>
      </c>
      <c r="J918">
        <f t="shared" si="14"/>
        <v>0</v>
      </c>
    </row>
    <row r="919" spans="1:10" x14ac:dyDescent="0.25">
      <c r="A919">
        <v>10572729</v>
      </c>
      <c r="B919" s="1">
        <v>45627.554722222223</v>
      </c>
      <c r="C919" t="s">
        <v>0</v>
      </c>
      <c r="D919">
        <f>VLOOKUP(A919,MERCADO!A:B,2,0)</f>
        <v>0</v>
      </c>
      <c r="E919" t="str">
        <f>_xlfn.XLOOKUP(A919, ORIGEM!A:A, ORIGEM!B:B)</f>
        <v>Orgânico</v>
      </c>
      <c r="F919">
        <f>_xlfn.XLOOKUP(A919, ORIGEM!A:A, ORIGEM!C:C)</f>
        <v>0</v>
      </c>
      <c r="G919" t="str">
        <f>_xlfn.XLOOKUP(A919, LOCAL!A:A, LOCAL!B:B)</f>
        <v>Vitória da Conquista - BA</v>
      </c>
      <c r="H919" t="str">
        <f>_xlfn.XLOOKUP(A919, PORTE!A:A, PORTE!B:B)</f>
        <v>1-10</v>
      </c>
      <c r="I919" t="str">
        <f>_xlfn.XLOOKUP(A919, OBJETIVO!A:A, OBJETIVO!B:B)</f>
        <v>Outro</v>
      </c>
      <c r="J919">
        <f t="shared" si="14"/>
        <v>0</v>
      </c>
    </row>
    <row r="920" spans="1:10" x14ac:dyDescent="0.25">
      <c r="A920">
        <v>11654968</v>
      </c>
      <c r="B920" s="1">
        <v>45732.48201388889</v>
      </c>
      <c r="C920" t="s">
        <v>0</v>
      </c>
      <c r="D920" t="str">
        <f>VLOOKUP(A920,MERCADO!A:B,2,0)</f>
        <v>Imobiliaria/Incorporadora/Construtora</v>
      </c>
      <c r="E920" t="str">
        <f>_xlfn.XLOOKUP(A920, ORIGEM!A:A, ORIGEM!B:B)</f>
        <v>Orgânico</v>
      </c>
      <c r="F920">
        <f>_xlfn.XLOOKUP(A920, ORIGEM!A:A, ORIGEM!C:C)</f>
        <v>0</v>
      </c>
      <c r="G920" t="str">
        <f>_xlfn.XLOOKUP(A920, LOCAL!A:A, LOCAL!B:B)</f>
        <v>Fortaleza - CE</v>
      </c>
      <c r="H920" t="str">
        <f>_xlfn.XLOOKUP(A920, PORTE!A:A, PORTE!B:B)</f>
        <v>0</v>
      </c>
      <c r="I920" t="str">
        <f>_xlfn.XLOOKUP(A920, OBJETIVO!A:A, OBJETIVO!B:B)</f>
        <v>Ações de marketing/vendas</v>
      </c>
      <c r="J920">
        <f t="shared" si="14"/>
        <v>0</v>
      </c>
    </row>
    <row r="921" spans="1:10" x14ac:dyDescent="0.25">
      <c r="A921">
        <v>11634952</v>
      </c>
      <c r="B921" s="1">
        <v>45730.670092592591</v>
      </c>
      <c r="C921" t="s">
        <v>0</v>
      </c>
      <c r="D921" t="str">
        <f>VLOOKUP(A921,MERCADO!A:B,2,0)</f>
        <v>Servicos</v>
      </c>
      <c r="E921" t="str">
        <f>_xlfn.XLOOKUP(A921, ORIGEM!A:A, ORIGEM!B:B)</f>
        <v>Google</v>
      </c>
      <c r="F921" t="str">
        <f>_xlfn.XLOOKUP(A921, ORIGEM!A:A, ORIGEM!C:C)</f>
        <v>google - cpc</v>
      </c>
      <c r="G921" t="str">
        <f>_xlfn.XLOOKUP(A921, LOCAL!A:A, LOCAL!B:B)</f>
        <v>Fortaleza - CE</v>
      </c>
      <c r="H921" t="str">
        <f>_xlfn.XLOOKUP(A921, PORTE!A:A, PORTE!B:B)</f>
        <v>1-10</v>
      </c>
      <c r="I921" t="str">
        <f>_xlfn.XLOOKUP(A921, OBJETIVO!A:A, OBJETIVO!B:B)</f>
        <v>Abertura/Expansão</v>
      </c>
      <c r="J921">
        <f t="shared" si="14"/>
        <v>0</v>
      </c>
    </row>
    <row r="922" spans="1:10" x14ac:dyDescent="0.25">
      <c r="A922">
        <v>10620187</v>
      </c>
      <c r="B922" s="1">
        <v>45630.836134259262</v>
      </c>
      <c r="C922" t="s">
        <v>0</v>
      </c>
      <c r="D922" t="str">
        <f>VLOOKUP(A922,MERCADO!A:B,2,0)</f>
        <v>Varejo</v>
      </c>
      <c r="E922" t="str">
        <f>_xlfn.XLOOKUP(A922, ORIGEM!A:A, ORIGEM!B:B)</f>
        <v>Orgânico</v>
      </c>
      <c r="F922">
        <f>_xlfn.XLOOKUP(A922, ORIGEM!A:A, ORIGEM!C:C)</f>
        <v>0</v>
      </c>
      <c r="G922" t="str">
        <f>_xlfn.XLOOKUP(A922, LOCAL!A:A, LOCAL!B:B)</f>
        <v>Iguatu - CE</v>
      </c>
      <c r="H922" t="str">
        <f>_xlfn.XLOOKUP(A922, PORTE!A:A, PORTE!B:B)</f>
        <v>1-10</v>
      </c>
      <c r="I922" t="str">
        <f>_xlfn.XLOOKUP(A922, OBJETIVO!A:A, OBJETIVO!B:B)</f>
        <v>Abertura/Expansão</v>
      </c>
      <c r="J922">
        <f t="shared" si="14"/>
        <v>0</v>
      </c>
    </row>
    <row r="923" spans="1:10" x14ac:dyDescent="0.25">
      <c r="A923">
        <v>11345506</v>
      </c>
      <c r="B923" s="1">
        <v>45701.752372685187</v>
      </c>
      <c r="C923" t="s">
        <v>0</v>
      </c>
      <c r="D923" t="str">
        <f>VLOOKUP(A923,MERCADO!A:B,2,0)</f>
        <v>Servicos</v>
      </c>
      <c r="E923" t="str">
        <f>_xlfn.XLOOKUP(A923, ORIGEM!A:A, ORIGEM!B:B)</f>
        <v>Facebook</v>
      </c>
      <c r="F923" t="str">
        <f>_xlfn.XLOOKUP(A923, ORIGEM!A:A, ORIGEM!C:C)</f>
        <v>facebook - cpc</v>
      </c>
      <c r="G923" t="str">
        <f>_xlfn.XLOOKUP(A923, LOCAL!A:A, LOCAL!B:B)</f>
        <v>Valparaiso de Goias - GO</v>
      </c>
      <c r="H923" t="str">
        <f>_xlfn.XLOOKUP(A923, PORTE!A:A, PORTE!B:B)</f>
        <v>0</v>
      </c>
      <c r="I923" t="str">
        <f>_xlfn.XLOOKUP(A923, OBJETIVO!A:A, OBJETIVO!B:B)</f>
        <v>Outro</v>
      </c>
      <c r="J923">
        <f t="shared" si="14"/>
        <v>0</v>
      </c>
    </row>
    <row r="924" spans="1:10" x14ac:dyDescent="0.25">
      <c r="A924">
        <v>11498317</v>
      </c>
      <c r="B924" s="1">
        <v>45717.777812499997</v>
      </c>
      <c r="C924" t="s">
        <v>0</v>
      </c>
      <c r="D924" t="str">
        <f>VLOOKUP(A924,MERCADO!A:B,2,0)</f>
        <v>Tecnologia</v>
      </c>
      <c r="E924" t="str">
        <f>_xlfn.XLOOKUP(A924, ORIGEM!A:A, ORIGEM!B:B)</f>
        <v>Orgânico</v>
      </c>
      <c r="F924">
        <f>_xlfn.XLOOKUP(A924, ORIGEM!A:A, ORIGEM!C:C)</f>
        <v>0</v>
      </c>
      <c r="G924" t="str">
        <f>_xlfn.XLOOKUP(A924, LOCAL!A:A, LOCAL!B:B)</f>
        <v>Brasília - DF</v>
      </c>
      <c r="H924" t="str">
        <f>_xlfn.XLOOKUP(A924, PORTE!A:A, PORTE!B:B)</f>
        <v>11-50</v>
      </c>
      <c r="I924" t="str">
        <f>_xlfn.XLOOKUP(A924, OBJETIVO!A:A, OBJETIVO!B:B)</f>
        <v>Abertura/Expansão</v>
      </c>
      <c r="J924">
        <f t="shared" si="14"/>
        <v>0</v>
      </c>
    </row>
    <row r="925" spans="1:10" x14ac:dyDescent="0.25">
      <c r="A925">
        <v>11021786</v>
      </c>
      <c r="B925" s="1">
        <v>45675.597199074073</v>
      </c>
      <c r="C925" t="s">
        <v>0</v>
      </c>
      <c r="D925" t="str">
        <f>VLOOKUP(A925,MERCADO!A:B,2,0)</f>
        <v>Servicos</v>
      </c>
      <c r="E925" t="str">
        <f>_xlfn.XLOOKUP(A925, ORIGEM!A:A, ORIGEM!B:B)</f>
        <v>Orgânico</v>
      </c>
      <c r="F925">
        <f>_xlfn.XLOOKUP(A925, ORIGEM!A:A, ORIGEM!C:C)</f>
        <v>0</v>
      </c>
      <c r="G925" t="str">
        <f>_xlfn.XLOOKUP(A925, LOCAL!A:A, LOCAL!B:B)</f>
        <v>Brasília - DF</v>
      </c>
      <c r="H925" t="str">
        <f>_xlfn.XLOOKUP(A925, PORTE!A:A, PORTE!B:B)</f>
        <v>0</v>
      </c>
      <c r="I925" t="str">
        <f>_xlfn.XLOOKUP(A925, OBJETIVO!A:A, OBJETIVO!B:B)</f>
        <v>Abertura/Expansão</v>
      </c>
      <c r="J925">
        <f t="shared" si="14"/>
        <v>0</v>
      </c>
    </row>
    <row r="926" spans="1:10" x14ac:dyDescent="0.25">
      <c r="A926">
        <v>11690662</v>
      </c>
      <c r="B926" s="1">
        <v>45734.642048611109</v>
      </c>
      <c r="C926" t="s">
        <v>0</v>
      </c>
      <c r="D926" t="str">
        <f>VLOOKUP(A926,MERCADO!A:B,2,0)</f>
        <v>Servicos</v>
      </c>
      <c r="E926" t="str">
        <f>_xlfn.XLOOKUP(A926, ORIGEM!A:A, ORIGEM!B:B)</f>
        <v>Google</v>
      </c>
      <c r="F926" t="str">
        <f>_xlfn.XLOOKUP(A926, ORIGEM!A:A, ORIGEM!C:C)</f>
        <v>google - cpc</v>
      </c>
      <c r="G926" t="str">
        <f>_xlfn.XLOOKUP(A926, LOCAL!A:A, LOCAL!B:B)</f>
        <v>Brasília - DF</v>
      </c>
      <c r="H926" t="str">
        <f>_xlfn.XLOOKUP(A926, PORTE!A:A, PORTE!B:B)</f>
        <v>11-50</v>
      </c>
      <c r="I926" t="str">
        <f>_xlfn.XLOOKUP(A926, OBJETIVO!A:A, OBJETIVO!B:B)</f>
        <v>Abertura/Expansão</v>
      </c>
      <c r="J926">
        <f t="shared" si="14"/>
        <v>0</v>
      </c>
    </row>
    <row r="927" spans="1:10" x14ac:dyDescent="0.25">
      <c r="A927">
        <v>10956450</v>
      </c>
      <c r="B927" s="1">
        <v>45670.369606481479</v>
      </c>
      <c r="C927" t="s">
        <v>0</v>
      </c>
      <c r="D927" t="str">
        <f>VLOOKUP(A927,MERCADO!A:B,2,0)</f>
        <v>Servicos</v>
      </c>
      <c r="E927" t="str">
        <f>_xlfn.XLOOKUP(A927, ORIGEM!A:A, ORIGEM!B:B)</f>
        <v>Google</v>
      </c>
      <c r="F927" t="str">
        <f>_xlfn.XLOOKUP(A927, ORIGEM!A:A, ORIGEM!C:C)</f>
        <v>google - cpc</v>
      </c>
      <c r="G927" t="str">
        <f>_xlfn.XLOOKUP(A927, LOCAL!A:A, LOCAL!B:B)</f>
        <v>Brasília - DF</v>
      </c>
      <c r="H927" t="str">
        <f>_xlfn.XLOOKUP(A927, PORTE!A:A, PORTE!B:B)</f>
        <v>1-10</v>
      </c>
      <c r="I927" t="str">
        <f>_xlfn.XLOOKUP(A927, OBJETIVO!A:A, OBJETIVO!B:B)</f>
        <v>Geração de leads b2b</v>
      </c>
      <c r="J927">
        <f t="shared" si="14"/>
        <v>0</v>
      </c>
    </row>
    <row r="928" spans="1:10" x14ac:dyDescent="0.25">
      <c r="A928">
        <v>11041689</v>
      </c>
      <c r="B928" s="1">
        <v>45676.647337962961</v>
      </c>
      <c r="C928" t="s">
        <v>0</v>
      </c>
      <c r="D928" t="str">
        <f>VLOOKUP(A928,MERCADO!A:B,2,0)</f>
        <v>Marketing/Publicidade/Consultoria</v>
      </c>
      <c r="E928" t="str">
        <f>_xlfn.XLOOKUP(A928, ORIGEM!A:A, ORIGEM!B:B)</f>
        <v>Google</v>
      </c>
      <c r="F928" t="str">
        <f>_xlfn.XLOOKUP(A928, ORIGEM!A:A, ORIGEM!C:C)</f>
        <v>google - cpc</v>
      </c>
      <c r="G928" t="str">
        <f>_xlfn.XLOOKUP(A928, LOCAL!A:A, LOCAL!B:B)</f>
        <v>Brasília - DF</v>
      </c>
      <c r="H928" t="str">
        <f>_xlfn.XLOOKUP(A928, PORTE!A:A, PORTE!B:B)</f>
        <v>1-10</v>
      </c>
      <c r="I928" t="str">
        <f>_xlfn.XLOOKUP(A928, OBJETIVO!A:A, OBJETIVO!B:B)</f>
        <v>Ações de marketing/vendas</v>
      </c>
      <c r="J928">
        <f t="shared" si="14"/>
        <v>0</v>
      </c>
    </row>
    <row r="929" spans="1:10" x14ac:dyDescent="0.25">
      <c r="A929">
        <v>12005155</v>
      </c>
      <c r="B929" s="1">
        <v>45762.701944444445</v>
      </c>
      <c r="C929" t="s">
        <v>0</v>
      </c>
      <c r="D929" t="str">
        <f>VLOOKUP(A929,MERCADO!A:B,2,0)</f>
        <v>Varejo</v>
      </c>
      <c r="E929" t="str">
        <f>_xlfn.XLOOKUP(A929, ORIGEM!A:A, ORIGEM!B:B)</f>
        <v>Google</v>
      </c>
      <c r="F929" t="str">
        <f>_xlfn.XLOOKUP(A929, ORIGEM!A:A, ORIGEM!C:C)</f>
        <v>google - cpc</v>
      </c>
      <c r="G929" t="str">
        <f>_xlfn.XLOOKUP(A929, LOCAL!A:A, LOCAL!B:B)</f>
        <v>Brasília - DF</v>
      </c>
      <c r="H929" t="str">
        <f>_xlfn.XLOOKUP(A929, PORTE!A:A, PORTE!B:B)</f>
        <v>1-10</v>
      </c>
      <c r="I929" t="str">
        <f>_xlfn.XLOOKUP(A929, OBJETIVO!A:A, OBJETIVO!B:B)</f>
        <v>Planejamento estratégico</v>
      </c>
      <c r="J929">
        <f t="shared" si="14"/>
        <v>0</v>
      </c>
    </row>
    <row r="930" spans="1:10" x14ac:dyDescent="0.25">
      <c r="A930">
        <v>11593000</v>
      </c>
      <c r="B930" s="1">
        <v>45725.95894675926</v>
      </c>
      <c r="C930" t="s">
        <v>0</v>
      </c>
      <c r="D930" t="str">
        <f>VLOOKUP(A930,MERCADO!A:B,2,0)</f>
        <v>Empreendedor</v>
      </c>
      <c r="E930" t="str">
        <f>_xlfn.XLOOKUP(A930, ORIGEM!A:A, ORIGEM!B:B)</f>
        <v>Google</v>
      </c>
      <c r="F930" t="str">
        <f>_xlfn.XLOOKUP(A930, ORIGEM!A:A, ORIGEM!C:C)</f>
        <v>google - cpc</v>
      </c>
      <c r="G930" t="str">
        <f>_xlfn.XLOOKUP(A930, LOCAL!A:A, LOCAL!B:B)</f>
        <v>Venda Nova do Imigrante - ES</v>
      </c>
      <c r="H930" t="str">
        <f>_xlfn.XLOOKUP(A930, PORTE!A:A, PORTE!B:B)</f>
        <v>1-10</v>
      </c>
      <c r="I930" t="str">
        <f>_xlfn.XLOOKUP(A930, OBJETIVO!A:A, OBJETIVO!B:B)</f>
        <v>Ações de marketing/vendas</v>
      </c>
      <c r="J930">
        <f t="shared" si="14"/>
        <v>0</v>
      </c>
    </row>
    <row r="931" spans="1:10" x14ac:dyDescent="0.25">
      <c r="A931">
        <v>11381522</v>
      </c>
      <c r="B931" s="1">
        <v>45705.767962962964</v>
      </c>
      <c r="C931" t="s">
        <v>0</v>
      </c>
      <c r="D931" t="str">
        <f>VLOOKUP(A931,MERCADO!A:B,2,0)</f>
        <v>Servicos</v>
      </c>
      <c r="E931" t="str">
        <f>_xlfn.XLOOKUP(A931, ORIGEM!A:A, ORIGEM!B:B)</f>
        <v>Bing</v>
      </c>
      <c r="F931" t="str">
        <f>_xlfn.XLOOKUP(A931, ORIGEM!A:A, ORIGEM!C:C)</f>
        <v>bing - cpc</v>
      </c>
      <c r="G931" t="str">
        <f>_xlfn.XLOOKUP(A931, LOCAL!A:A, LOCAL!B:B)</f>
        <v>Caxambu - MG</v>
      </c>
      <c r="H931" t="str">
        <f>_xlfn.XLOOKUP(A931, PORTE!A:A, PORTE!B:B)</f>
        <v>1-10</v>
      </c>
      <c r="I931" t="str">
        <f>_xlfn.XLOOKUP(A931, OBJETIVO!A:A, OBJETIVO!B:B)</f>
        <v>Outro</v>
      </c>
      <c r="J931">
        <f t="shared" si="14"/>
        <v>0</v>
      </c>
    </row>
    <row r="932" spans="1:10" x14ac:dyDescent="0.25">
      <c r="A932">
        <v>10677014</v>
      </c>
      <c r="B932" s="1">
        <v>45635.943715277775</v>
      </c>
      <c r="C932" t="s">
        <v>0</v>
      </c>
      <c r="D932" t="str">
        <f>VLOOKUP(A932,MERCADO!A:B,2,0)</f>
        <v>Servicos</v>
      </c>
      <c r="E932" t="str">
        <f>_xlfn.XLOOKUP(A932, ORIGEM!A:A, ORIGEM!B:B)</f>
        <v>Bing</v>
      </c>
      <c r="F932" t="str">
        <f>_xlfn.XLOOKUP(A932, ORIGEM!A:A, ORIGEM!C:C)</f>
        <v>bing - cpc</v>
      </c>
      <c r="G932" t="str">
        <f>_xlfn.XLOOKUP(A932, LOCAL!A:A, LOCAL!B:B)</f>
        <v>Itajuba - MG</v>
      </c>
      <c r="H932" t="str">
        <f>_xlfn.XLOOKUP(A932, PORTE!A:A, PORTE!B:B)</f>
        <v>0</v>
      </c>
      <c r="I932" t="str">
        <f>_xlfn.XLOOKUP(A932, OBJETIVO!A:A, OBJETIVO!B:B)</f>
        <v>Planejamento estratégico</v>
      </c>
      <c r="J932">
        <f t="shared" si="14"/>
        <v>0</v>
      </c>
    </row>
    <row r="933" spans="1:10" x14ac:dyDescent="0.25">
      <c r="A933">
        <v>11028387</v>
      </c>
      <c r="B933" s="1">
        <v>45675.790162037039</v>
      </c>
      <c r="C933" t="s">
        <v>0</v>
      </c>
      <c r="D933" t="str">
        <f>VLOOKUP(A933,MERCADO!A:B,2,0)</f>
        <v>Servicos</v>
      </c>
      <c r="E933" t="str">
        <f>_xlfn.XLOOKUP(A933, ORIGEM!A:A, ORIGEM!B:B)</f>
        <v>Bing</v>
      </c>
      <c r="F933" t="str">
        <f>_xlfn.XLOOKUP(A933, ORIGEM!A:A, ORIGEM!C:C)</f>
        <v>bing - cpc</v>
      </c>
      <c r="G933" t="str">
        <f>_xlfn.XLOOKUP(A933, LOCAL!A:A, LOCAL!B:B)</f>
        <v>Salvador - BA</v>
      </c>
      <c r="H933" t="str">
        <f>_xlfn.XLOOKUP(A933, PORTE!A:A, PORTE!B:B)</f>
        <v>1-10</v>
      </c>
      <c r="I933" t="str">
        <f>_xlfn.XLOOKUP(A933, OBJETIVO!A:A, OBJETIVO!B:B)</f>
        <v>Consultoria</v>
      </c>
      <c r="J933">
        <f t="shared" si="14"/>
        <v>0</v>
      </c>
    </row>
    <row r="934" spans="1:10" x14ac:dyDescent="0.25">
      <c r="A934">
        <v>11042212</v>
      </c>
      <c r="B934" s="1">
        <v>45676.658391203702</v>
      </c>
      <c r="C934" t="s">
        <v>0</v>
      </c>
      <c r="D934" t="str">
        <f>VLOOKUP(A934,MERCADO!A:B,2,0)</f>
        <v>Servicos</v>
      </c>
      <c r="E934" t="str">
        <f>_xlfn.XLOOKUP(A934, ORIGEM!A:A, ORIGEM!B:B)</f>
        <v>Bing</v>
      </c>
      <c r="F934" t="str">
        <f>_xlfn.XLOOKUP(A934, ORIGEM!A:A, ORIGEM!C:C)</f>
        <v>bing - cpc</v>
      </c>
      <c r="G934" t="str">
        <f>_xlfn.XLOOKUP(A934, LOCAL!A:A, LOCAL!B:B)</f>
        <v>Rio de Janeiro - RJ</v>
      </c>
      <c r="H934" t="str">
        <f>_xlfn.XLOOKUP(A934, PORTE!A:A, PORTE!B:B)</f>
        <v>1-10</v>
      </c>
      <c r="I934" t="str">
        <f>_xlfn.XLOOKUP(A934, OBJETIVO!A:A, OBJETIVO!B:B)</f>
        <v>Abertura/Expansão</v>
      </c>
      <c r="J934">
        <f t="shared" si="14"/>
        <v>0</v>
      </c>
    </row>
    <row r="935" spans="1:10" x14ac:dyDescent="0.25">
      <c r="A935">
        <v>10704999</v>
      </c>
      <c r="B935" s="1">
        <v>45639.437442129631</v>
      </c>
      <c r="C935" t="s">
        <v>0</v>
      </c>
      <c r="D935" t="str">
        <f>VLOOKUP(A935,MERCADO!A:B,2,0)</f>
        <v>Servicos</v>
      </c>
      <c r="E935" t="str">
        <f>_xlfn.XLOOKUP(A935, ORIGEM!A:A, ORIGEM!B:B)</f>
        <v>Bing</v>
      </c>
      <c r="F935" t="str">
        <f>_xlfn.XLOOKUP(A935, ORIGEM!A:A, ORIGEM!C:C)</f>
        <v>bing - cpc</v>
      </c>
      <c r="G935" t="str">
        <f>_xlfn.XLOOKUP(A935, LOCAL!A:A, LOCAL!B:B)</f>
        <v>São Bernardo do Campo - SP</v>
      </c>
      <c r="H935" t="str">
        <f>_xlfn.XLOOKUP(A935, PORTE!A:A, PORTE!B:B)</f>
        <v>1-10</v>
      </c>
      <c r="I935" t="str">
        <f>_xlfn.XLOOKUP(A935, OBJETIVO!A:A, OBJETIVO!B:B)</f>
        <v>Ações de marketing/vendas</v>
      </c>
      <c r="J935">
        <f t="shared" si="14"/>
        <v>0</v>
      </c>
    </row>
    <row r="936" spans="1:10" x14ac:dyDescent="0.25">
      <c r="A936">
        <v>11253841</v>
      </c>
      <c r="B936" s="1">
        <v>45692.814965277779</v>
      </c>
      <c r="C936" t="s">
        <v>0</v>
      </c>
      <c r="D936" t="str">
        <f>VLOOKUP(A936,MERCADO!A:B,2,0)</f>
        <v>Servicos</v>
      </c>
      <c r="E936" t="str">
        <f>_xlfn.XLOOKUP(A936, ORIGEM!A:A, ORIGEM!B:B)</f>
        <v>Bing</v>
      </c>
      <c r="F936" t="str">
        <f>_xlfn.XLOOKUP(A936, ORIGEM!A:A, ORIGEM!C:C)</f>
        <v>bing - cpc</v>
      </c>
      <c r="G936" t="str">
        <f>_xlfn.XLOOKUP(A936, LOCAL!A:A, LOCAL!B:B)</f>
        <v>Londrina - PR</v>
      </c>
      <c r="H936" t="str">
        <f>_xlfn.XLOOKUP(A936, PORTE!A:A, PORTE!B:B)</f>
        <v>11-50</v>
      </c>
      <c r="I936" t="str">
        <f>_xlfn.XLOOKUP(A936, OBJETIVO!A:A, OBJETIVO!B:B)</f>
        <v>Ações de marketing/vendas</v>
      </c>
      <c r="J936">
        <f t="shared" si="14"/>
        <v>0</v>
      </c>
    </row>
    <row r="937" spans="1:10" x14ac:dyDescent="0.25">
      <c r="A937">
        <v>11294430</v>
      </c>
      <c r="B937" s="1">
        <v>45697.414143518516</v>
      </c>
      <c r="C937" t="s">
        <v>0</v>
      </c>
      <c r="D937" t="str">
        <f>VLOOKUP(A937,MERCADO!A:B,2,0)</f>
        <v>Servicos</v>
      </c>
      <c r="E937" t="str">
        <f>_xlfn.XLOOKUP(A937, ORIGEM!A:A, ORIGEM!B:B)</f>
        <v>Bing</v>
      </c>
      <c r="F937" t="str">
        <f>_xlfn.XLOOKUP(A937, ORIGEM!A:A, ORIGEM!C:C)</f>
        <v>bing - cpc</v>
      </c>
      <c r="G937" t="str">
        <f>_xlfn.XLOOKUP(A937, LOCAL!A:A, LOCAL!B:B)</f>
        <v>Barbacena - MG</v>
      </c>
      <c r="H937" t="str">
        <f>_xlfn.XLOOKUP(A937, PORTE!A:A, PORTE!B:B)</f>
        <v>+ 1000</v>
      </c>
      <c r="I937" t="str">
        <f>_xlfn.XLOOKUP(A937, OBJETIVO!A:A, OBJETIVO!B:B)</f>
        <v>Planejamento estratégico</v>
      </c>
      <c r="J937">
        <f t="shared" si="14"/>
        <v>0</v>
      </c>
    </row>
    <row r="938" spans="1:10" x14ac:dyDescent="0.25">
      <c r="A938">
        <v>11122779</v>
      </c>
      <c r="B938" s="1">
        <v>45683.630798611113</v>
      </c>
      <c r="C938" t="s">
        <v>0</v>
      </c>
      <c r="D938" t="str">
        <f>VLOOKUP(A938,MERCADO!A:B,2,0)</f>
        <v>Servicos</v>
      </c>
      <c r="E938" t="str">
        <f>_xlfn.XLOOKUP(A938, ORIGEM!A:A, ORIGEM!B:B)</f>
        <v>Bing</v>
      </c>
      <c r="F938" t="str">
        <f>_xlfn.XLOOKUP(A938, ORIGEM!A:A, ORIGEM!C:C)</f>
        <v>bing - cpc</v>
      </c>
      <c r="G938" t="str">
        <f>_xlfn.XLOOKUP(A938, LOCAL!A:A, LOCAL!B:B)</f>
        <v>Itajaí - SC</v>
      </c>
      <c r="H938" t="str">
        <f>_xlfn.XLOOKUP(A938, PORTE!A:A, PORTE!B:B)</f>
        <v>0</v>
      </c>
      <c r="I938" t="str">
        <f>_xlfn.XLOOKUP(A938, OBJETIVO!A:A, OBJETIVO!B:B)</f>
        <v>Abertura/Expansão</v>
      </c>
      <c r="J938">
        <f t="shared" si="14"/>
        <v>0</v>
      </c>
    </row>
    <row r="939" spans="1:10" x14ac:dyDescent="0.25">
      <c r="A939">
        <v>11093398</v>
      </c>
      <c r="B939" s="1">
        <v>45680.747002314813</v>
      </c>
      <c r="C939" t="s">
        <v>0</v>
      </c>
      <c r="D939" t="str">
        <f>VLOOKUP(A939,MERCADO!A:B,2,0)</f>
        <v>Servicos</v>
      </c>
      <c r="E939" t="str">
        <f>_xlfn.XLOOKUP(A939, ORIGEM!A:A, ORIGEM!B:B)</f>
        <v>Bing</v>
      </c>
      <c r="F939" t="str">
        <f>_xlfn.XLOOKUP(A939, ORIGEM!A:A, ORIGEM!C:C)</f>
        <v>bing - cpc</v>
      </c>
      <c r="G939" t="str">
        <f>_xlfn.XLOOKUP(A939, LOCAL!A:A, LOCAL!B:B)</f>
        <v>Patos de Minas - MG</v>
      </c>
      <c r="H939" t="str">
        <f>_xlfn.XLOOKUP(A939, PORTE!A:A, PORTE!B:B)</f>
        <v>1-10</v>
      </c>
      <c r="I939" t="str">
        <f>_xlfn.XLOOKUP(A939, OBJETIVO!A:A, OBJETIVO!B:B)</f>
        <v>Ações de marketing/vendas</v>
      </c>
      <c r="J939">
        <f t="shared" si="14"/>
        <v>0</v>
      </c>
    </row>
    <row r="940" spans="1:10" x14ac:dyDescent="0.25">
      <c r="A940">
        <v>11617289</v>
      </c>
      <c r="B940" s="1">
        <v>45727.850740740738</v>
      </c>
      <c r="C940" t="s">
        <v>0</v>
      </c>
      <c r="D940" t="str">
        <f>VLOOKUP(A940,MERCADO!A:B,2,0)</f>
        <v>Servicos</v>
      </c>
      <c r="E940" t="str">
        <f>_xlfn.XLOOKUP(A940, ORIGEM!A:A, ORIGEM!B:B)</f>
        <v>Instagram</v>
      </c>
      <c r="F940" t="str">
        <f>_xlfn.XLOOKUP(A940, ORIGEM!A:A, ORIGEM!C:C)</f>
        <v>instagram - social</v>
      </c>
      <c r="G940" t="str">
        <f>_xlfn.XLOOKUP(A940, LOCAL!A:A, LOCAL!B:B)</f>
        <v>Unai - MG</v>
      </c>
      <c r="H940" t="str">
        <f>_xlfn.XLOOKUP(A940, PORTE!A:A, PORTE!B:B)</f>
        <v>0</v>
      </c>
      <c r="I940" t="str">
        <f>_xlfn.XLOOKUP(A940, OBJETIVO!A:A, OBJETIVO!B:B)</f>
        <v>Abertura/Expansão</v>
      </c>
      <c r="J940">
        <f t="shared" si="14"/>
        <v>0</v>
      </c>
    </row>
    <row r="941" spans="1:10" x14ac:dyDescent="0.25">
      <c r="A941">
        <v>11591977</v>
      </c>
      <c r="B941" s="1">
        <v>45725.785740740743</v>
      </c>
      <c r="C941" t="s">
        <v>0</v>
      </c>
      <c r="D941" t="str">
        <f>VLOOKUP(A941,MERCADO!A:B,2,0)</f>
        <v>Servicos</v>
      </c>
      <c r="E941" t="str">
        <f>_xlfn.XLOOKUP(A941, ORIGEM!A:A, ORIGEM!B:B)</f>
        <v>Instagram</v>
      </c>
      <c r="F941" t="str">
        <f>_xlfn.XLOOKUP(A941, ORIGEM!A:A, ORIGEM!C:C)</f>
        <v>instagram - social</v>
      </c>
      <c r="G941" t="str">
        <f>_xlfn.XLOOKUP(A941, LOCAL!A:A, LOCAL!B:B)</f>
        <v>Catanduva - SP</v>
      </c>
      <c r="H941" t="str">
        <f>_xlfn.XLOOKUP(A941, PORTE!A:A, PORTE!B:B)</f>
        <v>0</v>
      </c>
      <c r="I941" t="str">
        <f>_xlfn.XLOOKUP(A941, OBJETIVO!A:A, OBJETIVO!B:B)</f>
        <v>Planejamento estratégico</v>
      </c>
      <c r="J941">
        <f t="shared" si="14"/>
        <v>0</v>
      </c>
    </row>
    <row r="942" spans="1:10" x14ac:dyDescent="0.25">
      <c r="A942">
        <v>11592484</v>
      </c>
      <c r="B942" s="1">
        <v>45725.86309027778</v>
      </c>
      <c r="C942" t="s">
        <v>0</v>
      </c>
      <c r="D942" t="str">
        <f>VLOOKUP(A942,MERCADO!A:B,2,0)</f>
        <v>Servicos</v>
      </c>
      <c r="E942" t="str">
        <f>_xlfn.XLOOKUP(A942, ORIGEM!A:A, ORIGEM!B:B)</f>
        <v>Instagram</v>
      </c>
      <c r="F942" t="str">
        <f>_xlfn.XLOOKUP(A942, ORIGEM!A:A, ORIGEM!C:C)</f>
        <v>instagram - social</v>
      </c>
      <c r="G942" t="str">
        <f>_xlfn.XLOOKUP(A942, LOCAL!A:A, LOCAL!B:B)</f>
        <v>Belford Roxo - RJ</v>
      </c>
      <c r="H942" t="str">
        <f>_xlfn.XLOOKUP(A942, PORTE!A:A, PORTE!B:B)</f>
        <v>0</v>
      </c>
      <c r="I942" t="str">
        <f>_xlfn.XLOOKUP(A942, OBJETIVO!A:A, OBJETIVO!B:B)</f>
        <v>Consultoria</v>
      </c>
      <c r="J942">
        <f t="shared" si="14"/>
        <v>0</v>
      </c>
    </row>
    <row r="943" spans="1:10" x14ac:dyDescent="0.25">
      <c r="A943">
        <v>11370765</v>
      </c>
      <c r="B943" s="1">
        <v>45704.870381944442</v>
      </c>
      <c r="C943" t="s">
        <v>0</v>
      </c>
      <c r="D943" t="str">
        <f>VLOOKUP(A943,MERCADO!A:B,2,0)</f>
        <v>Servicos</v>
      </c>
      <c r="E943" t="str">
        <f>_xlfn.XLOOKUP(A943, ORIGEM!A:A, ORIGEM!B:B)</f>
        <v>Instagram</v>
      </c>
      <c r="F943" t="str">
        <f>_xlfn.XLOOKUP(A943, ORIGEM!A:A, ORIGEM!C:C)</f>
        <v>instagram - social</v>
      </c>
      <c r="G943" t="str">
        <f>_xlfn.XLOOKUP(A943, LOCAL!A:A, LOCAL!B:B)</f>
        <v>Tamboré - SP</v>
      </c>
      <c r="H943" t="str">
        <f>_xlfn.XLOOKUP(A943, PORTE!A:A, PORTE!B:B)</f>
        <v>1-10</v>
      </c>
      <c r="I943" t="str">
        <f>_xlfn.XLOOKUP(A943, OBJETIVO!A:A, OBJETIVO!B:B)</f>
        <v>Abertura/Expansão</v>
      </c>
      <c r="J943">
        <f t="shared" si="14"/>
        <v>0</v>
      </c>
    </row>
    <row r="944" spans="1:10" x14ac:dyDescent="0.25">
      <c r="A944">
        <v>11391578</v>
      </c>
      <c r="B944" s="1">
        <v>45706.656655092593</v>
      </c>
      <c r="C944" t="s">
        <v>0</v>
      </c>
      <c r="D944" t="str">
        <f>VLOOKUP(A944,MERCADO!A:B,2,0)</f>
        <v>Servicos</v>
      </c>
      <c r="E944" t="str">
        <f>_xlfn.XLOOKUP(A944, ORIGEM!A:A, ORIGEM!B:B)</f>
        <v>Instagram</v>
      </c>
      <c r="F944" t="str">
        <f>_xlfn.XLOOKUP(A944, ORIGEM!A:A, ORIGEM!C:C)</f>
        <v>instagram - social</v>
      </c>
      <c r="G944" t="str">
        <f>_xlfn.XLOOKUP(A944, LOCAL!A:A, LOCAL!B:B)</f>
        <v>Presidente Prudente - SP</v>
      </c>
      <c r="H944" t="str">
        <f>_xlfn.XLOOKUP(A944, PORTE!A:A, PORTE!B:B)</f>
        <v>1-10</v>
      </c>
      <c r="I944" t="str">
        <f>_xlfn.XLOOKUP(A944, OBJETIVO!A:A, OBJETIVO!B:B)</f>
        <v>Geração de leads b2b</v>
      </c>
      <c r="J944">
        <f t="shared" si="14"/>
        <v>0</v>
      </c>
    </row>
    <row r="945" spans="1:10" x14ac:dyDescent="0.25">
      <c r="A945">
        <v>11557377</v>
      </c>
      <c r="B945" s="1">
        <v>45721.860949074071</v>
      </c>
      <c r="C945" t="s">
        <v>0</v>
      </c>
      <c r="D945" t="str">
        <f>VLOOKUP(A945,MERCADO!A:B,2,0)</f>
        <v>Servicos</v>
      </c>
      <c r="E945" t="str">
        <f>_xlfn.XLOOKUP(A945, ORIGEM!A:A, ORIGEM!B:B)</f>
        <v>Instagram</v>
      </c>
      <c r="F945" t="str">
        <f>_xlfn.XLOOKUP(A945, ORIGEM!A:A, ORIGEM!C:C)</f>
        <v>instagram - social</v>
      </c>
      <c r="G945" t="str">
        <f>_xlfn.XLOOKUP(A945, LOCAL!A:A, LOCAL!B:B)</f>
        <v>Joinville - SC</v>
      </c>
      <c r="H945" t="str">
        <f>_xlfn.XLOOKUP(A945, PORTE!A:A, PORTE!B:B)</f>
        <v>1-10</v>
      </c>
      <c r="I945" t="str">
        <f>_xlfn.XLOOKUP(A945, OBJETIVO!A:A, OBJETIVO!B:B)</f>
        <v>Ações de marketing/vendas</v>
      </c>
      <c r="J945">
        <f t="shared" si="14"/>
        <v>0</v>
      </c>
    </row>
    <row r="946" spans="1:10" x14ac:dyDescent="0.25">
      <c r="A946">
        <v>11448244</v>
      </c>
      <c r="B946" s="1">
        <v>45712.584421296298</v>
      </c>
      <c r="C946" t="s">
        <v>0</v>
      </c>
      <c r="D946" t="str">
        <f>VLOOKUP(A946,MERCADO!A:B,2,0)</f>
        <v>Servicos</v>
      </c>
      <c r="E946" t="str">
        <f>_xlfn.XLOOKUP(A946, ORIGEM!A:A, ORIGEM!B:B)</f>
        <v>Google</v>
      </c>
      <c r="F946" t="str">
        <f>_xlfn.XLOOKUP(A946, ORIGEM!A:A, ORIGEM!C:C)</f>
        <v>google - cpc</v>
      </c>
      <c r="G946" t="str">
        <f>_xlfn.XLOOKUP(A946, LOCAL!A:A, LOCAL!B:B)</f>
        <v>Presidente Prudente - SP</v>
      </c>
      <c r="H946" t="str">
        <f>_xlfn.XLOOKUP(A946, PORTE!A:A, PORTE!B:B)</f>
        <v>0</v>
      </c>
      <c r="I946" t="str">
        <f>_xlfn.XLOOKUP(A946, OBJETIVO!A:A, OBJETIVO!B:B)</f>
        <v>Ações de marketing/vendas</v>
      </c>
      <c r="J946">
        <f t="shared" si="14"/>
        <v>0</v>
      </c>
    </row>
    <row r="947" spans="1:10" x14ac:dyDescent="0.25">
      <c r="A947">
        <v>11449441</v>
      </c>
      <c r="B947" s="1">
        <v>45712.637916666667</v>
      </c>
      <c r="C947" t="s">
        <v>0</v>
      </c>
      <c r="D947" t="str">
        <f>VLOOKUP(A947,MERCADO!A:B,2,0)</f>
        <v>Servicos</v>
      </c>
      <c r="E947" t="str">
        <f>_xlfn.XLOOKUP(A947, ORIGEM!A:A, ORIGEM!B:B)</f>
        <v>Google</v>
      </c>
      <c r="F947" t="str">
        <f>_xlfn.XLOOKUP(A947, ORIGEM!A:A, ORIGEM!C:C)</f>
        <v>google - cpc</v>
      </c>
      <c r="G947" t="str">
        <f>_xlfn.XLOOKUP(A947, LOCAL!A:A, LOCAL!B:B)</f>
        <v>Rio das Ostras - RJ</v>
      </c>
      <c r="H947" t="str">
        <f>_xlfn.XLOOKUP(A947, PORTE!A:A, PORTE!B:B)</f>
        <v>1-10</v>
      </c>
      <c r="I947" t="str">
        <f>_xlfn.XLOOKUP(A947, OBJETIVO!A:A, OBJETIVO!B:B)</f>
        <v>Ações de marketing/vendas</v>
      </c>
      <c r="J947">
        <f t="shared" si="14"/>
        <v>0</v>
      </c>
    </row>
    <row r="948" spans="1:10" x14ac:dyDescent="0.25">
      <c r="A948">
        <v>11450712</v>
      </c>
      <c r="B948" s="1">
        <v>45712.690208333333</v>
      </c>
      <c r="C948" t="s">
        <v>0</v>
      </c>
      <c r="D948" t="str">
        <f>VLOOKUP(A948,MERCADO!A:B,2,0)</f>
        <v>Servicos</v>
      </c>
      <c r="E948" t="str">
        <f>_xlfn.XLOOKUP(A948, ORIGEM!A:A, ORIGEM!B:B)</f>
        <v>Google</v>
      </c>
      <c r="F948" t="str">
        <f>_xlfn.XLOOKUP(A948, ORIGEM!A:A, ORIGEM!C:C)</f>
        <v>google - cpc</v>
      </c>
      <c r="G948" t="str">
        <f>_xlfn.XLOOKUP(A948, LOCAL!A:A, LOCAL!B:B)</f>
        <v>São Paulo - SP</v>
      </c>
      <c r="H948" t="str">
        <f>_xlfn.XLOOKUP(A948, PORTE!A:A, PORTE!B:B)</f>
        <v>11-50</v>
      </c>
      <c r="I948" t="str">
        <f>_xlfn.XLOOKUP(A948, OBJETIVO!A:A, OBJETIVO!B:B)</f>
        <v>Ações de marketing/vendas</v>
      </c>
      <c r="J948">
        <f t="shared" si="14"/>
        <v>0</v>
      </c>
    </row>
    <row r="949" spans="1:10" x14ac:dyDescent="0.25">
      <c r="A949">
        <v>11854161</v>
      </c>
      <c r="B949" s="1">
        <v>45749.629826388889</v>
      </c>
      <c r="C949" t="s">
        <v>0</v>
      </c>
      <c r="D949" t="str">
        <f>VLOOKUP(A949,MERCADO!A:B,2,0)</f>
        <v>Servicos</v>
      </c>
      <c r="E949" t="str">
        <f>_xlfn.XLOOKUP(A949, ORIGEM!A:A, ORIGEM!B:B)</f>
        <v>Bing</v>
      </c>
      <c r="F949" t="str">
        <f>_xlfn.XLOOKUP(A949, ORIGEM!A:A, ORIGEM!C:C)</f>
        <v>bing - cpc</v>
      </c>
      <c r="G949" t="str">
        <f>_xlfn.XLOOKUP(A949, LOCAL!A:A, LOCAL!B:B)</f>
        <v>Goiânia - GO</v>
      </c>
      <c r="H949" t="str">
        <f>_xlfn.XLOOKUP(A949, PORTE!A:A, PORTE!B:B)</f>
        <v>1-10</v>
      </c>
      <c r="I949" t="str">
        <f>_xlfn.XLOOKUP(A949, OBJETIVO!A:A, OBJETIVO!B:B)</f>
        <v>Abertura/Expansão</v>
      </c>
      <c r="J949">
        <f t="shared" si="14"/>
        <v>0</v>
      </c>
    </row>
    <row r="950" spans="1:10" x14ac:dyDescent="0.25">
      <c r="A950">
        <v>11754482</v>
      </c>
      <c r="B950" s="1">
        <v>45741.405185185184</v>
      </c>
      <c r="C950" t="s">
        <v>0</v>
      </c>
      <c r="D950" t="str">
        <f>VLOOKUP(A950,MERCADO!A:B,2,0)</f>
        <v>Servicos</v>
      </c>
      <c r="E950" t="str">
        <f>_xlfn.XLOOKUP(A950, ORIGEM!A:A, ORIGEM!B:B)</f>
        <v>Bing</v>
      </c>
      <c r="F950" t="str">
        <f>_xlfn.XLOOKUP(A950, ORIGEM!A:A, ORIGEM!C:C)</f>
        <v>bing - cpc</v>
      </c>
      <c r="G950" t="str">
        <f>_xlfn.XLOOKUP(A950, LOCAL!A:A, LOCAL!B:B)</f>
        <v>Leopoldina - MG</v>
      </c>
      <c r="H950" t="str">
        <f>_xlfn.XLOOKUP(A950, PORTE!A:A, PORTE!B:B)</f>
        <v>301-1000</v>
      </c>
      <c r="I950" t="str">
        <f>_xlfn.XLOOKUP(A950, OBJETIVO!A:A, OBJETIVO!B:B)</f>
        <v>Planejamento estratégico</v>
      </c>
      <c r="J950">
        <f t="shared" si="14"/>
        <v>0</v>
      </c>
    </row>
    <row r="951" spans="1:10" x14ac:dyDescent="0.25">
      <c r="A951">
        <v>11433582</v>
      </c>
      <c r="B951" s="1">
        <v>45711.584097222221</v>
      </c>
      <c r="C951" t="s">
        <v>0</v>
      </c>
      <c r="D951" t="str">
        <f>VLOOKUP(A951,MERCADO!A:B,2,0)</f>
        <v>Servicos</v>
      </c>
      <c r="E951" t="str">
        <f>_xlfn.XLOOKUP(A951, ORIGEM!A:A, ORIGEM!B:B)</f>
        <v>Bing</v>
      </c>
      <c r="F951" t="str">
        <f>_xlfn.XLOOKUP(A951, ORIGEM!A:A, ORIGEM!C:C)</f>
        <v>bing - cpc</v>
      </c>
      <c r="G951" t="str">
        <f>_xlfn.XLOOKUP(A951, LOCAL!A:A, LOCAL!B:B)</f>
        <v>Osasco - SP</v>
      </c>
      <c r="H951" t="str">
        <f>_xlfn.XLOOKUP(A951, PORTE!A:A, PORTE!B:B)</f>
        <v>0</v>
      </c>
      <c r="I951" t="str">
        <f>_xlfn.XLOOKUP(A951, OBJETIVO!A:A, OBJETIVO!B:B)</f>
        <v>Outro</v>
      </c>
      <c r="J951">
        <f t="shared" si="14"/>
        <v>0</v>
      </c>
    </row>
    <row r="952" spans="1:10" x14ac:dyDescent="0.25">
      <c r="A952">
        <v>11284013</v>
      </c>
      <c r="B952" s="1">
        <v>45696.640706018516</v>
      </c>
      <c r="C952" t="s">
        <v>0</v>
      </c>
      <c r="D952" t="str">
        <f>VLOOKUP(A952,MERCADO!A:B,2,0)</f>
        <v>Servicos</v>
      </c>
      <c r="E952" t="str">
        <f>_xlfn.XLOOKUP(A952, ORIGEM!A:A, ORIGEM!B:B)</f>
        <v>Leads</v>
      </c>
      <c r="F952" t="str">
        <f>_xlfn.XLOOKUP(A952, ORIGEM!A:A, ORIGEM!C:C)</f>
        <v>leads - email</v>
      </c>
      <c r="G952" t="str">
        <f>_xlfn.XLOOKUP(A952, LOCAL!A:A, LOCAL!B:B)</f>
        <v>Maringá - PR</v>
      </c>
      <c r="H952" t="str">
        <f>_xlfn.XLOOKUP(A952, PORTE!A:A, PORTE!B:B)</f>
        <v>11-50</v>
      </c>
      <c r="I952" t="str">
        <f>_xlfn.XLOOKUP(A952, OBJETIVO!A:A, OBJETIVO!B:B)</f>
        <v>Ações de marketing/vendas</v>
      </c>
      <c r="J952">
        <f t="shared" si="14"/>
        <v>0</v>
      </c>
    </row>
    <row r="953" spans="1:10" x14ac:dyDescent="0.25">
      <c r="A953">
        <v>11117786</v>
      </c>
      <c r="B953" s="1">
        <v>45683.461643518516</v>
      </c>
      <c r="C953" t="s">
        <v>0</v>
      </c>
      <c r="D953" t="str">
        <f>VLOOKUP(A953,MERCADO!A:B,2,0)</f>
        <v>Servicos</v>
      </c>
      <c r="E953" t="str">
        <f>_xlfn.XLOOKUP(A953, ORIGEM!A:A, ORIGEM!B:B)</f>
        <v>Leads</v>
      </c>
      <c r="F953" t="str">
        <f>_xlfn.XLOOKUP(A953, ORIGEM!A:A, ORIGEM!C:C)</f>
        <v>leads - email</v>
      </c>
      <c r="G953" t="str">
        <f>_xlfn.XLOOKUP(A953, LOCAL!A:A, LOCAL!B:B)</f>
        <v>Campo Largo - PR</v>
      </c>
      <c r="H953" t="str">
        <f>_xlfn.XLOOKUP(A953, PORTE!A:A, PORTE!B:B)</f>
        <v>1-10</v>
      </c>
      <c r="I953" t="str">
        <f>_xlfn.XLOOKUP(A953, OBJETIVO!A:A, OBJETIVO!B:B)</f>
        <v>Consultoria</v>
      </c>
      <c r="J953">
        <f t="shared" si="14"/>
        <v>0</v>
      </c>
    </row>
    <row r="954" spans="1:10" x14ac:dyDescent="0.25">
      <c r="A954">
        <v>11498068</v>
      </c>
      <c r="B954" s="1">
        <v>45717.749259259261</v>
      </c>
      <c r="C954" t="s">
        <v>0</v>
      </c>
      <c r="D954" t="str">
        <f>VLOOKUP(A954,MERCADO!A:B,2,0)</f>
        <v>Servicos</v>
      </c>
      <c r="E954" t="str">
        <f>_xlfn.XLOOKUP(A954, ORIGEM!A:A, ORIGEM!B:B)</f>
        <v>Youtube</v>
      </c>
      <c r="F954" t="str">
        <f>_xlfn.XLOOKUP(A954, ORIGEM!A:A, ORIGEM!C:C)</f>
        <v>youtube - cpc</v>
      </c>
      <c r="G954" t="str">
        <f>_xlfn.XLOOKUP(A954, LOCAL!A:A, LOCAL!B:B)</f>
        <v>Juquitiba - SP</v>
      </c>
      <c r="H954" t="str">
        <f>_xlfn.XLOOKUP(A954, PORTE!A:A, PORTE!B:B)</f>
        <v>0</v>
      </c>
      <c r="I954" t="str">
        <f>_xlfn.XLOOKUP(A954, OBJETIVO!A:A, OBJETIVO!B:B)</f>
        <v>Outro</v>
      </c>
      <c r="J954">
        <f t="shared" si="14"/>
        <v>0</v>
      </c>
    </row>
    <row r="955" spans="1:10" x14ac:dyDescent="0.25">
      <c r="A955">
        <v>11630930</v>
      </c>
      <c r="B955" s="1">
        <v>45729.327326388891</v>
      </c>
      <c r="C955" t="s">
        <v>0</v>
      </c>
      <c r="D955" t="str">
        <f>VLOOKUP(A955,MERCADO!A:B,2,0)</f>
        <v>Servicos</v>
      </c>
      <c r="E955" t="str">
        <f>_xlfn.XLOOKUP(A955, ORIGEM!A:A, ORIGEM!B:B)</f>
        <v>Youtube</v>
      </c>
      <c r="F955" t="str">
        <f>_xlfn.XLOOKUP(A955, ORIGEM!A:A, ORIGEM!C:C)</f>
        <v>youtube - cpc</v>
      </c>
      <c r="G955" t="str">
        <f>_xlfn.XLOOKUP(A955, LOCAL!A:A, LOCAL!B:B)</f>
        <v>Itapecerica da Serra - SP</v>
      </c>
      <c r="H955" t="str">
        <f>_xlfn.XLOOKUP(A955, PORTE!A:A, PORTE!B:B)</f>
        <v>1-10</v>
      </c>
      <c r="I955" t="str">
        <f>_xlfn.XLOOKUP(A955, OBJETIVO!A:A, OBJETIVO!B:B)</f>
        <v>Outro</v>
      </c>
      <c r="J955">
        <f t="shared" si="14"/>
        <v>0</v>
      </c>
    </row>
    <row r="956" spans="1:10" x14ac:dyDescent="0.25">
      <c r="A956">
        <v>11633028</v>
      </c>
      <c r="B956" s="1">
        <v>45729.893865740742</v>
      </c>
      <c r="C956" t="s">
        <v>0</v>
      </c>
      <c r="D956" t="str">
        <f>VLOOKUP(A956,MERCADO!A:B,2,0)</f>
        <v>Servicos</v>
      </c>
      <c r="E956" t="str">
        <f>_xlfn.XLOOKUP(A956, ORIGEM!A:A, ORIGEM!B:B)</f>
        <v>Youtube</v>
      </c>
      <c r="F956" t="str">
        <f>_xlfn.XLOOKUP(A956, ORIGEM!A:A, ORIGEM!C:C)</f>
        <v>youtube - cpc</v>
      </c>
      <c r="G956" t="str">
        <f>_xlfn.XLOOKUP(A956, LOCAL!A:A, LOCAL!B:B)</f>
        <v>Juazeiro do Norte - CE</v>
      </c>
      <c r="H956" t="str">
        <f>_xlfn.XLOOKUP(A956, PORTE!A:A, PORTE!B:B)</f>
        <v>+ 1000</v>
      </c>
      <c r="I956" t="str">
        <f>_xlfn.XLOOKUP(A956, OBJETIVO!A:A, OBJETIVO!B:B)</f>
        <v>Geração de leads b2b</v>
      </c>
      <c r="J956">
        <f t="shared" si="14"/>
        <v>0</v>
      </c>
    </row>
    <row r="957" spans="1:10" x14ac:dyDescent="0.25">
      <c r="A957">
        <v>11481392</v>
      </c>
      <c r="B957" s="1">
        <v>45715.485856481479</v>
      </c>
      <c r="C957" t="s">
        <v>0</v>
      </c>
      <c r="D957" t="str">
        <f>VLOOKUP(A957,MERCADO!A:B,2,0)</f>
        <v>Servicos</v>
      </c>
      <c r="E957" t="str">
        <f>_xlfn.XLOOKUP(A957, ORIGEM!A:A, ORIGEM!B:B)</f>
        <v>Youtube</v>
      </c>
      <c r="F957" t="str">
        <f>_xlfn.XLOOKUP(A957, ORIGEM!A:A, ORIGEM!C:C)</f>
        <v>youtube - cpc</v>
      </c>
      <c r="G957" t="str">
        <f>_xlfn.XLOOKUP(A957, LOCAL!A:A, LOCAL!B:B)</f>
        <v>Rio de Janeiro - RJ</v>
      </c>
      <c r="H957" t="str">
        <f>_xlfn.XLOOKUP(A957, PORTE!A:A, PORTE!B:B)</f>
        <v>0</v>
      </c>
      <c r="I957" t="str">
        <f>_xlfn.XLOOKUP(A957, OBJETIVO!A:A, OBJETIVO!B:B)</f>
        <v>Outro</v>
      </c>
      <c r="J957">
        <f t="shared" si="14"/>
        <v>0</v>
      </c>
    </row>
    <row r="958" spans="1:10" x14ac:dyDescent="0.25">
      <c r="A958">
        <v>11425987</v>
      </c>
      <c r="B958" s="1">
        <v>45710.908032407409</v>
      </c>
      <c r="C958" t="s">
        <v>0</v>
      </c>
      <c r="D958" t="str">
        <f>VLOOKUP(A958,MERCADO!A:B,2,0)</f>
        <v>Servicos</v>
      </c>
      <c r="E958" t="str">
        <f>_xlfn.XLOOKUP(A958, ORIGEM!A:A, ORIGEM!B:B)</f>
        <v>Youtube</v>
      </c>
      <c r="F958" t="str">
        <f>_xlfn.XLOOKUP(A958, ORIGEM!A:A, ORIGEM!C:C)</f>
        <v>youtube - cpc</v>
      </c>
      <c r="G958" t="str">
        <f>_xlfn.XLOOKUP(A958, LOCAL!A:A, LOCAL!B:B)</f>
        <v>São Lourenço - MG</v>
      </c>
      <c r="H958" t="str">
        <f>_xlfn.XLOOKUP(A958, PORTE!A:A, PORTE!B:B)</f>
        <v>11-50</v>
      </c>
      <c r="I958" t="str">
        <f>_xlfn.XLOOKUP(A958, OBJETIVO!A:A, OBJETIVO!B:B)</f>
        <v>Outro</v>
      </c>
      <c r="J958">
        <f t="shared" si="14"/>
        <v>0</v>
      </c>
    </row>
    <row r="959" spans="1:10" x14ac:dyDescent="0.25">
      <c r="A959">
        <v>11406835</v>
      </c>
      <c r="B959" s="1">
        <v>45708.431585648148</v>
      </c>
      <c r="C959" t="s">
        <v>0</v>
      </c>
      <c r="D959" t="str">
        <f>VLOOKUP(A959,MERCADO!A:B,2,0)</f>
        <v>Servicos</v>
      </c>
      <c r="E959" t="str">
        <f>_xlfn.XLOOKUP(A959, ORIGEM!A:A, ORIGEM!B:B)</f>
        <v>Youtube</v>
      </c>
      <c r="F959" t="str">
        <f>_xlfn.XLOOKUP(A959, ORIGEM!A:A, ORIGEM!C:C)</f>
        <v>youtube - cpc</v>
      </c>
      <c r="G959" t="str">
        <f>_xlfn.XLOOKUP(A959, LOCAL!A:A, LOCAL!B:B)</f>
        <v>Lucas do Rio Verde - MT</v>
      </c>
      <c r="H959" t="str">
        <f>_xlfn.XLOOKUP(A959, PORTE!A:A, PORTE!B:B)</f>
        <v>0</v>
      </c>
      <c r="I959" t="str">
        <f>_xlfn.XLOOKUP(A959, OBJETIVO!A:A, OBJETIVO!B:B)</f>
        <v>Outro</v>
      </c>
      <c r="J959">
        <f t="shared" si="14"/>
        <v>0</v>
      </c>
    </row>
    <row r="960" spans="1:10" x14ac:dyDescent="0.25">
      <c r="A960">
        <v>11306154</v>
      </c>
      <c r="B960" s="1">
        <v>45698.354039351849</v>
      </c>
      <c r="C960" t="s">
        <v>0</v>
      </c>
      <c r="D960" t="str">
        <f>VLOOKUP(A960,MERCADO!A:B,2,0)</f>
        <v>Servicos</v>
      </c>
      <c r="E960" t="str">
        <f>_xlfn.XLOOKUP(A960, ORIGEM!A:A, ORIGEM!B:B)</f>
        <v>Youtube</v>
      </c>
      <c r="F960" t="str">
        <f>_xlfn.XLOOKUP(A960, ORIGEM!A:A, ORIGEM!C:C)</f>
        <v>youtube - cpc</v>
      </c>
      <c r="G960" t="str">
        <f>_xlfn.XLOOKUP(A960, LOCAL!A:A, LOCAL!B:B)</f>
        <v>São Paulo - SP</v>
      </c>
      <c r="H960" t="str">
        <f>_xlfn.XLOOKUP(A960, PORTE!A:A, PORTE!B:B)</f>
        <v>1-10</v>
      </c>
      <c r="I960" t="str">
        <f>_xlfn.XLOOKUP(A960, OBJETIVO!A:A, OBJETIVO!B:B)</f>
        <v>Outro</v>
      </c>
      <c r="J960">
        <f t="shared" si="14"/>
        <v>0</v>
      </c>
    </row>
    <row r="961" spans="1:10" x14ac:dyDescent="0.25">
      <c r="A961">
        <v>12003787</v>
      </c>
      <c r="B961" s="1">
        <v>45762.654340277775</v>
      </c>
      <c r="C961" t="s">
        <v>0</v>
      </c>
      <c r="D961" t="str">
        <f>VLOOKUP(A961,MERCADO!A:B,2,0)</f>
        <v>Servicos</v>
      </c>
      <c r="E961" t="str">
        <f>_xlfn.XLOOKUP(A961, ORIGEM!A:A, ORIGEM!B:B)</f>
        <v>Youtube</v>
      </c>
      <c r="F961" t="str">
        <f>_xlfn.XLOOKUP(A961, ORIGEM!A:A, ORIGEM!C:C)</f>
        <v>youtube - cpc</v>
      </c>
      <c r="G961" t="str">
        <f>_xlfn.XLOOKUP(A961, LOCAL!A:A, LOCAL!B:B)</f>
        <v>Torres - RS</v>
      </c>
      <c r="H961" t="str">
        <f>_xlfn.XLOOKUP(A961, PORTE!A:A, PORTE!B:B)</f>
        <v>1-10</v>
      </c>
      <c r="I961" t="str">
        <f>_xlfn.XLOOKUP(A961, OBJETIVO!A:A, OBJETIVO!B:B)</f>
        <v>Planejamento estratégico</v>
      </c>
      <c r="J961">
        <f t="shared" si="14"/>
        <v>0</v>
      </c>
    </row>
    <row r="962" spans="1:10" x14ac:dyDescent="0.25">
      <c r="A962">
        <v>11344789</v>
      </c>
      <c r="B962" s="1">
        <v>45701.595243055555</v>
      </c>
      <c r="C962" t="s">
        <v>0</v>
      </c>
      <c r="D962" t="str">
        <f>VLOOKUP(A962,MERCADO!A:B,2,0)</f>
        <v>Servicos</v>
      </c>
      <c r="E962" t="str">
        <f>_xlfn.XLOOKUP(A962, ORIGEM!A:A, ORIGEM!B:B)</f>
        <v>Youtube</v>
      </c>
      <c r="F962" t="str">
        <f>_xlfn.XLOOKUP(A962, ORIGEM!A:A, ORIGEM!C:C)</f>
        <v>youtube - cpc</v>
      </c>
      <c r="G962" t="str">
        <f>_xlfn.XLOOKUP(A962, LOCAL!A:A, LOCAL!B:B)</f>
        <v>Maringá - PR</v>
      </c>
      <c r="H962" t="str">
        <f>_xlfn.XLOOKUP(A962, PORTE!A:A, PORTE!B:B)</f>
        <v>0</v>
      </c>
      <c r="I962" t="str">
        <f>_xlfn.XLOOKUP(A962, OBJETIVO!A:A, OBJETIVO!B:B)</f>
        <v>Abertura/Expansão</v>
      </c>
      <c r="J962">
        <f t="shared" si="14"/>
        <v>0</v>
      </c>
    </row>
    <row r="963" spans="1:10" x14ac:dyDescent="0.25">
      <c r="A963">
        <v>11787134</v>
      </c>
      <c r="B963" s="1">
        <v>45743.082141203704</v>
      </c>
      <c r="C963" t="s">
        <v>0</v>
      </c>
      <c r="D963" t="str">
        <f>VLOOKUP(A963,MERCADO!A:B,2,0)</f>
        <v>Servicos</v>
      </c>
      <c r="E963" t="str">
        <f>_xlfn.XLOOKUP(A963, ORIGEM!A:A, ORIGEM!B:B)</f>
        <v>Youtube</v>
      </c>
      <c r="F963" t="str">
        <f>_xlfn.XLOOKUP(A963, ORIGEM!A:A, ORIGEM!C:C)</f>
        <v>youtube - cpc</v>
      </c>
      <c r="G963" t="str">
        <f>_xlfn.XLOOKUP(A963, LOCAL!A:A, LOCAL!B:B)</f>
        <v>Castanhal - PA</v>
      </c>
      <c r="H963" t="str">
        <f>_xlfn.XLOOKUP(A963, PORTE!A:A, PORTE!B:B)</f>
        <v>0</v>
      </c>
      <c r="I963" t="str">
        <f>_xlfn.XLOOKUP(A963, OBJETIVO!A:A, OBJETIVO!B:B)</f>
        <v>Abertura/Expansão</v>
      </c>
      <c r="J963">
        <f t="shared" ref="J963:J1026" si="15">IF(C963="SIM",1,0)</f>
        <v>0</v>
      </c>
    </row>
    <row r="964" spans="1:10" x14ac:dyDescent="0.25">
      <c r="A964">
        <v>11347884</v>
      </c>
      <c r="B964" s="1">
        <v>45702.836412037039</v>
      </c>
      <c r="C964" t="s">
        <v>0</v>
      </c>
      <c r="D964" t="str">
        <f>VLOOKUP(A964,MERCADO!A:B,2,0)</f>
        <v>Servicos</v>
      </c>
      <c r="E964" t="str">
        <f>_xlfn.XLOOKUP(A964, ORIGEM!A:A, ORIGEM!B:B)</f>
        <v>Youtube</v>
      </c>
      <c r="F964" t="str">
        <f>_xlfn.XLOOKUP(A964, ORIGEM!A:A, ORIGEM!C:C)</f>
        <v>youtube - cpc</v>
      </c>
      <c r="G964" t="str">
        <f>_xlfn.XLOOKUP(A964, LOCAL!A:A, LOCAL!B:B)</f>
        <v>Igarape Miri - PA</v>
      </c>
      <c r="H964" t="str">
        <f>_xlfn.XLOOKUP(A964, PORTE!A:A, PORTE!B:B)</f>
        <v>1-10</v>
      </c>
      <c r="I964" t="str">
        <f>_xlfn.XLOOKUP(A964, OBJETIVO!A:A, OBJETIVO!B:B)</f>
        <v>Outro</v>
      </c>
      <c r="J964">
        <f t="shared" si="15"/>
        <v>0</v>
      </c>
    </row>
    <row r="965" spans="1:10" x14ac:dyDescent="0.25">
      <c r="A965">
        <v>11405326</v>
      </c>
      <c r="B965" s="1">
        <v>45707.790312500001</v>
      </c>
      <c r="C965" t="s">
        <v>0</v>
      </c>
      <c r="D965" t="str">
        <f>VLOOKUP(A965,MERCADO!A:B,2,0)</f>
        <v>Servicos</v>
      </c>
      <c r="E965" t="str">
        <f>_xlfn.XLOOKUP(A965, ORIGEM!A:A, ORIGEM!B:B)</f>
        <v>Youtube</v>
      </c>
      <c r="F965" t="str">
        <f>_xlfn.XLOOKUP(A965, ORIGEM!A:A, ORIGEM!C:C)</f>
        <v>youtube - cpc</v>
      </c>
      <c r="G965" t="str">
        <f>_xlfn.XLOOKUP(A965, LOCAL!A:A, LOCAL!B:B)</f>
        <v>Rio de Janeiro - RJ</v>
      </c>
      <c r="H965" t="str">
        <f>_xlfn.XLOOKUP(A965, PORTE!A:A, PORTE!B:B)</f>
        <v>1-10</v>
      </c>
      <c r="I965" t="str">
        <f>_xlfn.XLOOKUP(A965, OBJETIVO!A:A, OBJETIVO!B:B)</f>
        <v>Outro</v>
      </c>
      <c r="J965">
        <f t="shared" si="15"/>
        <v>0</v>
      </c>
    </row>
    <row r="966" spans="1:10" x14ac:dyDescent="0.25">
      <c r="A966">
        <v>11409096</v>
      </c>
      <c r="B966" s="1">
        <v>45709.479317129626</v>
      </c>
      <c r="C966" t="s">
        <v>0</v>
      </c>
      <c r="D966" t="str">
        <f>VLOOKUP(A966,MERCADO!A:B,2,0)</f>
        <v>Servicos</v>
      </c>
      <c r="E966" t="str">
        <f>_xlfn.XLOOKUP(A966, ORIGEM!A:A, ORIGEM!B:B)</f>
        <v>Youtube</v>
      </c>
      <c r="F966" t="str">
        <f>_xlfn.XLOOKUP(A966, ORIGEM!A:A, ORIGEM!C:C)</f>
        <v>youtube - cpc</v>
      </c>
      <c r="G966" t="str">
        <f>_xlfn.XLOOKUP(A966, LOCAL!A:A, LOCAL!B:B)</f>
        <v>Osasco - SP</v>
      </c>
      <c r="H966" t="str">
        <f>_xlfn.XLOOKUP(A966, PORTE!A:A, PORTE!B:B)</f>
        <v>0</v>
      </c>
      <c r="I966" t="str">
        <f>_xlfn.XLOOKUP(A966, OBJETIVO!A:A, OBJETIVO!B:B)</f>
        <v>Abertura/Expansão</v>
      </c>
      <c r="J966">
        <f t="shared" si="15"/>
        <v>0</v>
      </c>
    </row>
    <row r="967" spans="1:10" x14ac:dyDescent="0.25">
      <c r="A967">
        <v>11409166</v>
      </c>
      <c r="B967" s="1">
        <v>45709.501018518517</v>
      </c>
      <c r="C967" t="s">
        <v>0</v>
      </c>
      <c r="D967" t="str">
        <f>VLOOKUP(A967,MERCADO!A:B,2,0)</f>
        <v>Servicos</v>
      </c>
      <c r="E967" t="str">
        <f>_xlfn.XLOOKUP(A967, ORIGEM!A:A, ORIGEM!B:B)</f>
        <v>Youtube</v>
      </c>
      <c r="F967" t="str">
        <f>_xlfn.XLOOKUP(A967, ORIGEM!A:A, ORIGEM!C:C)</f>
        <v>youtube - cpc</v>
      </c>
      <c r="G967" t="str">
        <f>_xlfn.XLOOKUP(A967, LOCAL!A:A, LOCAL!B:B)</f>
        <v>São Paulo - SP</v>
      </c>
      <c r="H967" t="str">
        <f>_xlfn.XLOOKUP(A967, PORTE!A:A, PORTE!B:B)</f>
        <v>0</v>
      </c>
      <c r="I967" t="str">
        <f>_xlfn.XLOOKUP(A967, OBJETIVO!A:A, OBJETIVO!B:B)</f>
        <v>Ações de marketing/vendas</v>
      </c>
      <c r="J967">
        <f t="shared" si="15"/>
        <v>0</v>
      </c>
    </row>
    <row r="968" spans="1:10" x14ac:dyDescent="0.25">
      <c r="A968">
        <v>11409459</v>
      </c>
      <c r="B968" s="1">
        <v>45709.617650462962</v>
      </c>
      <c r="C968" t="s">
        <v>0</v>
      </c>
      <c r="D968" t="str">
        <f>VLOOKUP(A968,MERCADO!A:B,2,0)</f>
        <v>Servicos</v>
      </c>
      <c r="E968" t="str">
        <f>_xlfn.XLOOKUP(A968, ORIGEM!A:A, ORIGEM!B:B)</f>
        <v>Youtube</v>
      </c>
      <c r="F968" t="str">
        <f>_xlfn.XLOOKUP(A968, ORIGEM!A:A, ORIGEM!C:C)</f>
        <v>youtube - cpc</v>
      </c>
      <c r="G968" t="str">
        <f>_xlfn.XLOOKUP(A968, LOCAL!A:A, LOCAL!B:B)</f>
        <v>Campo Grande - MS</v>
      </c>
      <c r="H968" t="str">
        <f>_xlfn.XLOOKUP(A968, PORTE!A:A, PORTE!B:B)</f>
        <v>11-50</v>
      </c>
      <c r="I968" t="str">
        <f>_xlfn.XLOOKUP(A968, OBJETIVO!A:A, OBJETIVO!B:B)</f>
        <v>Planejamento estratégico</v>
      </c>
      <c r="J968">
        <f t="shared" si="15"/>
        <v>0</v>
      </c>
    </row>
    <row r="969" spans="1:10" x14ac:dyDescent="0.25">
      <c r="A969">
        <v>11410921</v>
      </c>
      <c r="B969" s="1">
        <v>45709.904502314814</v>
      </c>
      <c r="C969" t="s">
        <v>0</v>
      </c>
      <c r="D969" t="str">
        <f>VLOOKUP(A969,MERCADO!A:B,2,0)</f>
        <v>Servicos</v>
      </c>
      <c r="E969" t="str">
        <f>_xlfn.XLOOKUP(A969, ORIGEM!A:A, ORIGEM!B:B)</f>
        <v>Youtube</v>
      </c>
      <c r="F969" t="str">
        <f>_xlfn.XLOOKUP(A969, ORIGEM!A:A, ORIGEM!C:C)</f>
        <v>youtube - cpc</v>
      </c>
      <c r="G969" t="str">
        <f>_xlfn.XLOOKUP(A969, LOCAL!A:A, LOCAL!B:B)</f>
        <v>Itapeva - SP</v>
      </c>
      <c r="H969" t="str">
        <f>_xlfn.XLOOKUP(A969, PORTE!A:A, PORTE!B:B)</f>
        <v>0</v>
      </c>
      <c r="I969" t="str">
        <f>_xlfn.XLOOKUP(A969, OBJETIVO!A:A, OBJETIVO!B:B)</f>
        <v>Outro</v>
      </c>
      <c r="J969">
        <f t="shared" si="15"/>
        <v>0</v>
      </c>
    </row>
    <row r="970" spans="1:10" x14ac:dyDescent="0.25">
      <c r="A970">
        <v>11624828</v>
      </c>
      <c r="B970" s="1">
        <v>45728.557719907411</v>
      </c>
      <c r="C970" t="s">
        <v>0</v>
      </c>
      <c r="D970" t="str">
        <f>VLOOKUP(A970,MERCADO!A:B,2,0)</f>
        <v>Servicos</v>
      </c>
      <c r="E970" t="str">
        <f>_xlfn.XLOOKUP(A970, ORIGEM!A:A, ORIGEM!B:B)</f>
        <v>Leads</v>
      </c>
      <c r="F970" t="str">
        <f>_xlfn.XLOOKUP(A970, ORIGEM!A:A, ORIGEM!C:C)</f>
        <v>leads - email</v>
      </c>
      <c r="G970" t="str">
        <f>_xlfn.XLOOKUP(A970, LOCAL!A:A, LOCAL!B:B)</f>
        <v>São Paulo - SP</v>
      </c>
      <c r="H970" t="str">
        <f>_xlfn.XLOOKUP(A970, PORTE!A:A, PORTE!B:B)</f>
        <v>11-50</v>
      </c>
      <c r="I970" t="str">
        <f>_xlfn.XLOOKUP(A970, OBJETIVO!A:A, OBJETIVO!B:B)</f>
        <v>Geração de leads b2b</v>
      </c>
      <c r="J970">
        <f t="shared" si="15"/>
        <v>0</v>
      </c>
    </row>
    <row r="971" spans="1:10" x14ac:dyDescent="0.25">
      <c r="A971">
        <v>11640357</v>
      </c>
      <c r="B971" s="1">
        <v>45731.459166666667</v>
      </c>
      <c r="C971" t="s">
        <v>0</v>
      </c>
      <c r="D971" t="str">
        <f>VLOOKUP(A971,MERCADO!A:B,2,0)</f>
        <v>Servicos</v>
      </c>
      <c r="E971" t="str">
        <f>_xlfn.XLOOKUP(A971, ORIGEM!A:A, ORIGEM!B:B)</f>
        <v>Leads</v>
      </c>
      <c r="F971" t="str">
        <f>_xlfn.XLOOKUP(A971, ORIGEM!A:A, ORIGEM!C:C)</f>
        <v>leads - email</v>
      </c>
      <c r="G971" t="str">
        <f>_xlfn.XLOOKUP(A971, LOCAL!A:A, LOCAL!B:B)</f>
        <v>Manaus - AM</v>
      </c>
      <c r="H971" t="str">
        <f>_xlfn.XLOOKUP(A971, PORTE!A:A, PORTE!B:B)</f>
        <v>11-50</v>
      </c>
      <c r="I971" t="str">
        <f>_xlfn.XLOOKUP(A971, OBJETIVO!A:A, OBJETIVO!B:B)</f>
        <v>Planejamento estratégico</v>
      </c>
      <c r="J971">
        <f t="shared" si="15"/>
        <v>0</v>
      </c>
    </row>
    <row r="972" spans="1:10" x14ac:dyDescent="0.25">
      <c r="A972">
        <v>12018248</v>
      </c>
      <c r="B972" s="1">
        <v>45763.714432870373</v>
      </c>
      <c r="C972" t="s">
        <v>0</v>
      </c>
      <c r="D972" t="str">
        <f>VLOOKUP(A972,MERCADO!A:B,2,0)</f>
        <v>Servicos</v>
      </c>
      <c r="E972" t="str">
        <f>_xlfn.XLOOKUP(A972, ORIGEM!A:A, ORIGEM!B:B)</f>
        <v>rep</v>
      </c>
      <c r="F972" t="str">
        <f>_xlfn.XLOOKUP(A972, ORIGEM!A:A, ORIGEM!C:C)</f>
        <v>rep - elzir-souza</v>
      </c>
      <c r="G972" t="str">
        <f>_xlfn.XLOOKUP(A972, LOCAL!A:A, LOCAL!B:B)</f>
        <v>Guarulhos - SP</v>
      </c>
      <c r="H972" t="str">
        <f>_xlfn.XLOOKUP(A972, PORTE!A:A, PORTE!B:B)</f>
        <v>1-10</v>
      </c>
      <c r="I972" t="str">
        <f>_xlfn.XLOOKUP(A972, OBJETIVO!A:A, OBJETIVO!B:B)</f>
        <v>Outro</v>
      </c>
      <c r="J972">
        <f t="shared" si="15"/>
        <v>0</v>
      </c>
    </row>
    <row r="973" spans="1:10" x14ac:dyDescent="0.25">
      <c r="A973">
        <v>11664759</v>
      </c>
      <c r="B973" s="1">
        <v>45732.928414351853</v>
      </c>
      <c r="C973" t="s">
        <v>0</v>
      </c>
      <c r="D973" t="str">
        <f>VLOOKUP(A973,MERCADO!A:B,2,0)</f>
        <v>Servicos</v>
      </c>
      <c r="E973" t="str">
        <f>_xlfn.XLOOKUP(A973, ORIGEM!A:A, ORIGEM!B:B)</f>
        <v>Youtube</v>
      </c>
      <c r="F973" t="str">
        <f>_xlfn.XLOOKUP(A973, ORIGEM!A:A, ORIGEM!C:C)</f>
        <v>youtube - cpc</v>
      </c>
      <c r="G973" t="str">
        <f>_xlfn.XLOOKUP(A973, LOCAL!A:A, LOCAL!B:B)</f>
        <v>Vilhena - RO</v>
      </c>
      <c r="H973" t="str">
        <f>_xlfn.XLOOKUP(A973, PORTE!A:A, PORTE!B:B)</f>
        <v>0</v>
      </c>
      <c r="I973" t="str">
        <f>_xlfn.XLOOKUP(A973, OBJETIVO!A:A, OBJETIVO!B:B)</f>
        <v>Ações de marketing/vendas</v>
      </c>
      <c r="J973">
        <f t="shared" si="15"/>
        <v>0</v>
      </c>
    </row>
    <row r="974" spans="1:10" x14ac:dyDescent="0.25">
      <c r="A974">
        <v>11633138</v>
      </c>
      <c r="B974" s="1">
        <v>45729.933611111112</v>
      </c>
      <c r="C974" t="s">
        <v>0</v>
      </c>
      <c r="D974" t="str">
        <f>VLOOKUP(A974,MERCADO!A:B,2,0)</f>
        <v>Imobiliaria/Incorporadora/Construtora</v>
      </c>
      <c r="E974" t="str">
        <f>_xlfn.XLOOKUP(A974, ORIGEM!A:A, ORIGEM!B:B)</f>
        <v>Youtube</v>
      </c>
      <c r="F974" t="str">
        <f>_xlfn.XLOOKUP(A974, ORIGEM!A:A, ORIGEM!C:C)</f>
        <v>youtube - cpc</v>
      </c>
      <c r="G974" t="str">
        <f>_xlfn.XLOOKUP(A974, LOCAL!A:A, LOCAL!B:B)</f>
        <v>Vitória - ES</v>
      </c>
      <c r="H974" t="str">
        <f>_xlfn.XLOOKUP(A974, PORTE!A:A, PORTE!B:B)</f>
        <v>0</v>
      </c>
      <c r="I974" t="str">
        <f>_xlfn.XLOOKUP(A974, OBJETIVO!A:A, OBJETIVO!B:B)</f>
        <v>Abertura/Expansão</v>
      </c>
      <c r="J974">
        <f t="shared" si="15"/>
        <v>0</v>
      </c>
    </row>
    <row r="975" spans="1:10" x14ac:dyDescent="0.25">
      <c r="A975">
        <v>11425589</v>
      </c>
      <c r="B975" s="1">
        <v>45710.859097222223</v>
      </c>
      <c r="C975" t="s">
        <v>0</v>
      </c>
      <c r="D975" t="str">
        <f>VLOOKUP(A975,MERCADO!A:B,2,0)</f>
        <v>Imobiliaria/Incorporadora/Construtora</v>
      </c>
      <c r="E975" t="str">
        <f>_xlfn.XLOOKUP(A975, ORIGEM!A:A, ORIGEM!B:B)</f>
        <v>Leads</v>
      </c>
      <c r="F975" t="str">
        <f>_xlfn.XLOOKUP(A975, ORIGEM!A:A, ORIGEM!C:C)</f>
        <v>leads - email</v>
      </c>
      <c r="G975" t="str">
        <f>_xlfn.XLOOKUP(A975, LOCAL!A:A, LOCAL!B:B)</f>
        <v>São Paulo - SP</v>
      </c>
      <c r="H975" t="str">
        <f>_xlfn.XLOOKUP(A975, PORTE!A:A, PORTE!B:B)</f>
        <v>0</v>
      </c>
      <c r="I975" t="str">
        <f>_xlfn.XLOOKUP(A975, OBJETIVO!A:A, OBJETIVO!B:B)</f>
        <v>Abertura/Expansão</v>
      </c>
      <c r="J975">
        <f t="shared" si="15"/>
        <v>0</v>
      </c>
    </row>
    <row r="976" spans="1:10" x14ac:dyDescent="0.25">
      <c r="A976">
        <v>11110876</v>
      </c>
      <c r="B976" s="1">
        <v>45682.726736111108</v>
      </c>
      <c r="C976" t="s">
        <v>0</v>
      </c>
      <c r="D976" t="str">
        <f>VLOOKUP(A976,MERCADO!A:B,2,0)</f>
        <v>Imobiliaria/Incorporadora/Construtora</v>
      </c>
      <c r="E976" t="str">
        <f>_xlfn.XLOOKUP(A976, ORIGEM!A:A, ORIGEM!B:B)</f>
        <v>Leads</v>
      </c>
      <c r="F976" t="str">
        <f>_xlfn.XLOOKUP(A976, ORIGEM!A:A, ORIGEM!C:C)</f>
        <v>leads - email</v>
      </c>
      <c r="G976" t="str">
        <f>_xlfn.XLOOKUP(A976, LOCAL!A:A, LOCAL!B:B)</f>
        <v>São Jorgé dos Ilhéos - BA</v>
      </c>
      <c r="H976" t="str">
        <f>_xlfn.XLOOKUP(A976, PORTE!A:A, PORTE!B:B)</f>
        <v>0</v>
      </c>
      <c r="I976" t="str">
        <f>_xlfn.XLOOKUP(A976, OBJETIVO!A:A, OBJETIVO!B:B)</f>
        <v>Outro</v>
      </c>
      <c r="J976">
        <f t="shared" si="15"/>
        <v>0</v>
      </c>
    </row>
    <row r="977" spans="1:10" x14ac:dyDescent="0.25">
      <c r="A977">
        <v>11416642</v>
      </c>
      <c r="B977" s="1">
        <v>45710.454884259256</v>
      </c>
      <c r="C977" t="s">
        <v>0</v>
      </c>
      <c r="D977" t="str">
        <f>VLOOKUP(A977,MERCADO!A:B,2,0)</f>
        <v>Imobiliaria/Incorporadora/Construtora</v>
      </c>
      <c r="E977" t="str">
        <f>_xlfn.XLOOKUP(A977, ORIGEM!A:A, ORIGEM!B:B)</f>
        <v>Leads</v>
      </c>
      <c r="F977" t="str">
        <f>_xlfn.XLOOKUP(A977, ORIGEM!A:A, ORIGEM!C:C)</f>
        <v>leads - email</v>
      </c>
      <c r="G977" t="str">
        <f>_xlfn.XLOOKUP(A977, LOCAL!A:A, LOCAL!B:B)</f>
        <v>São Paulo - SP</v>
      </c>
      <c r="H977" t="str">
        <f>_xlfn.XLOOKUP(A977, PORTE!A:A, PORTE!B:B)</f>
        <v>1-10</v>
      </c>
      <c r="I977" t="str">
        <f>_xlfn.XLOOKUP(A977, OBJETIVO!A:A, OBJETIVO!B:B)</f>
        <v>Outro</v>
      </c>
      <c r="J977">
        <f t="shared" si="15"/>
        <v>0</v>
      </c>
    </row>
    <row r="978" spans="1:10" x14ac:dyDescent="0.25">
      <c r="A978">
        <v>11416887</v>
      </c>
      <c r="B978" s="1">
        <v>45710.464965277781</v>
      </c>
      <c r="C978" t="s">
        <v>0</v>
      </c>
      <c r="D978" t="str">
        <f>VLOOKUP(A978,MERCADO!A:B,2,0)</f>
        <v>Imobiliaria/Incorporadora/Construtora</v>
      </c>
      <c r="E978" t="str">
        <f>_xlfn.XLOOKUP(A978, ORIGEM!A:A, ORIGEM!B:B)</f>
        <v>Leads</v>
      </c>
      <c r="F978" t="str">
        <f>_xlfn.XLOOKUP(A978, ORIGEM!A:A, ORIGEM!C:C)</f>
        <v>leads - email</v>
      </c>
      <c r="G978" t="str">
        <f>_xlfn.XLOOKUP(A978, LOCAL!A:A, LOCAL!B:B)</f>
        <v>São Paulo - SP</v>
      </c>
      <c r="H978" t="str">
        <f>_xlfn.XLOOKUP(A978, PORTE!A:A, PORTE!B:B)</f>
        <v>1-10</v>
      </c>
      <c r="I978" t="str">
        <f>_xlfn.XLOOKUP(A978, OBJETIVO!A:A, OBJETIVO!B:B)</f>
        <v>Ações de marketing/vendas</v>
      </c>
      <c r="J978">
        <f t="shared" si="15"/>
        <v>0</v>
      </c>
    </row>
    <row r="979" spans="1:10" x14ac:dyDescent="0.25">
      <c r="A979">
        <v>11707246</v>
      </c>
      <c r="B979" s="1">
        <v>45736.380324074074</v>
      </c>
      <c r="C979" t="s">
        <v>0</v>
      </c>
      <c r="D979" t="str">
        <f>VLOOKUP(A979,MERCADO!A:B,2,0)</f>
        <v>Servicos</v>
      </c>
      <c r="E979" t="str">
        <f>_xlfn.XLOOKUP(A979, ORIGEM!A:A, ORIGEM!B:B)</f>
        <v>Youtube</v>
      </c>
      <c r="F979" t="str">
        <f>_xlfn.XLOOKUP(A979, ORIGEM!A:A, ORIGEM!C:C)</f>
        <v>youtube - cpc</v>
      </c>
      <c r="G979" t="str">
        <f>_xlfn.XLOOKUP(A979, LOCAL!A:A, LOCAL!B:B)</f>
        <v>Salvador - BA</v>
      </c>
      <c r="H979" t="str">
        <f>_xlfn.XLOOKUP(A979, PORTE!A:A, PORTE!B:B)</f>
        <v>0</v>
      </c>
      <c r="I979" t="str">
        <f>_xlfn.XLOOKUP(A979, OBJETIVO!A:A, OBJETIVO!B:B)</f>
        <v>Abertura/Expansão</v>
      </c>
      <c r="J979">
        <f t="shared" si="15"/>
        <v>0</v>
      </c>
    </row>
    <row r="980" spans="1:10" x14ac:dyDescent="0.25">
      <c r="A980">
        <v>11290835</v>
      </c>
      <c r="B980" s="1">
        <v>45696.868078703701</v>
      </c>
      <c r="C980" t="s">
        <v>0</v>
      </c>
      <c r="D980" t="str">
        <f>VLOOKUP(A980,MERCADO!A:B,2,0)</f>
        <v>Servicos</v>
      </c>
      <c r="E980" t="str">
        <f>_xlfn.XLOOKUP(A980, ORIGEM!A:A, ORIGEM!B:B)</f>
        <v>Instagram</v>
      </c>
      <c r="F980" t="str">
        <f>_xlfn.XLOOKUP(A980, ORIGEM!A:A, ORIGEM!C:C)</f>
        <v>instagram - social</v>
      </c>
      <c r="G980" t="str">
        <f>_xlfn.XLOOKUP(A980, LOCAL!A:A, LOCAL!B:B)</f>
        <v>Belo Horizonte - MG</v>
      </c>
      <c r="H980" t="str">
        <f>_xlfn.XLOOKUP(A980, PORTE!A:A, PORTE!B:B)</f>
        <v>1-10</v>
      </c>
      <c r="I980" t="str">
        <f>_xlfn.XLOOKUP(A980, OBJETIVO!A:A, OBJETIVO!B:B)</f>
        <v>Ações de marketing/vendas</v>
      </c>
      <c r="J980">
        <f t="shared" si="15"/>
        <v>0</v>
      </c>
    </row>
    <row r="981" spans="1:10" x14ac:dyDescent="0.25">
      <c r="A981">
        <v>11348116</v>
      </c>
      <c r="B981" s="1">
        <v>45702.918587962966</v>
      </c>
      <c r="C981" t="s">
        <v>0</v>
      </c>
      <c r="D981" t="str">
        <f>VLOOKUP(A981,MERCADO!A:B,2,0)</f>
        <v>Servicos</v>
      </c>
      <c r="E981" t="str">
        <f>_xlfn.XLOOKUP(A981, ORIGEM!A:A, ORIGEM!B:B)</f>
        <v>Instagram</v>
      </c>
      <c r="F981" t="str">
        <f>_xlfn.XLOOKUP(A981, ORIGEM!A:A, ORIGEM!C:C)</f>
        <v>instagram - social</v>
      </c>
      <c r="G981" t="str">
        <f>_xlfn.XLOOKUP(A981, LOCAL!A:A, LOCAL!B:B)</f>
        <v>Ananindeua - PA</v>
      </c>
      <c r="H981" t="str">
        <f>_xlfn.XLOOKUP(A981, PORTE!A:A, PORTE!B:B)</f>
        <v>1-10</v>
      </c>
      <c r="I981" t="str">
        <f>_xlfn.XLOOKUP(A981, OBJETIVO!A:A, OBJETIVO!B:B)</f>
        <v>Abertura/Expansão</v>
      </c>
      <c r="J981">
        <f t="shared" si="15"/>
        <v>0</v>
      </c>
    </row>
    <row r="982" spans="1:10" x14ac:dyDescent="0.25">
      <c r="A982">
        <v>11876309</v>
      </c>
      <c r="B982" s="1">
        <v>45753.394907407404</v>
      </c>
      <c r="C982" t="s">
        <v>0</v>
      </c>
      <c r="D982" t="str">
        <f>VLOOKUP(A982,MERCADO!A:B,2,0)</f>
        <v>Servicos</v>
      </c>
      <c r="E982" t="str">
        <f>_xlfn.XLOOKUP(A982, ORIGEM!A:A, ORIGEM!B:B)</f>
        <v>Youtube</v>
      </c>
      <c r="F982">
        <f>_xlfn.XLOOKUP(A982, ORIGEM!A:A, ORIGEM!C:C)</f>
        <v>0</v>
      </c>
      <c r="G982" t="str">
        <f>_xlfn.XLOOKUP(A982, LOCAL!A:A, LOCAL!B:B)</f>
        <v>-</v>
      </c>
      <c r="H982" t="str">
        <f>_xlfn.XLOOKUP(A982, PORTE!A:A, PORTE!B:B)</f>
        <v>1-10</v>
      </c>
      <c r="I982" t="str">
        <f>_xlfn.XLOOKUP(A982, OBJETIVO!A:A, OBJETIVO!B:B)</f>
        <v>Planejamento estratégico</v>
      </c>
      <c r="J982">
        <f t="shared" si="15"/>
        <v>0</v>
      </c>
    </row>
    <row r="983" spans="1:10" x14ac:dyDescent="0.25">
      <c r="A983">
        <v>11362338</v>
      </c>
      <c r="B983" s="1">
        <v>45704.460219907407</v>
      </c>
      <c r="C983" t="s">
        <v>0</v>
      </c>
      <c r="D983" t="str">
        <f>VLOOKUP(A983,MERCADO!A:B,2,0)</f>
        <v>Servicos</v>
      </c>
      <c r="E983" t="str">
        <f>_xlfn.XLOOKUP(A983, ORIGEM!A:A, ORIGEM!B:B)</f>
        <v>Google</v>
      </c>
      <c r="F983" t="str">
        <f>_xlfn.XLOOKUP(A983, ORIGEM!A:A, ORIGEM!C:C)</f>
        <v>google - cpc</v>
      </c>
      <c r="G983" t="str">
        <f>_xlfn.XLOOKUP(A983, LOCAL!A:A, LOCAL!B:B)</f>
        <v>Santa Maria - RS</v>
      </c>
      <c r="H983" t="str">
        <f>_xlfn.XLOOKUP(A983, PORTE!A:A, PORTE!B:B)</f>
        <v>1-10</v>
      </c>
      <c r="I983" t="str">
        <f>_xlfn.XLOOKUP(A983, OBJETIVO!A:A, OBJETIVO!B:B)</f>
        <v>Outro</v>
      </c>
      <c r="J983">
        <f t="shared" si="15"/>
        <v>0</v>
      </c>
    </row>
    <row r="984" spans="1:10" x14ac:dyDescent="0.25">
      <c r="A984">
        <v>11362514</v>
      </c>
      <c r="B984" s="1">
        <v>45704.47146990741</v>
      </c>
      <c r="C984" t="s">
        <v>0</v>
      </c>
      <c r="D984" t="str">
        <f>VLOOKUP(A984,MERCADO!A:B,2,0)</f>
        <v>Servicos</v>
      </c>
      <c r="E984" t="str">
        <f>_xlfn.XLOOKUP(A984, ORIGEM!A:A, ORIGEM!B:B)</f>
        <v>Google</v>
      </c>
      <c r="F984" t="str">
        <f>_xlfn.XLOOKUP(A984, ORIGEM!A:A, ORIGEM!C:C)</f>
        <v>google - cpc</v>
      </c>
      <c r="G984" t="str">
        <f>_xlfn.XLOOKUP(A984, LOCAL!A:A, LOCAL!B:B)</f>
        <v>Cuiabá - MT</v>
      </c>
      <c r="H984" t="str">
        <f>_xlfn.XLOOKUP(A984, PORTE!A:A, PORTE!B:B)</f>
        <v>1-10</v>
      </c>
      <c r="I984" t="str">
        <f>_xlfn.XLOOKUP(A984, OBJETIVO!A:A, OBJETIVO!B:B)</f>
        <v>Abertura/Expansão</v>
      </c>
      <c r="J984">
        <f t="shared" si="15"/>
        <v>0</v>
      </c>
    </row>
    <row r="985" spans="1:10" x14ac:dyDescent="0.25">
      <c r="A985">
        <v>11387699</v>
      </c>
      <c r="B985" s="1">
        <v>45706.504976851851</v>
      </c>
      <c r="C985" t="s">
        <v>0</v>
      </c>
      <c r="D985" t="str">
        <f>VLOOKUP(A985,MERCADO!A:B,2,0)</f>
        <v>Servicos</v>
      </c>
      <c r="E985" t="str">
        <f>_xlfn.XLOOKUP(A985, ORIGEM!A:A, ORIGEM!B:B)</f>
        <v>Google</v>
      </c>
      <c r="F985" t="str">
        <f>_xlfn.XLOOKUP(A985, ORIGEM!A:A, ORIGEM!C:C)</f>
        <v>google - cpc</v>
      </c>
      <c r="G985" t="str">
        <f>_xlfn.XLOOKUP(A985, LOCAL!A:A, LOCAL!B:B)</f>
        <v>Uberlândia - MG</v>
      </c>
      <c r="H985" t="str">
        <f>_xlfn.XLOOKUP(A985, PORTE!A:A, PORTE!B:B)</f>
        <v>11-50</v>
      </c>
      <c r="I985" t="str">
        <f>_xlfn.XLOOKUP(A985, OBJETIVO!A:A, OBJETIVO!B:B)</f>
        <v>Outro</v>
      </c>
      <c r="J985">
        <f t="shared" si="15"/>
        <v>0</v>
      </c>
    </row>
    <row r="986" spans="1:10" x14ac:dyDescent="0.25">
      <c r="A986">
        <v>11371674</v>
      </c>
      <c r="B986" s="1">
        <v>45705.340960648151</v>
      </c>
      <c r="C986" t="s">
        <v>0</v>
      </c>
      <c r="D986" t="str">
        <f>VLOOKUP(A986,MERCADO!A:B,2,0)</f>
        <v>Servicos</v>
      </c>
      <c r="E986" t="str">
        <f>_xlfn.XLOOKUP(A986, ORIGEM!A:A, ORIGEM!B:B)</f>
        <v>Google</v>
      </c>
      <c r="F986" t="str">
        <f>_xlfn.XLOOKUP(A986, ORIGEM!A:A, ORIGEM!C:C)</f>
        <v>google - cpc</v>
      </c>
      <c r="G986" t="str">
        <f>_xlfn.XLOOKUP(A986, LOCAL!A:A, LOCAL!B:B)</f>
        <v>Vitória da Conquista - BA</v>
      </c>
      <c r="H986" t="str">
        <f>_xlfn.XLOOKUP(A986, PORTE!A:A, PORTE!B:B)</f>
        <v>51-300</v>
      </c>
      <c r="I986" t="str">
        <f>_xlfn.XLOOKUP(A986, OBJETIVO!A:A, OBJETIVO!B:B)</f>
        <v>Ações de marketing/vendas</v>
      </c>
      <c r="J986">
        <f t="shared" si="15"/>
        <v>0</v>
      </c>
    </row>
    <row r="987" spans="1:10" x14ac:dyDescent="0.25">
      <c r="A987">
        <v>11376681</v>
      </c>
      <c r="B987" s="1">
        <v>45705.562789351854</v>
      </c>
      <c r="C987" t="s">
        <v>0</v>
      </c>
      <c r="D987" t="str">
        <f>VLOOKUP(A987,MERCADO!A:B,2,0)</f>
        <v>Servicos</v>
      </c>
      <c r="E987" t="str">
        <f>_xlfn.XLOOKUP(A987, ORIGEM!A:A, ORIGEM!B:B)</f>
        <v>Google</v>
      </c>
      <c r="F987" t="str">
        <f>_xlfn.XLOOKUP(A987, ORIGEM!A:A, ORIGEM!C:C)</f>
        <v>google - cpc</v>
      </c>
      <c r="G987" t="str">
        <f>_xlfn.XLOOKUP(A987, LOCAL!A:A, LOCAL!B:B)</f>
        <v>Cuiabá - MT</v>
      </c>
      <c r="H987" t="str">
        <f>_xlfn.XLOOKUP(A987, PORTE!A:A, PORTE!B:B)</f>
        <v>1-10</v>
      </c>
      <c r="I987" t="str">
        <f>_xlfn.XLOOKUP(A987, OBJETIVO!A:A, OBJETIVO!B:B)</f>
        <v>Planejamento estratégico</v>
      </c>
      <c r="J987">
        <f t="shared" si="15"/>
        <v>0</v>
      </c>
    </row>
    <row r="988" spans="1:10" x14ac:dyDescent="0.25">
      <c r="A988">
        <v>11400629</v>
      </c>
      <c r="B988" s="1">
        <v>45707.52584490741</v>
      </c>
      <c r="C988" t="s">
        <v>0</v>
      </c>
      <c r="D988" t="str">
        <f>VLOOKUP(A988,MERCADO!A:B,2,0)</f>
        <v>Servicos</v>
      </c>
      <c r="E988" t="str">
        <f>_xlfn.XLOOKUP(A988, ORIGEM!A:A, ORIGEM!B:B)</f>
        <v>Google</v>
      </c>
      <c r="F988" t="str">
        <f>_xlfn.XLOOKUP(A988, ORIGEM!A:A, ORIGEM!C:C)</f>
        <v>google - cpc</v>
      </c>
      <c r="G988" t="str">
        <f>_xlfn.XLOOKUP(A988, LOCAL!A:A, LOCAL!B:B)</f>
        <v>Curitiba - PR</v>
      </c>
      <c r="H988" t="str">
        <f>_xlfn.XLOOKUP(A988, PORTE!A:A, PORTE!B:B)</f>
        <v>0</v>
      </c>
      <c r="I988" t="str">
        <f>_xlfn.XLOOKUP(A988, OBJETIVO!A:A, OBJETIVO!B:B)</f>
        <v>Abertura/Expansão</v>
      </c>
      <c r="J988">
        <f t="shared" si="15"/>
        <v>0</v>
      </c>
    </row>
    <row r="989" spans="1:10" x14ac:dyDescent="0.25">
      <c r="A989">
        <v>11442364</v>
      </c>
      <c r="B989" s="1">
        <v>45712.353078703702</v>
      </c>
      <c r="C989" t="s">
        <v>0</v>
      </c>
      <c r="D989" t="str">
        <f>VLOOKUP(A989,MERCADO!A:B,2,0)</f>
        <v>Servicos</v>
      </c>
      <c r="E989" t="str">
        <f>_xlfn.XLOOKUP(A989, ORIGEM!A:A, ORIGEM!B:B)</f>
        <v>Google</v>
      </c>
      <c r="F989" t="str">
        <f>_xlfn.XLOOKUP(A989, ORIGEM!A:A, ORIGEM!C:C)</f>
        <v>google - cpc</v>
      </c>
      <c r="G989" t="str">
        <f>_xlfn.XLOOKUP(A989, LOCAL!A:A, LOCAL!B:B)</f>
        <v>João Pessoa - PB</v>
      </c>
      <c r="H989" t="str">
        <f>_xlfn.XLOOKUP(A989, PORTE!A:A, PORTE!B:B)</f>
        <v>1-10</v>
      </c>
      <c r="I989" t="str">
        <f>_xlfn.XLOOKUP(A989, OBJETIVO!A:A, OBJETIVO!B:B)</f>
        <v>Abertura/Expansão</v>
      </c>
      <c r="J989">
        <f t="shared" si="15"/>
        <v>0</v>
      </c>
    </row>
    <row r="990" spans="1:10" x14ac:dyDescent="0.25">
      <c r="A990">
        <v>11440195</v>
      </c>
      <c r="B990" s="1">
        <v>45711.755266203705</v>
      </c>
      <c r="C990" t="s">
        <v>0</v>
      </c>
      <c r="D990" t="str">
        <f>VLOOKUP(A990,MERCADO!A:B,2,0)</f>
        <v>Servicos</v>
      </c>
      <c r="E990" t="str">
        <f>_xlfn.XLOOKUP(A990, ORIGEM!A:A, ORIGEM!B:B)</f>
        <v>Google</v>
      </c>
      <c r="F990" t="str">
        <f>_xlfn.XLOOKUP(A990, ORIGEM!A:A, ORIGEM!C:C)</f>
        <v>google - cpc</v>
      </c>
      <c r="G990" t="str">
        <f>_xlfn.XLOOKUP(A990, LOCAL!A:A, LOCAL!B:B)</f>
        <v>São Paulo - SP</v>
      </c>
      <c r="H990" t="str">
        <f>_xlfn.XLOOKUP(A990, PORTE!A:A, PORTE!B:B)</f>
        <v>1-10</v>
      </c>
      <c r="I990" t="str">
        <f>_xlfn.XLOOKUP(A990, OBJETIVO!A:A, OBJETIVO!B:B)</f>
        <v>Outro</v>
      </c>
      <c r="J990">
        <f t="shared" si="15"/>
        <v>0</v>
      </c>
    </row>
    <row r="991" spans="1:10" x14ac:dyDescent="0.25">
      <c r="A991">
        <v>11435335</v>
      </c>
      <c r="B991" s="1">
        <v>45711.64402777778</v>
      </c>
      <c r="C991" t="s">
        <v>0</v>
      </c>
      <c r="D991" t="str">
        <f>VLOOKUP(A991,MERCADO!A:B,2,0)</f>
        <v>Servicos</v>
      </c>
      <c r="E991" t="str">
        <f>_xlfn.XLOOKUP(A991, ORIGEM!A:A, ORIGEM!B:B)</f>
        <v>Google</v>
      </c>
      <c r="F991" t="str">
        <f>_xlfn.XLOOKUP(A991, ORIGEM!A:A, ORIGEM!C:C)</f>
        <v>google - cpc</v>
      </c>
      <c r="G991" t="str">
        <f>_xlfn.XLOOKUP(A991, LOCAL!A:A, LOCAL!B:B)</f>
        <v>Mesquita - RJ</v>
      </c>
      <c r="H991" t="str">
        <f>_xlfn.XLOOKUP(A991, PORTE!A:A, PORTE!B:B)</f>
        <v>11-50</v>
      </c>
      <c r="I991" t="str">
        <f>_xlfn.XLOOKUP(A991, OBJETIVO!A:A, OBJETIVO!B:B)</f>
        <v>Ações de marketing/vendas</v>
      </c>
      <c r="J991">
        <f t="shared" si="15"/>
        <v>0</v>
      </c>
    </row>
    <row r="992" spans="1:10" x14ac:dyDescent="0.25">
      <c r="A992">
        <v>11407907</v>
      </c>
      <c r="B992" s="1">
        <v>45708.757708333331</v>
      </c>
      <c r="C992" t="s">
        <v>0</v>
      </c>
      <c r="D992" t="str">
        <f>VLOOKUP(A992,MERCADO!A:B,2,0)</f>
        <v>Servicos</v>
      </c>
      <c r="E992" t="str">
        <f>_xlfn.XLOOKUP(A992, ORIGEM!A:A, ORIGEM!B:B)</f>
        <v>Google</v>
      </c>
      <c r="F992" t="str">
        <f>_xlfn.XLOOKUP(A992, ORIGEM!A:A, ORIGEM!C:C)</f>
        <v>google - cpc</v>
      </c>
      <c r="G992" t="str">
        <f>_xlfn.XLOOKUP(A992, LOCAL!A:A, LOCAL!B:B)</f>
        <v>Brasília - DF</v>
      </c>
      <c r="H992" t="str">
        <f>_xlfn.XLOOKUP(A992, PORTE!A:A, PORTE!B:B)</f>
        <v>0</v>
      </c>
      <c r="I992" t="str">
        <f>_xlfn.XLOOKUP(A992, OBJETIVO!A:A, OBJETIVO!B:B)</f>
        <v>Ações de marketing/vendas</v>
      </c>
      <c r="J992">
        <f t="shared" si="15"/>
        <v>0</v>
      </c>
    </row>
    <row r="993" spans="1:10" x14ac:dyDescent="0.25">
      <c r="A993">
        <v>11409021</v>
      </c>
      <c r="B993" s="1">
        <v>45709.455613425926</v>
      </c>
      <c r="C993" t="s">
        <v>0</v>
      </c>
      <c r="D993" t="str">
        <f>VLOOKUP(A993,MERCADO!A:B,2,0)</f>
        <v>Servicos</v>
      </c>
      <c r="E993" t="str">
        <f>_xlfn.XLOOKUP(A993, ORIGEM!A:A, ORIGEM!B:B)</f>
        <v>Google</v>
      </c>
      <c r="F993" t="str">
        <f>_xlfn.XLOOKUP(A993, ORIGEM!A:A, ORIGEM!C:C)</f>
        <v>google - cpc</v>
      </c>
      <c r="G993" t="str">
        <f>_xlfn.XLOOKUP(A993, LOCAL!A:A, LOCAL!B:B)</f>
        <v>São Paulo - SP</v>
      </c>
      <c r="H993" t="str">
        <f>_xlfn.XLOOKUP(A993, PORTE!A:A, PORTE!B:B)</f>
        <v>1-10</v>
      </c>
      <c r="I993" t="str">
        <f>_xlfn.XLOOKUP(A993, OBJETIVO!A:A, OBJETIVO!B:B)</f>
        <v>Consultoria</v>
      </c>
      <c r="J993">
        <f t="shared" si="15"/>
        <v>0</v>
      </c>
    </row>
    <row r="994" spans="1:10" x14ac:dyDescent="0.25">
      <c r="A994">
        <v>11407130</v>
      </c>
      <c r="B994" s="1">
        <v>45708.495428240742</v>
      </c>
      <c r="C994" t="s">
        <v>0</v>
      </c>
      <c r="D994" t="str">
        <f>VLOOKUP(A994,MERCADO!A:B,2,0)</f>
        <v>Servicos</v>
      </c>
      <c r="E994" t="str">
        <f>_xlfn.XLOOKUP(A994, ORIGEM!A:A, ORIGEM!B:B)</f>
        <v>Google</v>
      </c>
      <c r="F994" t="str">
        <f>_xlfn.XLOOKUP(A994, ORIGEM!A:A, ORIGEM!C:C)</f>
        <v>google - cpc</v>
      </c>
      <c r="G994" t="str">
        <f>_xlfn.XLOOKUP(A994, LOCAL!A:A, LOCAL!B:B)</f>
        <v>Rio de Janeiro - RJ</v>
      </c>
      <c r="H994" t="str">
        <f>_xlfn.XLOOKUP(A994, PORTE!A:A, PORTE!B:B)</f>
        <v>1-10</v>
      </c>
      <c r="I994" t="str">
        <f>_xlfn.XLOOKUP(A994, OBJETIVO!A:A, OBJETIVO!B:B)</f>
        <v>Abertura/Expansão</v>
      </c>
      <c r="J994">
        <f t="shared" si="15"/>
        <v>0</v>
      </c>
    </row>
    <row r="995" spans="1:10" x14ac:dyDescent="0.25">
      <c r="A995">
        <v>11559065</v>
      </c>
      <c r="B995" s="1">
        <v>45722.5859375</v>
      </c>
      <c r="C995" t="s">
        <v>0</v>
      </c>
      <c r="D995" t="str">
        <f>VLOOKUP(A995,MERCADO!A:B,2,0)</f>
        <v>Servicos</v>
      </c>
      <c r="E995" t="str">
        <f>_xlfn.XLOOKUP(A995, ORIGEM!A:A, ORIGEM!B:B)</f>
        <v>Facebook</v>
      </c>
      <c r="F995" t="str">
        <f>_xlfn.XLOOKUP(A995, ORIGEM!A:A, ORIGEM!C:C)</f>
        <v>facebook - cpc</v>
      </c>
      <c r="G995" t="str">
        <f>_xlfn.XLOOKUP(A995, LOCAL!A:A, LOCAL!B:B)</f>
        <v>João Pessoa - PB</v>
      </c>
      <c r="H995" t="str">
        <f>_xlfn.XLOOKUP(A995, PORTE!A:A, PORTE!B:B)</f>
        <v>1-10</v>
      </c>
      <c r="I995" t="str">
        <f>_xlfn.XLOOKUP(A995, OBJETIVO!A:A, OBJETIVO!B:B)</f>
        <v>Ações de marketing/vendas</v>
      </c>
      <c r="J995">
        <f t="shared" si="15"/>
        <v>0</v>
      </c>
    </row>
    <row r="996" spans="1:10" x14ac:dyDescent="0.25">
      <c r="A996">
        <v>11558061</v>
      </c>
      <c r="B996" s="1">
        <v>45722.099664351852</v>
      </c>
      <c r="C996" t="s">
        <v>0</v>
      </c>
      <c r="D996" t="str">
        <f>VLOOKUP(A996,MERCADO!A:B,2,0)</f>
        <v>Servicos</v>
      </c>
      <c r="E996" t="str">
        <f>_xlfn.XLOOKUP(A996, ORIGEM!A:A, ORIGEM!B:B)</f>
        <v>Facebook</v>
      </c>
      <c r="F996" t="str">
        <f>_xlfn.XLOOKUP(A996, ORIGEM!A:A, ORIGEM!C:C)</f>
        <v>facebook - cpc</v>
      </c>
      <c r="G996" t="str">
        <f>_xlfn.XLOOKUP(A996, LOCAL!A:A, LOCAL!B:B)</f>
        <v>Porto Alegre - RS</v>
      </c>
      <c r="H996" t="str">
        <f>_xlfn.XLOOKUP(A996, PORTE!A:A, PORTE!B:B)</f>
        <v>1-10</v>
      </c>
      <c r="I996" t="str">
        <f>_xlfn.XLOOKUP(A996, OBJETIVO!A:A, OBJETIVO!B:B)</f>
        <v>Geração de leads b2b</v>
      </c>
      <c r="J996">
        <f t="shared" si="15"/>
        <v>0</v>
      </c>
    </row>
    <row r="997" spans="1:10" x14ac:dyDescent="0.25">
      <c r="A997">
        <v>11639160</v>
      </c>
      <c r="B997" s="1">
        <v>45731.409791666665</v>
      </c>
      <c r="C997" t="s">
        <v>0</v>
      </c>
      <c r="D997" t="str">
        <f>VLOOKUP(A997,MERCADO!A:B,2,0)</f>
        <v>Servicos</v>
      </c>
      <c r="E997" t="str">
        <f>_xlfn.XLOOKUP(A997, ORIGEM!A:A, ORIGEM!B:B)</f>
        <v>Google</v>
      </c>
      <c r="F997">
        <f>_xlfn.XLOOKUP(A997, ORIGEM!A:A, ORIGEM!C:C)</f>
        <v>0</v>
      </c>
      <c r="G997" t="str">
        <f>_xlfn.XLOOKUP(A997, LOCAL!A:A, LOCAL!B:B)</f>
        <v>-</v>
      </c>
      <c r="H997" t="str">
        <f>_xlfn.XLOOKUP(A997, PORTE!A:A, PORTE!B:B)</f>
        <v>1-10</v>
      </c>
      <c r="I997">
        <f>_xlfn.XLOOKUP(A997, OBJETIVO!A:A, OBJETIVO!B:B)</f>
        <v>0</v>
      </c>
      <c r="J997">
        <f t="shared" si="15"/>
        <v>0</v>
      </c>
    </row>
    <row r="998" spans="1:10" x14ac:dyDescent="0.25">
      <c r="A998">
        <v>11834524</v>
      </c>
      <c r="B998" s="1">
        <v>45747.630902777775</v>
      </c>
      <c r="C998" t="s">
        <v>0</v>
      </c>
      <c r="D998" t="str">
        <f>VLOOKUP(A998,MERCADO!A:B,2,0)</f>
        <v>Servicos</v>
      </c>
      <c r="E998" t="str">
        <f>_xlfn.XLOOKUP(A998, ORIGEM!A:A, ORIGEM!B:B)</f>
        <v>Google</v>
      </c>
      <c r="F998">
        <f>_xlfn.XLOOKUP(A998, ORIGEM!A:A, ORIGEM!C:C)</f>
        <v>0</v>
      </c>
      <c r="G998" t="str">
        <f>_xlfn.XLOOKUP(A998, LOCAL!A:A, LOCAL!B:B)</f>
        <v>São Paulo, SP</v>
      </c>
      <c r="H998" t="str">
        <f>_xlfn.XLOOKUP(A998, PORTE!A:A, PORTE!B:B)</f>
        <v>1-10</v>
      </c>
      <c r="I998" t="str">
        <f>_xlfn.XLOOKUP(A998, OBJETIVO!A:A, OBJETIVO!B:B)</f>
        <v>Planejamento estratégico</v>
      </c>
      <c r="J998">
        <f t="shared" si="15"/>
        <v>0</v>
      </c>
    </row>
    <row r="999" spans="1:10" x14ac:dyDescent="0.25">
      <c r="A999">
        <v>11028847</v>
      </c>
      <c r="B999" s="1">
        <v>45675.881898148145</v>
      </c>
      <c r="C999" t="s">
        <v>0</v>
      </c>
      <c r="D999" t="str">
        <f>VLOOKUP(A999,MERCADO!A:B,2,0)</f>
        <v>Servicos</v>
      </c>
      <c r="E999" t="str">
        <f>_xlfn.XLOOKUP(A999, ORIGEM!A:A, ORIGEM!B:B)</f>
        <v>rep</v>
      </c>
      <c r="F999" t="str">
        <f>_xlfn.XLOOKUP(A999, ORIGEM!A:A, ORIGEM!C:C)</f>
        <v>rep - ximena-cubillos</v>
      </c>
      <c r="G999" t="str">
        <f>_xlfn.XLOOKUP(A999, LOCAL!A:A, LOCAL!B:B)</f>
        <v>Curitiba - PR</v>
      </c>
      <c r="H999" t="str">
        <f>_xlfn.XLOOKUP(A999, PORTE!A:A, PORTE!B:B)</f>
        <v>1-10</v>
      </c>
      <c r="I999" t="str">
        <f>_xlfn.XLOOKUP(A999, OBJETIVO!A:A, OBJETIVO!B:B)</f>
        <v>Abertura/Expansão</v>
      </c>
      <c r="J999">
        <f t="shared" si="15"/>
        <v>0</v>
      </c>
    </row>
    <row r="1000" spans="1:10" x14ac:dyDescent="0.25">
      <c r="A1000">
        <v>11454466</v>
      </c>
      <c r="B1000" s="1">
        <v>45713.283113425925</v>
      </c>
      <c r="C1000" t="s">
        <v>0</v>
      </c>
      <c r="D1000" t="str">
        <f>VLOOKUP(A1000,MERCADO!A:B,2,0)</f>
        <v>Servicos</v>
      </c>
      <c r="E1000" t="str">
        <f>_xlfn.XLOOKUP(A1000, ORIGEM!A:A, ORIGEM!B:B)</f>
        <v>Linkedin</v>
      </c>
      <c r="F1000" t="str">
        <f>_xlfn.XLOOKUP(A1000, ORIGEM!A:A, ORIGEM!C:C)</f>
        <v>linkedin - cpc</v>
      </c>
      <c r="G1000" t="str">
        <f>_xlfn.XLOOKUP(A1000, LOCAL!A:A, LOCAL!B:B)</f>
        <v>São Paulo - SP</v>
      </c>
      <c r="H1000" t="str">
        <f>_xlfn.XLOOKUP(A1000, PORTE!A:A, PORTE!B:B)</f>
        <v>0</v>
      </c>
      <c r="I1000" t="str">
        <f>_xlfn.XLOOKUP(A1000, OBJETIVO!A:A, OBJETIVO!B:B)</f>
        <v>Outro</v>
      </c>
      <c r="J1000">
        <f t="shared" si="15"/>
        <v>0</v>
      </c>
    </row>
    <row r="1001" spans="1:10" x14ac:dyDescent="0.25">
      <c r="A1001">
        <v>11552000</v>
      </c>
      <c r="B1001" s="1">
        <v>45721.535138888888</v>
      </c>
      <c r="C1001" t="s">
        <v>0</v>
      </c>
      <c r="D1001" t="str">
        <f>VLOOKUP(A1001,MERCADO!A:B,2,0)</f>
        <v>Servicos</v>
      </c>
      <c r="E1001" t="str">
        <f>_xlfn.XLOOKUP(A1001, ORIGEM!A:A, ORIGEM!B:B)</f>
        <v>Facebook</v>
      </c>
      <c r="F1001" t="str">
        <f>_xlfn.XLOOKUP(A1001, ORIGEM!A:A, ORIGEM!C:C)</f>
        <v>facebook - cpc</v>
      </c>
      <c r="G1001" t="str">
        <f>_xlfn.XLOOKUP(A1001, LOCAL!A:A, LOCAL!B:B)</f>
        <v>Juazeiro do Norte - CE</v>
      </c>
      <c r="H1001" t="str">
        <f>_xlfn.XLOOKUP(A1001, PORTE!A:A, PORTE!B:B)</f>
        <v>0</v>
      </c>
      <c r="I1001" t="str">
        <f>_xlfn.XLOOKUP(A1001, OBJETIVO!A:A, OBJETIVO!B:B)</f>
        <v>Planejamento estratégico</v>
      </c>
      <c r="J1001">
        <f t="shared" si="15"/>
        <v>0</v>
      </c>
    </row>
    <row r="1002" spans="1:10" x14ac:dyDescent="0.25">
      <c r="A1002">
        <v>11557557</v>
      </c>
      <c r="B1002" s="1">
        <v>45721.893483796295</v>
      </c>
      <c r="C1002" t="s">
        <v>0</v>
      </c>
      <c r="D1002" t="str">
        <f>VLOOKUP(A1002,MERCADO!A:B,2,0)</f>
        <v>Servicos</v>
      </c>
      <c r="E1002" t="str">
        <f>_xlfn.XLOOKUP(A1002, ORIGEM!A:A, ORIGEM!B:B)</f>
        <v>Facebook</v>
      </c>
      <c r="F1002" t="str">
        <f>_xlfn.XLOOKUP(A1002, ORIGEM!A:A, ORIGEM!C:C)</f>
        <v>facebook - cpc</v>
      </c>
      <c r="G1002" t="str">
        <f>_xlfn.XLOOKUP(A1002, LOCAL!A:A, LOCAL!B:B)</f>
        <v>Porto Alegre - RS</v>
      </c>
      <c r="H1002" t="str">
        <f>_xlfn.XLOOKUP(A1002, PORTE!A:A, PORTE!B:B)</f>
        <v>51-300</v>
      </c>
      <c r="I1002" t="str">
        <f>_xlfn.XLOOKUP(A1002, OBJETIVO!A:A, OBJETIVO!B:B)</f>
        <v>Geração de leads b2b</v>
      </c>
      <c r="J1002">
        <f t="shared" si="15"/>
        <v>0</v>
      </c>
    </row>
    <row r="1003" spans="1:10" x14ac:dyDescent="0.25">
      <c r="A1003">
        <v>11559883</v>
      </c>
      <c r="B1003" s="1">
        <v>45722.951111111113</v>
      </c>
      <c r="C1003" t="s">
        <v>0</v>
      </c>
      <c r="D1003" t="str">
        <f>VLOOKUP(A1003,MERCADO!A:B,2,0)</f>
        <v>Servicos</v>
      </c>
      <c r="E1003" t="str">
        <f>_xlfn.XLOOKUP(A1003, ORIGEM!A:A, ORIGEM!B:B)</f>
        <v>Facebook</v>
      </c>
      <c r="F1003" t="str">
        <f>_xlfn.XLOOKUP(A1003, ORIGEM!A:A, ORIGEM!C:C)</f>
        <v>facebook - cpc</v>
      </c>
      <c r="G1003" t="str">
        <f>_xlfn.XLOOKUP(A1003, LOCAL!A:A, LOCAL!B:B)</f>
        <v>Iguaba Grande - RJ</v>
      </c>
      <c r="H1003" t="str">
        <f>_xlfn.XLOOKUP(A1003, PORTE!A:A, PORTE!B:B)</f>
        <v>0</v>
      </c>
      <c r="I1003" t="str">
        <f>_xlfn.XLOOKUP(A1003, OBJETIVO!A:A, OBJETIVO!B:B)</f>
        <v>Geração de leads b2b</v>
      </c>
      <c r="J1003">
        <f t="shared" si="15"/>
        <v>0</v>
      </c>
    </row>
    <row r="1004" spans="1:10" x14ac:dyDescent="0.25">
      <c r="A1004">
        <v>11559976</v>
      </c>
      <c r="B1004" s="1">
        <v>45723.005810185183</v>
      </c>
      <c r="C1004" t="s">
        <v>0</v>
      </c>
      <c r="D1004" t="str">
        <f>VLOOKUP(A1004,MERCADO!A:B,2,0)</f>
        <v>Servicos</v>
      </c>
      <c r="E1004" t="str">
        <f>_xlfn.XLOOKUP(A1004, ORIGEM!A:A, ORIGEM!B:B)</f>
        <v>Facebook</v>
      </c>
      <c r="F1004" t="str">
        <f>_xlfn.XLOOKUP(A1004, ORIGEM!A:A, ORIGEM!C:C)</f>
        <v>facebook - cpc</v>
      </c>
      <c r="G1004" t="str">
        <f>_xlfn.XLOOKUP(A1004, LOCAL!A:A, LOCAL!B:B)</f>
        <v>São José dos Campos - SP</v>
      </c>
      <c r="H1004" t="str">
        <f>_xlfn.XLOOKUP(A1004, PORTE!A:A, PORTE!B:B)</f>
        <v>0</v>
      </c>
      <c r="I1004" t="str">
        <f>_xlfn.XLOOKUP(A1004, OBJETIVO!A:A, OBJETIVO!B:B)</f>
        <v>Geração de leads b2b</v>
      </c>
      <c r="J1004">
        <f t="shared" si="15"/>
        <v>0</v>
      </c>
    </row>
    <row r="1005" spans="1:10" x14ac:dyDescent="0.25">
      <c r="A1005">
        <v>11561221</v>
      </c>
      <c r="B1005" s="1">
        <v>45723.621365740742</v>
      </c>
      <c r="C1005" t="s">
        <v>0</v>
      </c>
      <c r="D1005" t="str">
        <f>VLOOKUP(A1005,MERCADO!A:B,2,0)</f>
        <v>Servicos</v>
      </c>
      <c r="E1005" t="str">
        <f>_xlfn.XLOOKUP(A1005, ORIGEM!A:A, ORIGEM!B:B)</f>
        <v>Facebook</v>
      </c>
      <c r="F1005" t="str">
        <f>_xlfn.XLOOKUP(A1005, ORIGEM!A:A, ORIGEM!C:C)</f>
        <v>facebook - cpc</v>
      </c>
      <c r="G1005" t="str">
        <f>_xlfn.XLOOKUP(A1005, LOCAL!A:A, LOCAL!B:B)</f>
        <v>Campinas - SP</v>
      </c>
      <c r="H1005" t="str">
        <f>_xlfn.XLOOKUP(A1005, PORTE!A:A, PORTE!B:B)</f>
        <v>1-10</v>
      </c>
      <c r="I1005" t="str">
        <f>_xlfn.XLOOKUP(A1005, OBJETIVO!A:A, OBJETIVO!B:B)</f>
        <v>Geração de leads b2b</v>
      </c>
      <c r="J1005">
        <f t="shared" si="15"/>
        <v>0</v>
      </c>
    </row>
    <row r="1006" spans="1:10" x14ac:dyDescent="0.25">
      <c r="A1006">
        <v>11561234</v>
      </c>
      <c r="B1006" s="1">
        <v>45723.624560185184</v>
      </c>
      <c r="C1006" t="s">
        <v>0</v>
      </c>
      <c r="D1006" t="str">
        <f>VLOOKUP(A1006,MERCADO!A:B,2,0)</f>
        <v>Servicos</v>
      </c>
      <c r="E1006" t="str">
        <f>_xlfn.XLOOKUP(A1006, ORIGEM!A:A, ORIGEM!B:B)</f>
        <v>Facebook</v>
      </c>
      <c r="F1006" t="str">
        <f>_xlfn.XLOOKUP(A1006, ORIGEM!A:A, ORIGEM!C:C)</f>
        <v>facebook - cpc</v>
      </c>
      <c r="G1006" t="str">
        <f>_xlfn.XLOOKUP(A1006, LOCAL!A:A, LOCAL!B:B)</f>
        <v>Belo Horizonte - MG</v>
      </c>
      <c r="H1006" t="str">
        <f>_xlfn.XLOOKUP(A1006, PORTE!A:A, PORTE!B:B)</f>
        <v>1-10</v>
      </c>
      <c r="I1006" t="str">
        <f>_xlfn.XLOOKUP(A1006, OBJETIVO!A:A, OBJETIVO!B:B)</f>
        <v>Geração de leads b2b</v>
      </c>
      <c r="J1006">
        <f t="shared" si="15"/>
        <v>0</v>
      </c>
    </row>
    <row r="1007" spans="1:10" x14ac:dyDescent="0.25">
      <c r="A1007">
        <v>11597889</v>
      </c>
      <c r="B1007" s="1">
        <v>45726.438530092593</v>
      </c>
      <c r="C1007" t="s">
        <v>0</v>
      </c>
      <c r="D1007" t="str">
        <f>VLOOKUP(A1007,MERCADO!A:B,2,0)</f>
        <v>Servicos</v>
      </c>
      <c r="E1007" t="str">
        <f>_xlfn.XLOOKUP(A1007, ORIGEM!A:A, ORIGEM!B:B)</f>
        <v>Facebook</v>
      </c>
      <c r="F1007" t="str">
        <f>_xlfn.XLOOKUP(A1007, ORIGEM!A:A, ORIGEM!C:C)</f>
        <v>facebook - cpc</v>
      </c>
      <c r="G1007" t="str">
        <f>_xlfn.XLOOKUP(A1007, LOCAL!A:A, LOCAL!B:B)</f>
        <v>Itaguacu Da Bahia - BA</v>
      </c>
      <c r="H1007" t="str">
        <f>_xlfn.XLOOKUP(A1007, PORTE!A:A, PORTE!B:B)</f>
        <v>51-300</v>
      </c>
      <c r="I1007" t="str">
        <f>_xlfn.XLOOKUP(A1007, OBJETIVO!A:A, OBJETIVO!B:B)</f>
        <v>Consultoria</v>
      </c>
      <c r="J1007">
        <f t="shared" si="15"/>
        <v>0</v>
      </c>
    </row>
    <row r="1008" spans="1:10" x14ac:dyDescent="0.25">
      <c r="A1008">
        <v>11559130</v>
      </c>
      <c r="B1008" s="1">
        <v>45722.619108796294</v>
      </c>
      <c r="C1008" t="s">
        <v>0</v>
      </c>
      <c r="D1008" t="str">
        <f>VLOOKUP(A1008,MERCADO!A:B,2,0)</f>
        <v>Servicos</v>
      </c>
      <c r="E1008" t="str">
        <f>_xlfn.XLOOKUP(A1008, ORIGEM!A:A, ORIGEM!B:B)</f>
        <v>Facebook</v>
      </c>
      <c r="F1008" t="str">
        <f>_xlfn.XLOOKUP(A1008, ORIGEM!A:A, ORIGEM!C:C)</f>
        <v>facebook - cpc</v>
      </c>
      <c r="G1008" t="str">
        <f>_xlfn.XLOOKUP(A1008, LOCAL!A:A, LOCAL!B:B)</f>
        <v>São Paulo - SP</v>
      </c>
      <c r="H1008" t="str">
        <f>_xlfn.XLOOKUP(A1008, PORTE!A:A, PORTE!B:B)</f>
        <v>11-50</v>
      </c>
      <c r="I1008" t="str">
        <f>_xlfn.XLOOKUP(A1008, OBJETIVO!A:A, OBJETIVO!B:B)</f>
        <v>Geração de leads b2b</v>
      </c>
      <c r="J1008">
        <f t="shared" si="15"/>
        <v>0</v>
      </c>
    </row>
    <row r="1009" spans="1:10" x14ac:dyDescent="0.25">
      <c r="A1009">
        <v>11562133</v>
      </c>
      <c r="B1009" s="1">
        <v>45723.917210648149</v>
      </c>
      <c r="C1009" t="s">
        <v>0</v>
      </c>
      <c r="D1009" t="str">
        <f>VLOOKUP(A1009,MERCADO!A:B,2,0)</f>
        <v>Servicos</v>
      </c>
      <c r="E1009" t="str">
        <f>_xlfn.XLOOKUP(A1009, ORIGEM!A:A, ORIGEM!B:B)</f>
        <v>Facebook</v>
      </c>
      <c r="F1009" t="str">
        <f>_xlfn.XLOOKUP(A1009, ORIGEM!A:A, ORIGEM!C:C)</f>
        <v>facebook - cpc</v>
      </c>
      <c r="G1009" t="str">
        <f>_xlfn.XLOOKUP(A1009, LOCAL!A:A, LOCAL!B:B)</f>
        <v>Guaíra - PR</v>
      </c>
      <c r="H1009" t="str">
        <f>_xlfn.XLOOKUP(A1009, PORTE!A:A, PORTE!B:B)</f>
        <v>0</v>
      </c>
      <c r="I1009" t="str">
        <f>_xlfn.XLOOKUP(A1009, OBJETIVO!A:A, OBJETIVO!B:B)</f>
        <v>Geração de leads b2b</v>
      </c>
      <c r="J1009">
        <f t="shared" si="15"/>
        <v>0</v>
      </c>
    </row>
    <row r="1010" spans="1:10" x14ac:dyDescent="0.25">
      <c r="A1010">
        <v>11561833</v>
      </c>
      <c r="B1010" s="1">
        <v>45723.810254629629</v>
      </c>
      <c r="C1010" t="s">
        <v>0</v>
      </c>
      <c r="D1010" t="str">
        <f>VLOOKUP(A1010,MERCADO!A:B,2,0)</f>
        <v>Servicos</v>
      </c>
      <c r="E1010" t="str">
        <f>_xlfn.XLOOKUP(A1010, ORIGEM!A:A, ORIGEM!B:B)</f>
        <v>Facebook</v>
      </c>
      <c r="F1010" t="str">
        <f>_xlfn.XLOOKUP(A1010, ORIGEM!A:A, ORIGEM!C:C)</f>
        <v>facebook - cpc</v>
      </c>
      <c r="G1010" t="str">
        <f>_xlfn.XLOOKUP(A1010, LOCAL!A:A, LOCAL!B:B)</f>
        <v>Salvador - BA</v>
      </c>
      <c r="H1010" t="str">
        <f>_xlfn.XLOOKUP(A1010, PORTE!A:A, PORTE!B:B)</f>
        <v>1-10</v>
      </c>
      <c r="I1010" t="str">
        <f>_xlfn.XLOOKUP(A1010, OBJETIVO!A:A, OBJETIVO!B:B)</f>
        <v>Ações de marketing/vendas</v>
      </c>
      <c r="J1010">
        <f t="shared" si="15"/>
        <v>0</v>
      </c>
    </row>
    <row r="1011" spans="1:10" x14ac:dyDescent="0.25">
      <c r="A1011">
        <v>11561470</v>
      </c>
      <c r="B1011" s="1">
        <v>45723.679571759261</v>
      </c>
      <c r="C1011" t="s">
        <v>0</v>
      </c>
      <c r="D1011" t="str">
        <f>VLOOKUP(A1011,MERCADO!A:B,2,0)</f>
        <v>Servicos</v>
      </c>
      <c r="E1011" t="str">
        <f>_xlfn.XLOOKUP(A1011, ORIGEM!A:A, ORIGEM!B:B)</f>
        <v>Facebook</v>
      </c>
      <c r="F1011" t="str">
        <f>_xlfn.XLOOKUP(A1011, ORIGEM!A:A, ORIGEM!C:C)</f>
        <v>facebook - cpc</v>
      </c>
      <c r="G1011" t="str">
        <f>_xlfn.XLOOKUP(A1011, LOCAL!A:A, LOCAL!B:B)</f>
        <v>Belo Oriente - MG</v>
      </c>
      <c r="H1011" t="str">
        <f>_xlfn.XLOOKUP(A1011, PORTE!A:A, PORTE!B:B)</f>
        <v>0</v>
      </c>
      <c r="I1011" t="str">
        <f>_xlfn.XLOOKUP(A1011, OBJETIVO!A:A, OBJETIVO!B:B)</f>
        <v>Ações de marketing/vendas</v>
      </c>
      <c r="J1011">
        <f t="shared" si="15"/>
        <v>0</v>
      </c>
    </row>
    <row r="1012" spans="1:10" x14ac:dyDescent="0.25">
      <c r="A1012">
        <v>11561520</v>
      </c>
      <c r="B1012" s="1">
        <v>45723.696481481478</v>
      </c>
      <c r="C1012" t="s">
        <v>0</v>
      </c>
      <c r="D1012" t="str">
        <f>VLOOKUP(A1012,MERCADO!A:B,2,0)</f>
        <v>Servicos</v>
      </c>
      <c r="E1012" t="str">
        <f>_xlfn.XLOOKUP(A1012, ORIGEM!A:A, ORIGEM!B:B)</f>
        <v>Facebook</v>
      </c>
      <c r="F1012" t="str">
        <f>_xlfn.XLOOKUP(A1012, ORIGEM!A:A, ORIGEM!C:C)</f>
        <v>facebook - cpc</v>
      </c>
      <c r="G1012" t="str">
        <f>_xlfn.XLOOKUP(A1012, LOCAL!A:A, LOCAL!B:B)</f>
        <v>Natal - RN</v>
      </c>
      <c r="H1012" t="str">
        <f>_xlfn.XLOOKUP(A1012, PORTE!A:A, PORTE!B:B)</f>
        <v>51-300</v>
      </c>
      <c r="I1012" t="str">
        <f>_xlfn.XLOOKUP(A1012, OBJETIVO!A:A, OBJETIVO!B:B)</f>
        <v>Ações de marketing/vendas</v>
      </c>
      <c r="J1012">
        <f t="shared" si="15"/>
        <v>0</v>
      </c>
    </row>
    <row r="1013" spans="1:10" x14ac:dyDescent="0.25">
      <c r="A1013">
        <v>11562604</v>
      </c>
      <c r="B1013" s="1">
        <v>45724.078958333332</v>
      </c>
      <c r="C1013" t="s">
        <v>0</v>
      </c>
      <c r="D1013" t="str">
        <f>VLOOKUP(A1013,MERCADO!A:B,2,0)</f>
        <v>Servicos</v>
      </c>
      <c r="E1013" t="str">
        <f>_xlfn.XLOOKUP(A1013, ORIGEM!A:A, ORIGEM!B:B)</f>
        <v>Facebook</v>
      </c>
      <c r="F1013" t="str">
        <f>_xlfn.XLOOKUP(A1013, ORIGEM!A:A, ORIGEM!C:C)</f>
        <v>facebook - cpc</v>
      </c>
      <c r="G1013" t="str">
        <f>_xlfn.XLOOKUP(A1013, LOCAL!A:A, LOCAL!B:B)</f>
        <v>Queimados - RJ</v>
      </c>
      <c r="H1013" t="str">
        <f>_xlfn.XLOOKUP(A1013, PORTE!A:A, PORTE!B:B)</f>
        <v>0</v>
      </c>
      <c r="I1013" t="str">
        <f>_xlfn.XLOOKUP(A1013, OBJETIVO!A:A, OBJETIVO!B:B)</f>
        <v>Abertura/Expansão</v>
      </c>
      <c r="J1013">
        <f t="shared" si="15"/>
        <v>0</v>
      </c>
    </row>
    <row r="1014" spans="1:10" x14ac:dyDescent="0.25">
      <c r="A1014">
        <v>11574977</v>
      </c>
      <c r="B1014" s="1">
        <v>45724.736203703702</v>
      </c>
      <c r="C1014" t="s">
        <v>0</v>
      </c>
      <c r="D1014" t="str">
        <f>VLOOKUP(A1014,MERCADO!A:B,2,0)</f>
        <v>Servicos</v>
      </c>
      <c r="E1014" t="str">
        <f>_xlfn.XLOOKUP(A1014, ORIGEM!A:A, ORIGEM!B:B)</f>
        <v>Facebook</v>
      </c>
      <c r="F1014" t="str">
        <f>_xlfn.XLOOKUP(A1014, ORIGEM!A:A, ORIGEM!C:C)</f>
        <v>facebook - cpc</v>
      </c>
      <c r="G1014" t="str">
        <f>_xlfn.XLOOKUP(A1014, LOCAL!A:A, LOCAL!B:B)</f>
        <v>Colatina - ES</v>
      </c>
      <c r="H1014" t="str">
        <f>_xlfn.XLOOKUP(A1014, PORTE!A:A, PORTE!B:B)</f>
        <v>0</v>
      </c>
      <c r="I1014" t="str">
        <f>_xlfn.XLOOKUP(A1014, OBJETIVO!A:A, OBJETIVO!B:B)</f>
        <v>Geração de leads b2b</v>
      </c>
      <c r="J1014">
        <f t="shared" si="15"/>
        <v>0</v>
      </c>
    </row>
    <row r="1015" spans="1:10" x14ac:dyDescent="0.25">
      <c r="A1015">
        <v>11577189</v>
      </c>
      <c r="B1015" s="1">
        <v>45724.784166666665</v>
      </c>
      <c r="C1015" t="s">
        <v>0</v>
      </c>
      <c r="D1015" t="str">
        <f>VLOOKUP(A1015,MERCADO!A:B,2,0)</f>
        <v>Servicos</v>
      </c>
      <c r="E1015" t="str">
        <f>_xlfn.XLOOKUP(A1015, ORIGEM!A:A, ORIGEM!B:B)</f>
        <v>Facebook</v>
      </c>
      <c r="F1015" t="str">
        <f>_xlfn.XLOOKUP(A1015, ORIGEM!A:A, ORIGEM!C:C)</f>
        <v>facebook - cpc</v>
      </c>
      <c r="G1015" t="str">
        <f>_xlfn.XLOOKUP(A1015, LOCAL!A:A, LOCAL!B:B)</f>
        <v>João Pessoa - PB</v>
      </c>
      <c r="H1015" t="str">
        <f>_xlfn.XLOOKUP(A1015, PORTE!A:A, PORTE!B:B)</f>
        <v>0</v>
      </c>
      <c r="I1015" t="str">
        <f>_xlfn.XLOOKUP(A1015, OBJETIVO!A:A, OBJETIVO!B:B)</f>
        <v>Ações de marketing/vendas</v>
      </c>
      <c r="J1015">
        <f t="shared" si="15"/>
        <v>0</v>
      </c>
    </row>
    <row r="1016" spans="1:10" x14ac:dyDescent="0.25">
      <c r="A1016">
        <v>11585905</v>
      </c>
      <c r="B1016" s="1">
        <v>45725.594398148147</v>
      </c>
      <c r="C1016" t="s">
        <v>0</v>
      </c>
      <c r="D1016" t="str">
        <f>VLOOKUP(A1016,MERCADO!A:B,2,0)</f>
        <v>Servicos</v>
      </c>
      <c r="E1016" t="str">
        <f>_xlfn.XLOOKUP(A1016, ORIGEM!A:A, ORIGEM!B:B)</f>
        <v>Facebook</v>
      </c>
      <c r="F1016" t="str">
        <f>_xlfn.XLOOKUP(A1016, ORIGEM!A:A, ORIGEM!C:C)</f>
        <v>facebook - cpc</v>
      </c>
      <c r="G1016" t="str">
        <f>_xlfn.XLOOKUP(A1016, LOCAL!A:A, LOCAL!B:B)</f>
        <v>São Luís - MA</v>
      </c>
      <c r="H1016" t="str">
        <f>_xlfn.XLOOKUP(A1016, PORTE!A:A, PORTE!B:B)</f>
        <v>0</v>
      </c>
      <c r="I1016" t="str">
        <f>_xlfn.XLOOKUP(A1016, OBJETIVO!A:A, OBJETIVO!B:B)</f>
        <v>Outro</v>
      </c>
      <c r="J1016">
        <f t="shared" si="15"/>
        <v>0</v>
      </c>
    </row>
    <row r="1017" spans="1:10" x14ac:dyDescent="0.25">
      <c r="A1017">
        <v>11592409</v>
      </c>
      <c r="B1017" s="1">
        <v>45725.8515162037</v>
      </c>
      <c r="C1017" t="s">
        <v>0</v>
      </c>
      <c r="D1017" t="str">
        <f>VLOOKUP(A1017,MERCADO!A:B,2,0)</f>
        <v>Servicos</v>
      </c>
      <c r="E1017" t="str">
        <f>_xlfn.XLOOKUP(A1017, ORIGEM!A:A, ORIGEM!B:B)</f>
        <v>Facebook</v>
      </c>
      <c r="F1017" t="str">
        <f>_xlfn.XLOOKUP(A1017, ORIGEM!A:A, ORIGEM!C:C)</f>
        <v>facebook - cpc</v>
      </c>
      <c r="G1017" t="str">
        <f>_xlfn.XLOOKUP(A1017, LOCAL!A:A, LOCAL!B:B)</f>
        <v>Santa Rita - PB</v>
      </c>
      <c r="H1017" t="str">
        <f>_xlfn.XLOOKUP(A1017, PORTE!A:A, PORTE!B:B)</f>
        <v>0</v>
      </c>
      <c r="I1017" t="str">
        <f>_xlfn.XLOOKUP(A1017, OBJETIVO!A:A, OBJETIVO!B:B)</f>
        <v>Geração de leads b2b</v>
      </c>
      <c r="J1017">
        <f t="shared" si="15"/>
        <v>0</v>
      </c>
    </row>
    <row r="1018" spans="1:10" x14ac:dyDescent="0.25">
      <c r="A1018">
        <v>11592602</v>
      </c>
      <c r="B1018" s="1">
        <v>45725.888171296298</v>
      </c>
      <c r="C1018" t="s">
        <v>0</v>
      </c>
      <c r="D1018" t="str">
        <f>VLOOKUP(A1018,MERCADO!A:B,2,0)</f>
        <v>Servicos</v>
      </c>
      <c r="E1018" t="str">
        <f>_xlfn.XLOOKUP(A1018, ORIGEM!A:A, ORIGEM!B:B)</f>
        <v>Facebook</v>
      </c>
      <c r="F1018" t="str">
        <f>_xlfn.XLOOKUP(A1018, ORIGEM!A:A, ORIGEM!C:C)</f>
        <v>facebook - cpc</v>
      </c>
      <c r="G1018" t="str">
        <f>_xlfn.XLOOKUP(A1018, LOCAL!A:A, LOCAL!B:B)</f>
        <v>Araci - BA</v>
      </c>
      <c r="H1018" t="str">
        <f>_xlfn.XLOOKUP(A1018, PORTE!A:A, PORTE!B:B)</f>
        <v>1-10</v>
      </c>
      <c r="I1018" t="str">
        <f>_xlfn.XLOOKUP(A1018, OBJETIVO!A:A, OBJETIVO!B:B)</f>
        <v>Outro</v>
      </c>
      <c r="J1018">
        <f t="shared" si="15"/>
        <v>0</v>
      </c>
    </row>
    <row r="1019" spans="1:10" x14ac:dyDescent="0.25">
      <c r="A1019">
        <v>11591321</v>
      </c>
      <c r="B1019" s="1">
        <v>45725.727569444447</v>
      </c>
      <c r="C1019" t="s">
        <v>0</v>
      </c>
      <c r="D1019" t="str">
        <f>VLOOKUP(A1019,MERCADO!A:B,2,0)</f>
        <v>Servicos</v>
      </c>
      <c r="E1019" t="str">
        <f>_xlfn.XLOOKUP(A1019, ORIGEM!A:A, ORIGEM!B:B)</f>
        <v>Facebook</v>
      </c>
      <c r="F1019" t="str">
        <f>_xlfn.XLOOKUP(A1019, ORIGEM!A:A, ORIGEM!C:C)</f>
        <v>facebook - cpc</v>
      </c>
      <c r="G1019" t="str">
        <f>_xlfn.XLOOKUP(A1019, LOCAL!A:A, LOCAL!B:B)</f>
        <v>Cristino Castro - PI</v>
      </c>
      <c r="H1019" t="str">
        <f>_xlfn.XLOOKUP(A1019, PORTE!A:A, PORTE!B:B)</f>
        <v>1-10</v>
      </c>
      <c r="I1019" t="str">
        <f>_xlfn.XLOOKUP(A1019, OBJETIVO!A:A, OBJETIVO!B:B)</f>
        <v>Geração de leads b2b</v>
      </c>
      <c r="J1019">
        <f t="shared" si="15"/>
        <v>0</v>
      </c>
    </row>
    <row r="1020" spans="1:10" x14ac:dyDescent="0.25">
      <c r="A1020">
        <v>11346354</v>
      </c>
      <c r="B1020" s="1">
        <v>45702.226087962961</v>
      </c>
      <c r="C1020" t="s">
        <v>0</v>
      </c>
      <c r="D1020" t="str">
        <f>VLOOKUP(A1020,MERCADO!A:B,2,0)</f>
        <v>Servicos</v>
      </c>
      <c r="E1020" t="str">
        <f>_xlfn.XLOOKUP(A1020, ORIGEM!A:A, ORIGEM!B:B)</f>
        <v>Facebook</v>
      </c>
      <c r="F1020" t="str">
        <f>_xlfn.XLOOKUP(A1020, ORIGEM!A:A, ORIGEM!C:C)</f>
        <v>facebook - cpc</v>
      </c>
      <c r="G1020" t="str">
        <f>_xlfn.XLOOKUP(A1020, LOCAL!A:A, LOCAL!B:B)</f>
        <v>Amaraji - PE</v>
      </c>
      <c r="H1020" t="str">
        <f>_xlfn.XLOOKUP(A1020, PORTE!A:A, PORTE!B:B)</f>
        <v>11-50</v>
      </c>
      <c r="I1020" t="str">
        <f>_xlfn.XLOOKUP(A1020, OBJETIVO!A:A, OBJETIVO!B:B)</f>
        <v>Planejamento estratégico</v>
      </c>
      <c r="J1020">
        <f t="shared" si="15"/>
        <v>0</v>
      </c>
    </row>
    <row r="1021" spans="1:10" x14ac:dyDescent="0.25">
      <c r="A1021">
        <v>10808428</v>
      </c>
      <c r="B1021" s="1">
        <v>45649.517418981479</v>
      </c>
      <c r="C1021" t="s">
        <v>0</v>
      </c>
      <c r="D1021" t="str">
        <f>VLOOKUP(A1021,MERCADO!A:B,2,0)</f>
        <v>Servicos</v>
      </c>
      <c r="E1021" t="str">
        <f>_xlfn.XLOOKUP(A1021, ORIGEM!A:A, ORIGEM!B:B)</f>
        <v>Facebook</v>
      </c>
      <c r="F1021" t="str">
        <f>_xlfn.XLOOKUP(A1021, ORIGEM!A:A, ORIGEM!C:C)</f>
        <v>facebook - cpc</v>
      </c>
      <c r="G1021" t="str">
        <f>_xlfn.XLOOKUP(A1021, LOCAL!A:A, LOCAL!B:B)</f>
        <v>Joinville - SC</v>
      </c>
      <c r="H1021" t="str">
        <f>_xlfn.XLOOKUP(A1021, PORTE!A:A, PORTE!B:B)</f>
        <v>11-50</v>
      </c>
      <c r="I1021" t="str">
        <f>_xlfn.XLOOKUP(A1021, OBJETIVO!A:A, OBJETIVO!B:B)</f>
        <v>Outro</v>
      </c>
      <c r="J1021">
        <f t="shared" si="15"/>
        <v>0</v>
      </c>
    </row>
    <row r="1022" spans="1:10" x14ac:dyDescent="0.25">
      <c r="A1022">
        <v>11445403</v>
      </c>
      <c r="B1022" s="1">
        <v>45712.46733796296</v>
      </c>
      <c r="C1022" t="s">
        <v>0</v>
      </c>
      <c r="D1022" t="str">
        <f>VLOOKUP(A1022,MERCADO!A:B,2,0)</f>
        <v>Servicos</v>
      </c>
      <c r="E1022" t="str">
        <f>_xlfn.XLOOKUP(A1022, ORIGEM!A:A, ORIGEM!B:B)</f>
        <v>Google</v>
      </c>
      <c r="F1022" t="str">
        <f>_xlfn.XLOOKUP(A1022, ORIGEM!A:A, ORIGEM!C:C)</f>
        <v>google - cpc</v>
      </c>
      <c r="G1022" t="str">
        <f>_xlfn.XLOOKUP(A1022, LOCAL!A:A, LOCAL!B:B)</f>
        <v>Salvador - BA</v>
      </c>
      <c r="H1022" t="str">
        <f>_xlfn.XLOOKUP(A1022, PORTE!A:A, PORTE!B:B)</f>
        <v>0</v>
      </c>
      <c r="I1022" t="str">
        <f>_xlfn.XLOOKUP(A1022, OBJETIVO!A:A, OBJETIVO!B:B)</f>
        <v>Geração de leads b2b</v>
      </c>
      <c r="J1022">
        <f t="shared" si="15"/>
        <v>0</v>
      </c>
    </row>
    <row r="1023" spans="1:10" x14ac:dyDescent="0.25">
      <c r="A1023">
        <v>11484593</v>
      </c>
      <c r="B1023" s="1">
        <v>45716.844409722224</v>
      </c>
      <c r="C1023" t="s">
        <v>0</v>
      </c>
      <c r="D1023" t="str">
        <f>VLOOKUP(A1023,MERCADO!A:B,2,0)</f>
        <v>Servicos</v>
      </c>
      <c r="E1023" t="str">
        <f>_xlfn.XLOOKUP(A1023, ORIGEM!A:A, ORIGEM!B:B)</f>
        <v>Google</v>
      </c>
      <c r="F1023" t="str">
        <f>_xlfn.XLOOKUP(A1023, ORIGEM!A:A, ORIGEM!C:C)</f>
        <v>google - cpc</v>
      </c>
      <c r="G1023" t="str">
        <f>_xlfn.XLOOKUP(A1023, LOCAL!A:A, LOCAL!B:B)</f>
        <v>-</v>
      </c>
      <c r="H1023" t="str">
        <f>_xlfn.XLOOKUP(A1023, PORTE!A:A, PORTE!B:B)</f>
        <v>1-10</v>
      </c>
      <c r="I1023" t="str">
        <f>_xlfn.XLOOKUP(A1023, OBJETIVO!A:A, OBJETIVO!B:B)</f>
        <v>Abertura/Expansão</v>
      </c>
      <c r="J1023">
        <f t="shared" si="15"/>
        <v>0</v>
      </c>
    </row>
    <row r="1024" spans="1:10" x14ac:dyDescent="0.25">
      <c r="A1024">
        <v>11483930</v>
      </c>
      <c r="B1024" s="1">
        <v>45716.605706018519</v>
      </c>
      <c r="C1024" t="s">
        <v>0</v>
      </c>
      <c r="D1024" t="str">
        <f>VLOOKUP(A1024,MERCADO!A:B,2,0)</f>
        <v>Servicos</v>
      </c>
      <c r="E1024" t="str">
        <f>_xlfn.XLOOKUP(A1024, ORIGEM!A:A, ORIGEM!B:B)</f>
        <v>Google</v>
      </c>
      <c r="F1024" t="str">
        <f>_xlfn.XLOOKUP(A1024, ORIGEM!A:A, ORIGEM!C:C)</f>
        <v>google - cpc</v>
      </c>
      <c r="G1024" t="str">
        <f>_xlfn.XLOOKUP(A1024, LOCAL!A:A, LOCAL!B:B)</f>
        <v>São Paulo - SP</v>
      </c>
      <c r="H1024" t="str">
        <f>_xlfn.XLOOKUP(A1024, PORTE!A:A, PORTE!B:B)</f>
        <v>0</v>
      </c>
      <c r="I1024" t="str">
        <f>_xlfn.XLOOKUP(A1024, OBJETIVO!A:A, OBJETIVO!B:B)</f>
        <v>Ações de marketing/vendas</v>
      </c>
      <c r="J1024">
        <f t="shared" si="15"/>
        <v>0</v>
      </c>
    </row>
    <row r="1025" spans="1:10" x14ac:dyDescent="0.25">
      <c r="A1025">
        <v>11350395</v>
      </c>
      <c r="B1025" s="1">
        <v>45703.420752314814</v>
      </c>
      <c r="C1025" t="s">
        <v>0</v>
      </c>
      <c r="D1025" t="str">
        <f>VLOOKUP(A1025,MERCADO!A:B,2,0)</f>
        <v>Servicos</v>
      </c>
      <c r="E1025" t="str">
        <f>_xlfn.XLOOKUP(A1025, ORIGEM!A:A, ORIGEM!B:B)</f>
        <v>Google</v>
      </c>
      <c r="F1025" t="str">
        <f>_xlfn.XLOOKUP(A1025, ORIGEM!A:A, ORIGEM!C:C)</f>
        <v>google - cpc</v>
      </c>
      <c r="G1025" t="str">
        <f>_xlfn.XLOOKUP(A1025, LOCAL!A:A, LOCAL!B:B)</f>
        <v>Campo Grande - MS</v>
      </c>
      <c r="H1025" t="str">
        <f>_xlfn.XLOOKUP(A1025, PORTE!A:A, PORTE!B:B)</f>
        <v>0</v>
      </c>
      <c r="I1025" t="str">
        <f>_xlfn.XLOOKUP(A1025, OBJETIVO!A:A, OBJETIVO!B:B)</f>
        <v>Planejamento estratégico</v>
      </c>
      <c r="J1025">
        <f t="shared" si="15"/>
        <v>0</v>
      </c>
    </row>
    <row r="1026" spans="1:10" x14ac:dyDescent="0.25">
      <c r="A1026">
        <v>11627287</v>
      </c>
      <c r="B1026" s="1">
        <v>45728.642256944448</v>
      </c>
      <c r="C1026" t="s">
        <v>0</v>
      </c>
      <c r="D1026" t="str">
        <f>VLOOKUP(A1026,MERCADO!A:B,2,0)</f>
        <v>Servicos</v>
      </c>
      <c r="E1026" t="str">
        <f>_xlfn.XLOOKUP(A1026, ORIGEM!A:A, ORIGEM!B:B)</f>
        <v>Facebook</v>
      </c>
      <c r="F1026" t="str">
        <f>_xlfn.XLOOKUP(A1026, ORIGEM!A:A, ORIGEM!C:C)</f>
        <v>facebook - cpc</v>
      </c>
      <c r="G1026" t="str">
        <f>_xlfn.XLOOKUP(A1026, LOCAL!A:A, LOCAL!B:B)</f>
        <v>Teresina - PI</v>
      </c>
      <c r="H1026" t="str">
        <f>_xlfn.XLOOKUP(A1026, PORTE!A:A, PORTE!B:B)</f>
        <v>1-10</v>
      </c>
      <c r="I1026" t="str">
        <f>_xlfn.XLOOKUP(A1026, OBJETIVO!A:A, OBJETIVO!B:B)</f>
        <v>Outro</v>
      </c>
      <c r="J1026">
        <f t="shared" si="15"/>
        <v>0</v>
      </c>
    </row>
    <row r="1027" spans="1:10" x14ac:dyDescent="0.25">
      <c r="A1027">
        <v>11616011</v>
      </c>
      <c r="B1027" s="1">
        <v>45727.721701388888</v>
      </c>
      <c r="C1027" t="s">
        <v>0</v>
      </c>
      <c r="D1027" t="str">
        <f>VLOOKUP(A1027,MERCADO!A:B,2,0)</f>
        <v>Servicos</v>
      </c>
      <c r="E1027" t="str">
        <f>_xlfn.XLOOKUP(A1027, ORIGEM!A:A, ORIGEM!B:B)</f>
        <v>Facebook</v>
      </c>
      <c r="F1027" t="str">
        <f>_xlfn.XLOOKUP(A1027, ORIGEM!A:A, ORIGEM!C:C)</f>
        <v>facebook - cpc</v>
      </c>
      <c r="G1027" t="str">
        <f>_xlfn.XLOOKUP(A1027, LOCAL!A:A, LOCAL!B:B)</f>
        <v>Brasília - DF</v>
      </c>
      <c r="H1027" t="str">
        <f>_xlfn.XLOOKUP(A1027, PORTE!A:A, PORTE!B:B)</f>
        <v>0</v>
      </c>
      <c r="I1027" t="str">
        <f>_xlfn.XLOOKUP(A1027, OBJETIVO!A:A, OBJETIVO!B:B)</f>
        <v>Ações de marketing/vendas</v>
      </c>
      <c r="J1027">
        <f t="shared" ref="J1027:J1090" si="16">IF(C1027="SIM",1,0)</f>
        <v>0</v>
      </c>
    </row>
    <row r="1028" spans="1:10" x14ac:dyDescent="0.25">
      <c r="A1028">
        <v>11616419</v>
      </c>
      <c r="B1028" s="1">
        <v>45727.745023148149</v>
      </c>
      <c r="C1028" t="s">
        <v>0</v>
      </c>
      <c r="D1028" t="str">
        <f>VLOOKUP(A1028,MERCADO!A:B,2,0)</f>
        <v>Servicos</v>
      </c>
      <c r="E1028" t="str">
        <f>_xlfn.XLOOKUP(A1028, ORIGEM!A:A, ORIGEM!B:B)</f>
        <v>Facebook</v>
      </c>
      <c r="F1028" t="str">
        <f>_xlfn.XLOOKUP(A1028, ORIGEM!A:A, ORIGEM!C:C)</f>
        <v>facebook - cpc</v>
      </c>
      <c r="G1028" t="str">
        <f>_xlfn.XLOOKUP(A1028, LOCAL!A:A, LOCAL!B:B)</f>
        <v>Lauro de Freitas - BA</v>
      </c>
      <c r="H1028" t="str">
        <f>_xlfn.XLOOKUP(A1028, PORTE!A:A, PORTE!B:B)</f>
        <v>1-10</v>
      </c>
      <c r="I1028" t="str">
        <f>_xlfn.XLOOKUP(A1028, OBJETIVO!A:A, OBJETIVO!B:B)</f>
        <v>Outro</v>
      </c>
      <c r="J1028">
        <f t="shared" si="16"/>
        <v>0</v>
      </c>
    </row>
    <row r="1029" spans="1:10" x14ac:dyDescent="0.25">
      <c r="A1029">
        <v>11543242</v>
      </c>
      <c r="B1029" s="1">
        <v>45720.880046296297</v>
      </c>
      <c r="C1029" t="s">
        <v>0</v>
      </c>
      <c r="D1029" t="str">
        <f>VLOOKUP(A1029,MERCADO!A:B,2,0)</f>
        <v>Servicos</v>
      </c>
      <c r="E1029" t="str">
        <f>_xlfn.XLOOKUP(A1029, ORIGEM!A:A, ORIGEM!B:B)</f>
        <v>Facebook</v>
      </c>
      <c r="F1029" t="str">
        <f>_xlfn.XLOOKUP(A1029, ORIGEM!A:A, ORIGEM!C:C)</f>
        <v>facebook - cpc</v>
      </c>
      <c r="G1029" t="str">
        <f>_xlfn.XLOOKUP(A1029, LOCAL!A:A, LOCAL!B:B)</f>
        <v>Itapema - SC</v>
      </c>
      <c r="H1029" t="str">
        <f>_xlfn.XLOOKUP(A1029, PORTE!A:A, PORTE!B:B)</f>
        <v>1-10</v>
      </c>
      <c r="I1029" t="str">
        <f>_xlfn.XLOOKUP(A1029, OBJETIVO!A:A, OBJETIVO!B:B)</f>
        <v>Abertura/Expansão</v>
      </c>
      <c r="J1029">
        <f t="shared" si="16"/>
        <v>0</v>
      </c>
    </row>
    <row r="1030" spans="1:10" x14ac:dyDescent="0.25">
      <c r="A1030">
        <v>11632226</v>
      </c>
      <c r="B1030" s="1">
        <v>45729.680752314816</v>
      </c>
      <c r="C1030" t="s">
        <v>0</v>
      </c>
      <c r="D1030" t="str">
        <f>VLOOKUP(A1030,MERCADO!A:B,2,0)</f>
        <v>Servicos</v>
      </c>
      <c r="E1030" t="str">
        <f>_xlfn.XLOOKUP(A1030, ORIGEM!A:A, ORIGEM!B:B)</f>
        <v>Facebook</v>
      </c>
      <c r="F1030" t="str">
        <f>_xlfn.XLOOKUP(A1030, ORIGEM!A:A, ORIGEM!C:C)</f>
        <v>facebook - cpc</v>
      </c>
      <c r="G1030" t="str">
        <f>_xlfn.XLOOKUP(A1030, LOCAL!A:A, LOCAL!B:B)</f>
        <v>Nossa Senhora da Gloria - SE</v>
      </c>
      <c r="H1030" t="str">
        <f>_xlfn.XLOOKUP(A1030, PORTE!A:A, PORTE!B:B)</f>
        <v>0</v>
      </c>
      <c r="I1030" t="str">
        <f>_xlfn.XLOOKUP(A1030, OBJETIVO!A:A, OBJETIVO!B:B)</f>
        <v>Outro</v>
      </c>
      <c r="J1030">
        <f t="shared" si="16"/>
        <v>0</v>
      </c>
    </row>
    <row r="1031" spans="1:10" x14ac:dyDescent="0.25">
      <c r="A1031">
        <v>11556016</v>
      </c>
      <c r="B1031" s="1">
        <v>45721.698391203703</v>
      </c>
      <c r="C1031" t="s">
        <v>0</v>
      </c>
      <c r="D1031" t="str">
        <f>VLOOKUP(A1031,MERCADO!A:B,2,0)</f>
        <v>Servicos</v>
      </c>
      <c r="E1031" t="str">
        <f>_xlfn.XLOOKUP(A1031, ORIGEM!A:A, ORIGEM!B:B)</f>
        <v>Facebook</v>
      </c>
      <c r="F1031" t="str">
        <f>_xlfn.XLOOKUP(A1031, ORIGEM!A:A, ORIGEM!C:C)</f>
        <v>facebook - cpc</v>
      </c>
      <c r="G1031" t="str">
        <f>_xlfn.XLOOKUP(A1031, LOCAL!A:A, LOCAL!B:B)</f>
        <v>Poços de Caldas - MG</v>
      </c>
      <c r="H1031" t="str">
        <f>_xlfn.XLOOKUP(A1031, PORTE!A:A, PORTE!B:B)</f>
        <v>11-50</v>
      </c>
      <c r="I1031" t="str">
        <f>_xlfn.XLOOKUP(A1031, OBJETIVO!A:A, OBJETIVO!B:B)</f>
        <v>Ações de marketing/vendas</v>
      </c>
      <c r="J1031">
        <f t="shared" si="16"/>
        <v>0</v>
      </c>
    </row>
    <row r="1032" spans="1:10" x14ac:dyDescent="0.25">
      <c r="A1032">
        <v>11557330</v>
      </c>
      <c r="B1032" s="1">
        <v>45721.850370370368</v>
      </c>
      <c r="C1032" t="s">
        <v>0</v>
      </c>
      <c r="D1032" t="str">
        <f>VLOOKUP(A1032,MERCADO!A:B,2,0)</f>
        <v>Servicos</v>
      </c>
      <c r="E1032" t="str">
        <f>_xlfn.XLOOKUP(A1032, ORIGEM!A:A, ORIGEM!B:B)</f>
        <v>Facebook</v>
      </c>
      <c r="F1032" t="str">
        <f>_xlfn.XLOOKUP(A1032, ORIGEM!A:A, ORIGEM!C:C)</f>
        <v>facebook - cpc</v>
      </c>
      <c r="G1032" t="str">
        <f>_xlfn.XLOOKUP(A1032, LOCAL!A:A, LOCAL!B:B)</f>
        <v>Salvador - BA</v>
      </c>
      <c r="H1032" t="str">
        <f>_xlfn.XLOOKUP(A1032, PORTE!A:A, PORTE!B:B)</f>
        <v>1-10</v>
      </c>
      <c r="I1032" t="str">
        <f>_xlfn.XLOOKUP(A1032, OBJETIVO!A:A, OBJETIVO!B:B)</f>
        <v>Geração de leads b2b</v>
      </c>
      <c r="J1032">
        <f t="shared" si="16"/>
        <v>0</v>
      </c>
    </row>
    <row r="1033" spans="1:10" x14ac:dyDescent="0.25">
      <c r="A1033">
        <v>11543702</v>
      </c>
      <c r="B1033" s="1">
        <v>45720.987592592595</v>
      </c>
      <c r="C1033" t="s">
        <v>0</v>
      </c>
      <c r="D1033" t="str">
        <f>VLOOKUP(A1033,MERCADO!A:B,2,0)</f>
        <v>Servicos</v>
      </c>
      <c r="E1033" t="str">
        <f>_xlfn.XLOOKUP(A1033, ORIGEM!A:A, ORIGEM!B:B)</f>
        <v>Facebook</v>
      </c>
      <c r="F1033" t="str">
        <f>_xlfn.XLOOKUP(A1033, ORIGEM!A:A, ORIGEM!C:C)</f>
        <v>facebook - cpc</v>
      </c>
      <c r="G1033" t="str">
        <f>_xlfn.XLOOKUP(A1033, LOCAL!A:A, LOCAL!B:B)</f>
        <v>Porto Alegre - RS</v>
      </c>
      <c r="H1033" t="str">
        <f>_xlfn.XLOOKUP(A1033, PORTE!A:A, PORTE!B:B)</f>
        <v>11-50</v>
      </c>
      <c r="I1033" t="str">
        <f>_xlfn.XLOOKUP(A1033, OBJETIVO!A:A, OBJETIVO!B:B)</f>
        <v>Planejamento estratégico</v>
      </c>
      <c r="J1033">
        <f t="shared" si="16"/>
        <v>0</v>
      </c>
    </row>
    <row r="1034" spans="1:10" x14ac:dyDescent="0.25">
      <c r="A1034">
        <v>11583680</v>
      </c>
      <c r="B1034" s="1">
        <v>45725.490682870368</v>
      </c>
      <c r="C1034" t="s">
        <v>0</v>
      </c>
      <c r="D1034" t="str">
        <f>VLOOKUP(A1034,MERCADO!A:B,2,0)</f>
        <v>Servicos</v>
      </c>
      <c r="E1034" t="str">
        <f>_xlfn.XLOOKUP(A1034, ORIGEM!A:A, ORIGEM!B:B)</f>
        <v>email</v>
      </c>
      <c r="F1034">
        <f>_xlfn.XLOOKUP(A1034, ORIGEM!A:A, ORIGEM!C:C)</f>
        <v>0</v>
      </c>
      <c r="G1034" t="str">
        <f>_xlfn.XLOOKUP(A1034, LOCAL!A:A, LOCAL!B:B)</f>
        <v>Brasília - DF</v>
      </c>
      <c r="H1034" t="str">
        <f>_xlfn.XLOOKUP(A1034, PORTE!A:A, PORTE!B:B)</f>
        <v>1-10</v>
      </c>
      <c r="I1034" t="str">
        <f>_xlfn.XLOOKUP(A1034, OBJETIVO!A:A, OBJETIVO!B:B)</f>
        <v>Abertura/Expansão</v>
      </c>
      <c r="J1034">
        <f t="shared" si="16"/>
        <v>0</v>
      </c>
    </row>
    <row r="1035" spans="1:10" x14ac:dyDescent="0.25">
      <c r="A1035">
        <v>11599721</v>
      </c>
      <c r="B1035" s="1">
        <v>45726.508530092593</v>
      </c>
      <c r="C1035" t="s">
        <v>0</v>
      </c>
      <c r="D1035" t="str">
        <f>VLOOKUP(A1035,MERCADO!A:B,2,0)</f>
        <v>Servicos</v>
      </c>
      <c r="E1035" t="str">
        <f>_xlfn.XLOOKUP(A1035, ORIGEM!A:A, ORIGEM!B:B)</f>
        <v>email</v>
      </c>
      <c r="F1035">
        <f>_xlfn.XLOOKUP(A1035, ORIGEM!A:A, ORIGEM!C:C)</f>
        <v>0</v>
      </c>
      <c r="G1035" t="str">
        <f>_xlfn.XLOOKUP(A1035, LOCAL!A:A, LOCAL!B:B)</f>
        <v>RJ</v>
      </c>
      <c r="H1035" t="str">
        <f>_xlfn.XLOOKUP(A1035, PORTE!A:A, PORTE!B:B)</f>
        <v>1-10</v>
      </c>
      <c r="I1035" t="str">
        <f>_xlfn.XLOOKUP(A1035, OBJETIVO!A:A, OBJETIVO!B:B)</f>
        <v>Abertura/Expansão</v>
      </c>
      <c r="J1035">
        <f t="shared" si="16"/>
        <v>0</v>
      </c>
    </row>
    <row r="1036" spans="1:10" x14ac:dyDescent="0.25">
      <c r="A1036">
        <v>11644585</v>
      </c>
      <c r="B1036" s="1">
        <v>45731.626261574071</v>
      </c>
      <c r="C1036" t="s">
        <v>0</v>
      </c>
      <c r="D1036" t="str">
        <f>VLOOKUP(A1036,MERCADO!A:B,2,0)</f>
        <v>Servicos</v>
      </c>
      <c r="E1036" t="str">
        <f>_xlfn.XLOOKUP(A1036, ORIGEM!A:A, ORIGEM!B:B)</f>
        <v>email</v>
      </c>
      <c r="F1036">
        <f>_xlfn.XLOOKUP(A1036, ORIGEM!A:A, ORIGEM!C:C)</f>
        <v>0</v>
      </c>
      <c r="G1036" t="str">
        <f>_xlfn.XLOOKUP(A1036, LOCAL!A:A, LOCAL!B:B)</f>
        <v>-</v>
      </c>
      <c r="H1036" t="str">
        <f>_xlfn.XLOOKUP(A1036, PORTE!A:A, PORTE!B:B)</f>
        <v>1-10</v>
      </c>
      <c r="I1036" t="str">
        <f>_xlfn.XLOOKUP(A1036, OBJETIVO!A:A, OBJETIVO!B:B)</f>
        <v>Ações de marketing/vendas</v>
      </c>
      <c r="J1036">
        <f t="shared" si="16"/>
        <v>0</v>
      </c>
    </row>
    <row r="1037" spans="1:10" x14ac:dyDescent="0.25">
      <c r="A1037">
        <v>11877247</v>
      </c>
      <c r="B1037" s="1">
        <v>45753.422939814816</v>
      </c>
      <c r="C1037" t="s">
        <v>0</v>
      </c>
      <c r="D1037" t="str">
        <f>VLOOKUP(A1037,MERCADO!A:B,2,0)</f>
        <v>Servicos</v>
      </c>
      <c r="E1037" t="str">
        <f>_xlfn.XLOOKUP(A1037, ORIGEM!A:A, ORIGEM!B:B)</f>
        <v>email</v>
      </c>
      <c r="F1037">
        <f>_xlfn.XLOOKUP(A1037, ORIGEM!A:A, ORIGEM!C:C)</f>
        <v>0</v>
      </c>
      <c r="G1037" t="str">
        <f>_xlfn.XLOOKUP(A1037, LOCAL!A:A, LOCAL!B:B)</f>
        <v>-</v>
      </c>
      <c r="H1037" t="str">
        <f>_xlfn.XLOOKUP(A1037, PORTE!A:A, PORTE!B:B)</f>
        <v>11-50</v>
      </c>
      <c r="I1037" t="str">
        <f>_xlfn.XLOOKUP(A1037, OBJETIVO!A:A, OBJETIVO!B:B)</f>
        <v>Consultoria</v>
      </c>
      <c r="J1037">
        <f t="shared" si="16"/>
        <v>0</v>
      </c>
    </row>
    <row r="1038" spans="1:10" x14ac:dyDescent="0.25">
      <c r="A1038">
        <v>11817113</v>
      </c>
      <c r="B1038" s="1">
        <v>45746.3906712963</v>
      </c>
      <c r="C1038" t="s">
        <v>0</v>
      </c>
      <c r="D1038" t="str">
        <f>VLOOKUP(A1038,MERCADO!A:B,2,0)</f>
        <v>Servicos</v>
      </c>
      <c r="E1038" t="str">
        <f>_xlfn.XLOOKUP(A1038, ORIGEM!A:A, ORIGEM!B:B)</f>
        <v>email</v>
      </c>
      <c r="F1038">
        <f>_xlfn.XLOOKUP(A1038, ORIGEM!A:A, ORIGEM!C:C)</f>
        <v>0</v>
      </c>
      <c r="G1038" t="str">
        <f>_xlfn.XLOOKUP(A1038, LOCAL!A:A, LOCAL!B:B)</f>
        <v>São Paulo</v>
      </c>
      <c r="H1038" t="str">
        <f>_xlfn.XLOOKUP(A1038, PORTE!A:A, PORTE!B:B)</f>
        <v>+ 1000</v>
      </c>
      <c r="I1038" t="str">
        <f>_xlfn.XLOOKUP(A1038, OBJETIVO!A:A, OBJETIVO!B:B)</f>
        <v>Planejamento estratégico</v>
      </c>
      <c r="J1038">
        <f t="shared" si="16"/>
        <v>0</v>
      </c>
    </row>
    <row r="1039" spans="1:10" x14ac:dyDescent="0.25">
      <c r="A1039">
        <v>11837963</v>
      </c>
      <c r="B1039" s="1">
        <v>45747.706678240742</v>
      </c>
      <c r="C1039" t="s">
        <v>0</v>
      </c>
      <c r="D1039" t="str">
        <f>VLOOKUP(A1039,MERCADO!A:B,2,0)</f>
        <v>Servicos</v>
      </c>
      <c r="E1039" t="str">
        <f>_xlfn.XLOOKUP(A1039, ORIGEM!A:A, ORIGEM!B:B)</f>
        <v>email</v>
      </c>
      <c r="F1039">
        <f>_xlfn.XLOOKUP(A1039, ORIGEM!A:A, ORIGEM!C:C)</f>
        <v>0</v>
      </c>
      <c r="G1039" t="str">
        <f>_xlfn.XLOOKUP(A1039, LOCAL!A:A, LOCAL!B:B)</f>
        <v>-</v>
      </c>
      <c r="H1039" t="str">
        <f>_xlfn.XLOOKUP(A1039, PORTE!A:A, PORTE!B:B)</f>
        <v>1-10</v>
      </c>
      <c r="I1039" t="str">
        <f>_xlfn.XLOOKUP(A1039, OBJETIVO!A:A, OBJETIVO!B:B)</f>
        <v>Consultoria</v>
      </c>
      <c r="J1039">
        <f t="shared" si="16"/>
        <v>0</v>
      </c>
    </row>
    <row r="1040" spans="1:10" x14ac:dyDescent="0.25">
      <c r="A1040">
        <v>11709596</v>
      </c>
      <c r="B1040" s="1">
        <v>45737.268287037034</v>
      </c>
      <c r="C1040" t="s">
        <v>0</v>
      </c>
      <c r="D1040" t="str">
        <f>VLOOKUP(A1040,MERCADO!A:B,2,0)</f>
        <v>Imobiliaria/Incorporadora/Construtora</v>
      </c>
      <c r="E1040" t="str">
        <f>_xlfn.XLOOKUP(A1040, ORIGEM!A:A, ORIGEM!B:B)</f>
        <v>Linkedin</v>
      </c>
      <c r="F1040" t="str">
        <f>_xlfn.XLOOKUP(A1040, ORIGEM!A:A, ORIGEM!C:C)</f>
        <v>linkedin - cpc</v>
      </c>
      <c r="G1040" t="str">
        <f>_xlfn.XLOOKUP(A1040, LOCAL!A:A, LOCAL!B:B)</f>
        <v>Rio de Janeiro - RJ</v>
      </c>
      <c r="H1040" t="str">
        <f>_xlfn.XLOOKUP(A1040, PORTE!A:A, PORTE!B:B)</f>
        <v>0</v>
      </c>
      <c r="I1040" t="str">
        <f>_xlfn.XLOOKUP(A1040, OBJETIVO!A:A, OBJETIVO!B:B)</f>
        <v>Geração de leads b2b</v>
      </c>
      <c r="J1040">
        <f t="shared" si="16"/>
        <v>0</v>
      </c>
    </row>
    <row r="1041" spans="1:10" x14ac:dyDescent="0.25">
      <c r="A1041">
        <v>11856720</v>
      </c>
      <c r="B1041" s="1">
        <v>45750.277754629627</v>
      </c>
      <c r="C1041" t="s">
        <v>0</v>
      </c>
      <c r="D1041" t="str">
        <f>VLOOKUP(A1041,MERCADO!A:B,2,0)</f>
        <v>Imobiliaria/Incorporadora/Construtora</v>
      </c>
      <c r="E1041" t="str">
        <f>_xlfn.XLOOKUP(A1041, ORIGEM!A:A, ORIGEM!B:B)</f>
        <v>Linkedin</v>
      </c>
      <c r="F1041" t="str">
        <f>_xlfn.XLOOKUP(A1041, ORIGEM!A:A, ORIGEM!C:C)</f>
        <v>linkedin - cpc</v>
      </c>
      <c r="G1041" t="str">
        <f>_xlfn.XLOOKUP(A1041, LOCAL!A:A, LOCAL!B:B)</f>
        <v>São Paulo - SP</v>
      </c>
      <c r="H1041" t="str">
        <f>_xlfn.XLOOKUP(A1041, PORTE!A:A, PORTE!B:B)</f>
        <v>51-300</v>
      </c>
      <c r="I1041" t="str">
        <f>_xlfn.XLOOKUP(A1041, OBJETIVO!A:A, OBJETIVO!B:B)</f>
        <v>Planejamento estratégico</v>
      </c>
      <c r="J1041">
        <f t="shared" si="16"/>
        <v>0</v>
      </c>
    </row>
    <row r="1042" spans="1:10" x14ac:dyDescent="0.25">
      <c r="A1042">
        <v>11857826</v>
      </c>
      <c r="B1042" s="1">
        <v>45750.594166666669</v>
      </c>
      <c r="C1042" t="s">
        <v>0</v>
      </c>
      <c r="D1042" t="str">
        <f>VLOOKUP(A1042,MERCADO!A:B,2,0)</f>
        <v>Imobiliaria/Incorporadora/Construtora</v>
      </c>
      <c r="E1042" t="str">
        <f>_xlfn.XLOOKUP(A1042, ORIGEM!A:A, ORIGEM!B:B)</f>
        <v>Linkedin</v>
      </c>
      <c r="F1042" t="str">
        <f>_xlfn.XLOOKUP(A1042, ORIGEM!A:A, ORIGEM!C:C)</f>
        <v>linkedin - cpc</v>
      </c>
      <c r="G1042" t="str">
        <f>_xlfn.XLOOKUP(A1042, LOCAL!A:A, LOCAL!B:B)</f>
        <v>São Paulo - SP</v>
      </c>
      <c r="H1042" t="str">
        <f>_xlfn.XLOOKUP(A1042, PORTE!A:A, PORTE!B:B)</f>
        <v>0</v>
      </c>
      <c r="I1042" t="str">
        <f>_xlfn.XLOOKUP(A1042, OBJETIVO!A:A, OBJETIVO!B:B)</f>
        <v>Geração de leads b2b</v>
      </c>
      <c r="J1042">
        <f t="shared" si="16"/>
        <v>0</v>
      </c>
    </row>
    <row r="1043" spans="1:10" x14ac:dyDescent="0.25">
      <c r="A1043">
        <v>11592678</v>
      </c>
      <c r="B1043" s="1">
        <v>45725.894930555558</v>
      </c>
      <c r="C1043" t="s">
        <v>0</v>
      </c>
      <c r="D1043" t="str">
        <f>VLOOKUP(A1043,MERCADO!A:B,2,0)</f>
        <v>Imobiliaria/Incorporadora/Construtora</v>
      </c>
      <c r="E1043" t="str">
        <f>_xlfn.XLOOKUP(A1043, ORIGEM!A:A, ORIGEM!B:B)</f>
        <v>Facebook</v>
      </c>
      <c r="F1043" t="str">
        <f>_xlfn.XLOOKUP(A1043, ORIGEM!A:A, ORIGEM!C:C)</f>
        <v>bing - cpc</v>
      </c>
      <c r="G1043" t="str">
        <f>_xlfn.XLOOKUP(A1043, LOCAL!A:A, LOCAL!B:B)</f>
        <v>Goiânia - GO</v>
      </c>
      <c r="H1043" t="str">
        <f>_xlfn.XLOOKUP(A1043, PORTE!A:A, PORTE!B:B)</f>
        <v>1-10</v>
      </c>
      <c r="I1043" t="str">
        <f>_xlfn.XLOOKUP(A1043, OBJETIVO!A:A, OBJETIVO!B:B)</f>
        <v>Ações de marketing/vendas</v>
      </c>
      <c r="J1043">
        <f t="shared" si="16"/>
        <v>0</v>
      </c>
    </row>
    <row r="1044" spans="1:10" x14ac:dyDescent="0.25">
      <c r="A1044">
        <v>11454080</v>
      </c>
      <c r="B1044" s="1">
        <v>45712.986921296295</v>
      </c>
      <c r="C1044" t="s">
        <v>0</v>
      </c>
      <c r="D1044" t="str">
        <f>VLOOKUP(A1044,MERCADO!A:B,2,0)</f>
        <v>Imobiliaria/Incorporadora/Construtora</v>
      </c>
      <c r="E1044" t="str">
        <f>_xlfn.XLOOKUP(A1044, ORIGEM!A:A, ORIGEM!B:B)</f>
        <v>Linkedin</v>
      </c>
      <c r="F1044" t="str">
        <f>_xlfn.XLOOKUP(A1044, ORIGEM!A:A, ORIGEM!C:C)</f>
        <v>linkedin - cpc</v>
      </c>
      <c r="G1044" t="str">
        <f>_xlfn.XLOOKUP(A1044, LOCAL!A:A, LOCAL!B:B)</f>
        <v>São Paulo - SP</v>
      </c>
      <c r="H1044" t="str">
        <f>_xlfn.XLOOKUP(A1044, PORTE!A:A, PORTE!B:B)</f>
        <v>0</v>
      </c>
      <c r="I1044" t="str">
        <f>_xlfn.XLOOKUP(A1044, OBJETIVO!A:A, OBJETIVO!B:B)</f>
        <v>Consultoria</v>
      </c>
      <c r="J1044">
        <f t="shared" si="16"/>
        <v>0</v>
      </c>
    </row>
    <row r="1045" spans="1:10" x14ac:dyDescent="0.25">
      <c r="A1045">
        <v>11376455</v>
      </c>
      <c r="B1045" s="1">
        <v>45705.546516203707</v>
      </c>
      <c r="C1045" t="s">
        <v>0</v>
      </c>
      <c r="D1045" t="str">
        <f>VLOOKUP(A1045,MERCADO!A:B,2,0)</f>
        <v>Imobiliaria/Incorporadora/Construtora</v>
      </c>
      <c r="E1045" t="str">
        <f>_xlfn.XLOOKUP(A1045, ORIGEM!A:A, ORIGEM!B:B)</f>
        <v>Facebook</v>
      </c>
      <c r="F1045" t="str">
        <f>_xlfn.XLOOKUP(A1045, ORIGEM!A:A, ORIGEM!C:C)</f>
        <v>facebook - cpc</v>
      </c>
      <c r="G1045" t="str">
        <f>_xlfn.XLOOKUP(A1045, LOCAL!A:A, LOCAL!B:B)</f>
        <v>Rio de Janeiro - RJ</v>
      </c>
      <c r="H1045" t="str">
        <f>_xlfn.XLOOKUP(A1045, PORTE!A:A, PORTE!B:B)</f>
        <v>0</v>
      </c>
      <c r="I1045" t="str">
        <f>_xlfn.XLOOKUP(A1045, OBJETIVO!A:A, OBJETIVO!B:B)</f>
        <v>Geração de leads b2b</v>
      </c>
      <c r="J1045">
        <f t="shared" si="16"/>
        <v>0</v>
      </c>
    </row>
    <row r="1046" spans="1:10" x14ac:dyDescent="0.25">
      <c r="A1046">
        <v>11347934</v>
      </c>
      <c r="B1046" s="1">
        <v>45702.853495370371</v>
      </c>
      <c r="C1046" t="s">
        <v>0</v>
      </c>
      <c r="D1046" t="str">
        <f>VLOOKUP(A1046,MERCADO!A:B,2,0)</f>
        <v>Imobiliaria/Incorporadora/Construtora</v>
      </c>
      <c r="E1046" t="str">
        <f>_xlfn.XLOOKUP(A1046, ORIGEM!A:A, ORIGEM!B:B)</f>
        <v>Facebook</v>
      </c>
      <c r="F1046" t="str">
        <f>_xlfn.XLOOKUP(A1046, ORIGEM!A:A, ORIGEM!C:C)</f>
        <v>facebook - cpc</v>
      </c>
      <c r="G1046" t="str">
        <f>_xlfn.XLOOKUP(A1046, LOCAL!A:A, LOCAL!B:B)</f>
        <v>Jundiaí - SP</v>
      </c>
      <c r="H1046" t="str">
        <f>_xlfn.XLOOKUP(A1046, PORTE!A:A, PORTE!B:B)</f>
        <v>1-10</v>
      </c>
      <c r="I1046" t="str">
        <f>_xlfn.XLOOKUP(A1046, OBJETIVO!A:A, OBJETIVO!B:B)</f>
        <v>Geração de leads b2b</v>
      </c>
      <c r="J1046">
        <f t="shared" si="16"/>
        <v>0</v>
      </c>
    </row>
    <row r="1047" spans="1:10" x14ac:dyDescent="0.25">
      <c r="A1047">
        <v>11358173</v>
      </c>
      <c r="B1047" s="1">
        <v>45703.829780092594</v>
      </c>
      <c r="C1047" t="s">
        <v>0</v>
      </c>
      <c r="D1047" t="str">
        <f>VLOOKUP(A1047,MERCADO!A:B,2,0)</f>
        <v>Imobiliaria/Incorporadora/Construtora</v>
      </c>
      <c r="E1047" t="str">
        <f>_xlfn.XLOOKUP(A1047, ORIGEM!A:A, ORIGEM!B:B)</f>
        <v>Facebook</v>
      </c>
      <c r="F1047" t="str">
        <f>_xlfn.XLOOKUP(A1047, ORIGEM!A:A, ORIGEM!C:C)</f>
        <v>facebook - cpc</v>
      </c>
      <c r="G1047" t="str">
        <f>_xlfn.XLOOKUP(A1047, LOCAL!A:A, LOCAL!B:B)</f>
        <v>São Paulo - SP</v>
      </c>
      <c r="H1047" t="str">
        <f>_xlfn.XLOOKUP(A1047, PORTE!A:A, PORTE!B:B)</f>
        <v>0</v>
      </c>
      <c r="I1047" t="str">
        <f>_xlfn.XLOOKUP(A1047, OBJETIVO!A:A, OBJETIVO!B:B)</f>
        <v>Geração de leads b2b</v>
      </c>
      <c r="J1047">
        <f t="shared" si="16"/>
        <v>0</v>
      </c>
    </row>
    <row r="1048" spans="1:10" x14ac:dyDescent="0.25">
      <c r="A1048">
        <v>11358673</v>
      </c>
      <c r="B1048" s="1">
        <v>45703.943287037036</v>
      </c>
      <c r="C1048" t="s">
        <v>0</v>
      </c>
      <c r="D1048" t="str">
        <f>VLOOKUP(A1048,MERCADO!A:B,2,0)</f>
        <v>Imobiliaria/Incorporadora/Construtora</v>
      </c>
      <c r="E1048" t="str">
        <f>_xlfn.XLOOKUP(A1048, ORIGEM!A:A, ORIGEM!B:B)</f>
        <v>Facebook</v>
      </c>
      <c r="F1048" t="str">
        <f>_xlfn.XLOOKUP(A1048, ORIGEM!A:A, ORIGEM!C:C)</f>
        <v>facebook - cpc</v>
      </c>
      <c r="G1048" t="str">
        <f>_xlfn.XLOOKUP(A1048, LOCAL!A:A, LOCAL!B:B)</f>
        <v>Umbauba - SE</v>
      </c>
      <c r="H1048" t="str">
        <f>_xlfn.XLOOKUP(A1048, PORTE!A:A, PORTE!B:B)</f>
        <v>0</v>
      </c>
      <c r="I1048" t="str">
        <f>_xlfn.XLOOKUP(A1048, OBJETIVO!A:A, OBJETIVO!B:B)</f>
        <v>Ações de marketing/vendas</v>
      </c>
      <c r="J1048">
        <f t="shared" si="16"/>
        <v>0</v>
      </c>
    </row>
    <row r="1049" spans="1:10" x14ac:dyDescent="0.25">
      <c r="A1049">
        <v>11706401</v>
      </c>
      <c r="B1049" s="1">
        <v>45735.89638888889</v>
      </c>
      <c r="C1049" t="s">
        <v>0</v>
      </c>
      <c r="D1049" t="str">
        <f>VLOOKUP(A1049,MERCADO!A:B,2,0)</f>
        <v>Imobiliaria/Incorporadora/Construtora</v>
      </c>
      <c r="E1049" t="str">
        <f>_xlfn.XLOOKUP(A1049, ORIGEM!A:A, ORIGEM!B:B)</f>
        <v>Google</v>
      </c>
      <c r="F1049" t="str">
        <f>_xlfn.XLOOKUP(A1049, ORIGEM!A:A, ORIGEM!C:C)</f>
        <v>google - cpc</v>
      </c>
      <c r="G1049" t="str">
        <f>_xlfn.XLOOKUP(A1049, LOCAL!A:A, LOCAL!B:B)</f>
        <v>Erechim - RS</v>
      </c>
      <c r="H1049" t="str">
        <f>_xlfn.XLOOKUP(A1049, PORTE!A:A, PORTE!B:B)</f>
        <v>1-10</v>
      </c>
      <c r="I1049" t="str">
        <f>_xlfn.XLOOKUP(A1049, OBJETIVO!A:A, OBJETIVO!B:B)</f>
        <v>Ações de marketing/vendas</v>
      </c>
      <c r="J1049">
        <f t="shared" si="16"/>
        <v>0</v>
      </c>
    </row>
    <row r="1050" spans="1:10" x14ac:dyDescent="0.25">
      <c r="A1050">
        <v>11707666</v>
      </c>
      <c r="B1050" s="1">
        <v>45736.454340277778</v>
      </c>
      <c r="C1050" t="s">
        <v>0</v>
      </c>
      <c r="D1050" t="str">
        <f>VLOOKUP(A1050,MERCADO!A:B,2,0)</f>
        <v>Imobiliaria/Incorporadora/Construtora</v>
      </c>
      <c r="E1050" t="str">
        <f>_xlfn.XLOOKUP(A1050, ORIGEM!A:A, ORIGEM!B:B)</f>
        <v>Google</v>
      </c>
      <c r="F1050" t="str">
        <f>_xlfn.XLOOKUP(A1050, ORIGEM!A:A, ORIGEM!C:C)</f>
        <v>google - cpc</v>
      </c>
      <c r="G1050" t="str">
        <f>_xlfn.XLOOKUP(A1050, LOCAL!A:A, LOCAL!B:B)</f>
        <v>São Paulo - SP</v>
      </c>
      <c r="H1050" t="str">
        <f>_xlfn.XLOOKUP(A1050, PORTE!A:A, PORTE!B:B)</f>
        <v>0</v>
      </c>
      <c r="I1050" t="str">
        <f>_xlfn.XLOOKUP(A1050, OBJETIVO!A:A, OBJETIVO!B:B)</f>
        <v>Ações de marketing/vendas</v>
      </c>
      <c r="J1050">
        <f t="shared" si="16"/>
        <v>0</v>
      </c>
    </row>
    <row r="1051" spans="1:10" x14ac:dyDescent="0.25">
      <c r="A1051">
        <v>11790219</v>
      </c>
      <c r="B1051" s="1">
        <v>45744.452847222223</v>
      </c>
      <c r="C1051" t="s">
        <v>0</v>
      </c>
      <c r="D1051" t="str">
        <f>VLOOKUP(A1051,MERCADO!A:B,2,0)</f>
        <v>Imobiliaria/Incorporadora/Construtora</v>
      </c>
      <c r="E1051" t="str">
        <f>_xlfn.XLOOKUP(A1051, ORIGEM!A:A, ORIGEM!B:B)</f>
        <v>Google</v>
      </c>
      <c r="F1051" t="str">
        <f>_xlfn.XLOOKUP(A1051, ORIGEM!A:A, ORIGEM!C:C)</f>
        <v>google - cpc</v>
      </c>
      <c r="G1051" t="str">
        <f>_xlfn.XLOOKUP(A1051, LOCAL!A:A, LOCAL!B:B)</f>
        <v>Brasília - DF</v>
      </c>
      <c r="H1051" t="str">
        <f>_xlfn.XLOOKUP(A1051, PORTE!A:A, PORTE!B:B)</f>
        <v>0</v>
      </c>
      <c r="I1051" t="str">
        <f>_xlfn.XLOOKUP(A1051, OBJETIVO!A:A, OBJETIVO!B:B)</f>
        <v>Abertura/Expansão</v>
      </c>
      <c r="J1051">
        <f t="shared" si="16"/>
        <v>0</v>
      </c>
    </row>
    <row r="1052" spans="1:10" x14ac:dyDescent="0.25">
      <c r="A1052">
        <v>11918613</v>
      </c>
      <c r="B1052" s="1">
        <v>45755.670104166667</v>
      </c>
      <c r="C1052" t="s">
        <v>0</v>
      </c>
      <c r="D1052" t="str">
        <f>VLOOKUP(A1052,MERCADO!A:B,2,0)</f>
        <v>Imobiliaria/Incorporadora/Construtora</v>
      </c>
      <c r="E1052" t="str">
        <f>_xlfn.XLOOKUP(A1052, ORIGEM!A:A, ORIGEM!B:B)</f>
        <v>Google</v>
      </c>
      <c r="F1052" t="str">
        <f>_xlfn.XLOOKUP(A1052, ORIGEM!A:A, ORIGEM!C:C)</f>
        <v>google - cpc</v>
      </c>
      <c r="G1052" t="str">
        <f>_xlfn.XLOOKUP(A1052, LOCAL!A:A, LOCAL!B:B)</f>
        <v>Cianorte - PR</v>
      </c>
      <c r="H1052" t="str">
        <f>_xlfn.XLOOKUP(A1052, PORTE!A:A, PORTE!B:B)</f>
        <v>0</v>
      </c>
      <c r="I1052" t="str">
        <f>_xlfn.XLOOKUP(A1052, OBJETIVO!A:A, OBJETIVO!B:B)</f>
        <v>Outro</v>
      </c>
      <c r="J1052">
        <f t="shared" si="16"/>
        <v>0</v>
      </c>
    </row>
    <row r="1053" spans="1:10" x14ac:dyDescent="0.25">
      <c r="A1053">
        <v>11863526</v>
      </c>
      <c r="B1053" s="1">
        <v>45752.403252314813</v>
      </c>
      <c r="C1053" t="s">
        <v>0</v>
      </c>
      <c r="D1053" t="str">
        <f>VLOOKUP(A1053,MERCADO!A:B,2,0)</f>
        <v>Imobiliaria/Incorporadora/Construtora</v>
      </c>
      <c r="E1053" t="str">
        <f>_xlfn.XLOOKUP(A1053, ORIGEM!A:A, ORIGEM!B:B)</f>
        <v>Google</v>
      </c>
      <c r="F1053" t="str">
        <f>_xlfn.XLOOKUP(A1053, ORIGEM!A:A, ORIGEM!C:C)</f>
        <v>google - cpc</v>
      </c>
      <c r="G1053" t="str">
        <f>_xlfn.XLOOKUP(A1053, LOCAL!A:A, LOCAL!B:B)</f>
        <v>Jose Bonifacio - SP</v>
      </c>
      <c r="H1053" t="str">
        <f>_xlfn.XLOOKUP(A1053, PORTE!A:A, PORTE!B:B)</f>
        <v>0</v>
      </c>
      <c r="I1053" t="str">
        <f>_xlfn.XLOOKUP(A1053, OBJETIVO!A:A, OBJETIVO!B:B)</f>
        <v>Abertura/Expansão</v>
      </c>
      <c r="J1053">
        <f t="shared" si="16"/>
        <v>0</v>
      </c>
    </row>
    <row r="1054" spans="1:10" x14ac:dyDescent="0.25">
      <c r="A1054">
        <v>12020465</v>
      </c>
      <c r="B1054" s="1">
        <v>45764.006053240744</v>
      </c>
      <c r="C1054" t="s">
        <v>0</v>
      </c>
      <c r="D1054" t="str">
        <f>VLOOKUP(A1054,MERCADO!A:B,2,0)</f>
        <v>Imobiliaria/Incorporadora/Construtora</v>
      </c>
      <c r="E1054" t="str">
        <f>_xlfn.XLOOKUP(A1054, ORIGEM!A:A, ORIGEM!B:B)</f>
        <v>Google</v>
      </c>
      <c r="F1054" t="str">
        <f>_xlfn.XLOOKUP(A1054, ORIGEM!A:A, ORIGEM!C:C)</f>
        <v>google - cpc</v>
      </c>
      <c r="G1054" t="str">
        <f>_xlfn.XLOOKUP(A1054, LOCAL!A:A, LOCAL!B:B)</f>
        <v>São Paulo - SP</v>
      </c>
      <c r="H1054" t="str">
        <f>_xlfn.XLOOKUP(A1054, PORTE!A:A, PORTE!B:B)</f>
        <v>1-10</v>
      </c>
      <c r="I1054" t="str">
        <f>_xlfn.XLOOKUP(A1054, OBJETIVO!A:A, OBJETIVO!B:B)</f>
        <v>Planejamento estratégico</v>
      </c>
      <c r="J1054">
        <f t="shared" si="16"/>
        <v>0</v>
      </c>
    </row>
    <row r="1055" spans="1:10" x14ac:dyDescent="0.25">
      <c r="A1055">
        <v>11980456</v>
      </c>
      <c r="B1055" s="1">
        <v>45761.409571759257</v>
      </c>
      <c r="C1055" t="s">
        <v>0</v>
      </c>
      <c r="D1055" t="str">
        <f>VLOOKUP(A1055,MERCADO!A:B,2,0)</f>
        <v>Imobiliaria/Incorporadora/Construtora</v>
      </c>
      <c r="E1055" t="str">
        <f>_xlfn.XLOOKUP(A1055, ORIGEM!A:A, ORIGEM!B:B)</f>
        <v>Google</v>
      </c>
      <c r="F1055" t="str">
        <f>_xlfn.XLOOKUP(A1055, ORIGEM!A:A, ORIGEM!C:C)</f>
        <v>google - cpc</v>
      </c>
      <c r="G1055" t="str">
        <f>_xlfn.XLOOKUP(A1055, LOCAL!A:A, LOCAL!B:B)</f>
        <v>Cuiabá - MT</v>
      </c>
      <c r="H1055" t="str">
        <f>_xlfn.XLOOKUP(A1055, PORTE!A:A, PORTE!B:B)</f>
        <v>51-300</v>
      </c>
      <c r="I1055" t="str">
        <f>_xlfn.XLOOKUP(A1055, OBJETIVO!A:A, OBJETIVO!B:B)</f>
        <v>Abertura/Expansão</v>
      </c>
      <c r="J1055">
        <f t="shared" si="16"/>
        <v>0</v>
      </c>
    </row>
    <row r="1056" spans="1:10" x14ac:dyDescent="0.25">
      <c r="A1056">
        <v>11895664</v>
      </c>
      <c r="B1056" s="1">
        <v>45754.424722222226</v>
      </c>
      <c r="C1056" t="s">
        <v>0</v>
      </c>
      <c r="D1056" t="str">
        <f>VLOOKUP(A1056,MERCADO!A:B,2,0)</f>
        <v>Imobiliaria/Incorporadora/Construtora</v>
      </c>
      <c r="E1056" t="str">
        <f>_xlfn.XLOOKUP(A1056, ORIGEM!A:A, ORIGEM!B:B)</f>
        <v>Google</v>
      </c>
      <c r="F1056" t="str">
        <f>_xlfn.XLOOKUP(A1056, ORIGEM!A:A, ORIGEM!C:C)</f>
        <v>google - cpc</v>
      </c>
      <c r="G1056" t="str">
        <f>_xlfn.XLOOKUP(A1056, LOCAL!A:A, LOCAL!B:B)</f>
        <v>São Paulo - SP</v>
      </c>
      <c r="H1056" t="str">
        <f>_xlfn.XLOOKUP(A1056, PORTE!A:A, PORTE!B:B)</f>
        <v>0</v>
      </c>
      <c r="I1056" t="str">
        <f>_xlfn.XLOOKUP(A1056, OBJETIVO!A:A, OBJETIVO!B:B)</f>
        <v>Consultoria</v>
      </c>
      <c r="J1056">
        <f t="shared" si="16"/>
        <v>0</v>
      </c>
    </row>
    <row r="1057" spans="1:10" x14ac:dyDescent="0.25">
      <c r="A1057">
        <v>11839986</v>
      </c>
      <c r="B1057" s="1">
        <v>45748.078182870369</v>
      </c>
      <c r="C1057" t="s">
        <v>0</v>
      </c>
      <c r="D1057" t="str">
        <f>VLOOKUP(A1057,MERCADO!A:B,2,0)</f>
        <v>Imobiliaria/Incorporadora/Construtora</v>
      </c>
      <c r="E1057" t="str">
        <f>_xlfn.XLOOKUP(A1057, ORIGEM!A:A, ORIGEM!B:B)</f>
        <v>Google</v>
      </c>
      <c r="F1057" t="str">
        <f>_xlfn.XLOOKUP(A1057, ORIGEM!A:A, ORIGEM!C:C)</f>
        <v>google - cpc</v>
      </c>
      <c r="G1057" t="str">
        <f>_xlfn.XLOOKUP(A1057, LOCAL!A:A, LOCAL!B:B)</f>
        <v>Rio de Janeiro - RJ</v>
      </c>
      <c r="H1057" t="str">
        <f>_xlfn.XLOOKUP(A1057, PORTE!A:A, PORTE!B:B)</f>
        <v>0</v>
      </c>
      <c r="I1057" t="str">
        <f>_xlfn.XLOOKUP(A1057, OBJETIVO!A:A, OBJETIVO!B:B)</f>
        <v>Abertura/Expansão</v>
      </c>
      <c r="J1057">
        <f t="shared" si="16"/>
        <v>0</v>
      </c>
    </row>
    <row r="1058" spans="1:10" x14ac:dyDescent="0.25">
      <c r="A1058">
        <v>11927472</v>
      </c>
      <c r="B1058" s="1">
        <v>45756.423935185187</v>
      </c>
      <c r="C1058" t="s">
        <v>0</v>
      </c>
      <c r="D1058" t="str">
        <f>VLOOKUP(A1058,MERCADO!A:B,2,0)</f>
        <v>Imobiliaria/Incorporadora/Construtora</v>
      </c>
      <c r="E1058" t="str">
        <f>_xlfn.XLOOKUP(A1058, ORIGEM!A:A, ORIGEM!B:B)</f>
        <v>Google</v>
      </c>
      <c r="F1058" t="str">
        <f>_xlfn.XLOOKUP(A1058, ORIGEM!A:A, ORIGEM!C:C)</f>
        <v>google - cpc</v>
      </c>
      <c r="G1058" t="str">
        <f>_xlfn.XLOOKUP(A1058, LOCAL!A:A, LOCAL!B:B)</f>
        <v>Jandira - SP</v>
      </c>
      <c r="H1058" t="str">
        <f>_xlfn.XLOOKUP(A1058, PORTE!A:A, PORTE!B:B)</f>
        <v>51-300</v>
      </c>
      <c r="I1058" t="str">
        <f>_xlfn.XLOOKUP(A1058, OBJETIVO!A:A, OBJETIVO!B:B)</f>
        <v>Abertura/Expansão</v>
      </c>
      <c r="J1058">
        <f t="shared" si="16"/>
        <v>0</v>
      </c>
    </row>
    <row r="1059" spans="1:10" x14ac:dyDescent="0.25">
      <c r="A1059">
        <v>10704646</v>
      </c>
      <c r="B1059" s="1">
        <v>45639.320891203701</v>
      </c>
      <c r="C1059" t="s">
        <v>0</v>
      </c>
      <c r="D1059" t="str">
        <f>VLOOKUP(A1059,MERCADO!A:B,2,0)</f>
        <v>Imobiliaria/Incorporadora/Construtora</v>
      </c>
      <c r="E1059" t="str">
        <f>_xlfn.XLOOKUP(A1059, ORIGEM!A:A, ORIGEM!B:B)</f>
        <v>rep</v>
      </c>
      <c r="F1059" t="str">
        <f>_xlfn.XLOOKUP(A1059, ORIGEM!A:A, ORIGEM!C:C)</f>
        <v>rep - juliana-gomes</v>
      </c>
      <c r="G1059" t="str">
        <f>_xlfn.XLOOKUP(A1059, LOCAL!A:A, LOCAL!B:B)</f>
        <v>Baia Formosa - RN</v>
      </c>
      <c r="H1059" t="str">
        <f>_xlfn.XLOOKUP(A1059, PORTE!A:A, PORTE!B:B)</f>
        <v>11-50</v>
      </c>
      <c r="I1059" t="str">
        <f>_xlfn.XLOOKUP(A1059, OBJETIVO!A:A, OBJETIVO!B:B)</f>
        <v>Geração de leads b2b</v>
      </c>
      <c r="J1059">
        <f t="shared" si="16"/>
        <v>0</v>
      </c>
    </row>
    <row r="1060" spans="1:10" x14ac:dyDescent="0.25">
      <c r="A1060">
        <v>11663060</v>
      </c>
      <c r="B1060" s="1">
        <v>45732.723599537036</v>
      </c>
      <c r="C1060" t="s">
        <v>0</v>
      </c>
      <c r="D1060" t="str">
        <f>VLOOKUP(A1060,MERCADO!A:B,2,0)</f>
        <v>Imobiliaria/Incorporadora/Construtora</v>
      </c>
      <c r="E1060" t="str">
        <f>_xlfn.XLOOKUP(A1060, ORIGEM!A:A, ORIGEM!B:B)</f>
        <v>Google</v>
      </c>
      <c r="F1060" t="str">
        <f>_xlfn.XLOOKUP(A1060, ORIGEM!A:A, ORIGEM!C:C)</f>
        <v>google - cpc</v>
      </c>
      <c r="G1060" t="str">
        <f>_xlfn.XLOOKUP(A1060, LOCAL!A:A, LOCAL!B:B)</f>
        <v>Florianópolis - SC</v>
      </c>
      <c r="H1060" t="str">
        <f>_xlfn.XLOOKUP(A1060, PORTE!A:A, PORTE!B:B)</f>
        <v>1-10</v>
      </c>
      <c r="I1060" t="str">
        <f>_xlfn.XLOOKUP(A1060, OBJETIVO!A:A, OBJETIVO!B:B)</f>
        <v>Ações de marketing/vendas</v>
      </c>
      <c r="J1060">
        <f t="shared" si="16"/>
        <v>0</v>
      </c>
    </row>
    <row r="1061" spans="1:10" x14ac:dyDescent="0.25">
      <c r="A1061">
        <v>11048284</v>
      </c>
      <c r="B1061" s="1">
        <v>45676.815405092595</v>
      </c>
      <c r="C1061" t="s">
        <v>0</v>
      </c>
      <c r="D1061" t="str">
        <f>VLOOKUP(A1061,MERCADO!A:B,2,0)</f>
        <v>Imobiliaria/Incorporadora/Construtora</v>
      </c>
      <c r="E1061" t="str">
        <f>_xlfn.XLOOKUP(A1061, ORIGEM!A:A, ORIGEM!B:B)</f>
        <v>Google</v>
      </c>
      <c r="F1061" t="str">
        <f>_xlfn.XLOOKUP(A1061, ORIGEM!A:A, ORIGEM!C:C)</f>
        <v>google - cpc</v>
      </c>
      <c r="G1061" t="str">
        <f>_xlfn.XLOOKUP(A1061, LOCAL!A:A, LOCAL!B:B)</f>
        <v>Gurupi - TO</v>
      </c>
      <c r="H1061" t="str">
        <f>_xlfn.XLOOKUP(A1061, PORTE!A:A, PORTE!B:B)</f>
        <v>0</v>
      </c>
      <c r="I1061" t="str">
        <f>_xlfn.XLOOKUP(A1061, OBJETIVO!A:A, OBJETIVO!B:B)</f>
        <v>Ações de marketing/vendas</v>
      </c>
      <c r="J1061">
        <f t="shared" si="16"/>
        <v>0</v>
      </c>
    </row>
    <row r="1062" spans="1:10" x14ac:dyDescent="0.25">
      <c r="A1062">
        <v>10814399</v>
      </c>
      <c r="B1062" s="1">
        <v>45650.859907407408</v>
      </c>
      <c r="C1062" t="s">
        <v>0</v>
      </c>
      <c r="D1062" t="str">
        <f>VLOOKUP(A1062,MERCADO!A:B,2,0)</f>
        <v>Imobiliaria/Incorporadora/Construtora</v>
      </c>
      <c r="E1062" t="str">
        <f>_xlfn.XLOOKUP(A1062, ORIGEM!A:A, ORIGEM!B:B)</f>
        <v>Google</v>
      </c>
      <c r="F1062" t="str">
        <f>_xlfn.XLOOKUP(A1062, ORIGEM!A:A, ORIGEM!C:C)</f>
        <v>google - cpc</v>
      </c>
      <c r="G1062" t="str">
        <f>_xlfn.XLOOKUP(A1062, LOCAL!A:A, LOCAL!B:B)</f>
        <v>Salto de Pirapora - SP</v>
      </c>
      <c r="H1062" t="str">
        <f>_xlfn.XLOOKUP(A1062, PORTE!A:A, PORTE!B:B)</f>
        <v>1-10</v>
      </c>
      <c r="I1062" t="str">
        <f>_xlfn.XLOOKUP(A1062, OBJETIVO!A:A, OBJETIVO!B:B)</f>
        <v>Abertura/Expansão</v>
      </c>
      <c r="J1062">
        <f t="shared" si="16"/>
        <v>0</v>
      </c>
    </row>
    <row r="1063" spans="1:10" x14ac:dyDescent="0.25">
      <c r="A1063">
        <v>10825536</v>
      </c>
      <c r="B1063" s="1">
        <v>45654.705474537041</v>
      </c>
      <c r="C1063" t="s">
        <v>0</v>
      </c>
      <c r="D1063" t="str">
        <f>VLOOKUP(A1063,MERCADO!A:B,2,0)</f>
        <v>Imobiliaria/Incorporadora/Construtora</v>
      </c>
      <c r="E1063" t="str">
        <f>_xlfn.XLOOKUP(A1063, ORIGEM!A:A, ORIGEM!B:B)</f>
        <v>Google</v>
      </c>
      <c r="F1063" t="str">
        <f>_xlfn.XLOOKUP(A1063, ORIGEM!A:A, ORIGEM!C:C)</f>
        <v>google - cpc</v>
      </c>
      <c r="G1063" t="str">
        <f>_xlfn.XLOOKUP(A1063, LOCAL!A:A, LOCAL!B:B)</f>
        <v>São Paulo - SP</v>
      </c>
      <c r="H1063" t="str">
        <f>_xlfn.XLOOKUP(A1063, PORTE!A:A, PORTE!B:B)</f>
        <v>0</v>
      </c>
      <c r="I1063" t="str">
        <f>_xlfn.XLOOKUP(A1063, OBJETIVO!A:A, OBJETIVO!B:B)</f>
        <v>Outro</v>
      </c>
      <c r="J1063">
        <f t="shared" si="16"/>
        <v>0</v>
      </c>
    </row>
    <row r="1064" spans="1:10" x14ac:dyDescent="0.25">
      <c r="A1064">
        <v>10737786</v>
      </c>
      <c r="B1064" s="1">
        <v>45642.06486111111</v>
      </c>
      <c r="C1064" t="s">
        <v>0</v>
      </c>
      <c r="D1064" t="str">
        <f>VLOOKUP(A1064,MERCADO!A:B,2,0)</f>
        <v>Imobiliaria/Incorporadora/Construtora</v>
      </c>
      <c r="E1064" t="str">
        <f>_xlfn.XLOOKUP(A1064, ORIGEM!A:A, ORIGEM!B:B)</f>
        <v>Google</v>
      </c>
      <c r="F1064" t="str">
        <f>_xlfn.XLOOKUP(A1064, ORIGEM!A:A, ORIGEM!C:C)</f>
        <v>google - cpc</v>
      </c>
      <c r="G1064" t="str">
        <f>_xlfn.XLOOKUP(A1064, LOCAL!A:A, LOCAL!B:B)</f>
        <v>São Paulo - SP</v>
      </c>
      <c r="H1064" t="str">
        <f>_xlfn.XLOOKUP(A1064, PORTE!A:A, PORTE!B:B)</f>
        <v>11-50</v>
      </c>
      <c r="I1064" t="str">
        <f>_xlfn.XLOOKUP(A1064, OBJETIVO!A:A, OBJETIVO!B:B)</f>
        <v>Planejamento estratégico</v>
      </c>
      <c r="J1064">
        <f t="shared" si="16"/>
        <v>0</v>
      </c>
    </row>
    <row r="1065" spans="1:10" x14ac:dyDescent="0.25">
      <c r="A1065">
        <v>10760531</v>
      </c>
      <c r="B1065" s="1">
        <v>45643.621990740743</v>
      </c>
      <c r="C1065" t="s">
        <v>0</v>
      </c>
      <c r="D1065" t="str">
        <f>VLOOKUP(A1065,MERCADO!A:B,2,0)</f>
        <v>Imobiliaria/Incorporadora/Construtora</v>
      </c>
      <c r="E1065" t="str">
        <f>_xlfn.XLOOKUP(A1065, ORIGEM!A:A, ORIGEM!B:B)</f>
        <v>Google</v>
      </c>
      <c r="F1065" t="str">
        <f>_xlfn.XLOOKUP(A1065, ORIGEM!A:A, ORIGEM!C:C)</f>
        <v>google - cpc</v>
      </c>
      <c r="G1065" t="str">
        <f>_xlfn.XLOOKUP(A1065, LOCAL!A:A, LOCAL!B:B)</f>
        <v>Brasília - DF</v>
      </c>
      <c r="H1065" t="str">
        <f>_xlfn.XLOOKUP(A1065, PORTE!A:A, PORTE!B:B)</f>
        <v>51-300</v>
      </c>
      <c r="I1065" t="str">
        <f>_xlfn.XLOOKUP(A1065, OBJETIVO!A:A, OBJETIVO!B:B)</f>
        <v>Abertura/Expansão</v>
      </c>
      <c r="J1065">
        <f t="shared" si="16"/>
        <v>0</v>
      </c>
    </row>
    <row r="1066" spans="1:10" x14ac:dyDescent="0.25">
      <c r="A1066">
        <v>11346460</v>
      </c>
      <c r="B1066" s="1">
        <v>45702.332291666666</v>
      </c>
      <c r="C1066" t="s">
        <v>0</v>
      </c>
      <c r="D1066" t="str">
        <f>VLOOKUP(A1066,MERCADO!A:B,2,0)</f>
        <v>Imobiliaria/Incorporadora/Construtora</v>
      </c>
      <c r="E1066" t="str">
        <f>_xlfn.XLOOKUP(A1066, ORIGEM!A:A, ORIGEM!B:B)</f>
        <v>Google</v>
      </c>
      <c r="F1066" t="str">
        <f>_xlfn.XLOOKUP(A1066, ORIGEM!A:A, ORIGEM!C:C)</f>
        <v>google - cpc</v>
      </c>
      <c r="G1066" t="str">
        <f>_xlfn.XLOOKUP(A1066, LOCAL!A:A, LOCAL!B:B)</f>
        <v>Natal - RN</v>
      </c>
      <c r="H1066" t="str">
        <f>_xlfn.XLOOKUP(A1066, PORTE!A:A, PORTE!B:B)</f>
        <v>0</v>
      </c>
      <c r="I1066" t="str">
        <f>_xlfn.XLOOKUP(A1066, OBJETIVO!A:A, OBJETIVO!B:B)</f>
        <v>Abertura/Expansão</v>
      </c>
      <c r="J1066">
        <f t="shared" si="16"/>
        <v>0</v>
      </c>
    </row>
    <row r="1067" spans="1:10" x14ac:dyDescent="0.25">
      <c r="A1067">
        <v>11607950</v>
      </c>
      <c r="B1067" s="1">
        <v>45727.327280092592</v>
      </c>
      <c r="C1067" t="s">
        <v>0</v>
      </c>
      <c r="D1067" t="str">
        <f>VLOOKUP(A1067,MERCADO!A:B,2,0)</f>
        <v>Imobiliaria/Incorporadora/Construtora</v>
      </c>
      <c r="E1067" t="str">
        <f>_xlfn.XLOOKUP(A1067, ORIGEM!A:A, ORIGEM!B:B)</f>
        <v>Facebook</v>
      </c>
      <c r="F1067" t="str">
        <f>_xlfn.XLOOKUP(A1067, ORIGEM!A:A, ORIGEM!C:C)</f>
        <v>facebook - cpc</v>
      </c>
      <c r="G1067" t="str">
        <f>_xlfn.XLOOKUP(A1067, LOCAL!A:A, LOCAL!B:B)</f>
        <v>Joinville - SC</v>
      </c>
      <c r="H1067" t="str">
        <f>_xlfn.XLOOKUP(A1067, PORTE!A:A, PORTE!B:B)</f>
        <v>0</v>
      </c>
      <c r="I1067" t="str">
        <f>_xlfn.XLOOKUP(A1067, OBJETIVO!A:A, OBJETIVO!B:B)</f>
        <v>Geração de leads b2b</v>
      </c>
      <c r="J1067">
        <f t="shared" si="16"/>
        <v>0</v>
      </c>
    </row>
    <row r="1068" spans="1:10" x14ac:dyDescent="0.25">
      <c r="A1068">
        <v>11607171</v>
      </c>
      <c r="B1068" s="1">
        <v>45726.934108796297</v>
      </c>
      <c r="C1068" t="s">
        <v>0</v>
      </c>
      <c r="D1068" t="str">
        <f>VLOOKUP(A1068,MERCADO!A:B,2,0)</f>
        <v>Imobiliaria/Incorporadora/Construtora</v>
      </c>
      <c r="E1068" t="str">
        <f>_xlfn.XLOOKUP(A1068, ORIGEM!A:A, ORIGEM!B:B)</f>
        <v>Facebook</v>
      </c>
      <c r="F1068" t="str">
        <f>_xlfn.XLOOKUP(A1068, ORIGEM!A:A, ORIGEM!C:C)</f>
        <v>facebook - cpc</v>
      </c>
      <c r="G1068" t="str">
        <f>_xlfn.XLOOKUP(A1068, LOCAL!A:A, LOCAL!B:B)</f>
        <v>Itajaí - SC</v>
      </c>
      <c r="H1068" t="str">
        <f>_xlfn.XLOOKUP(A1068, PORTE!A:A, PORTE!B:B)</f>
        <v>51-300</v>
      </c>
      <c r="I1068" t="str">
        <f>_xlfn.XLOOKUP(A1068, OBJETIVO!A:A, OBJETIVO!B:B)</f>
        <v>Outro</v>
      </c>
      <c r="J1068">
        <f t="shared" si="16"/>
        <v>0</v>
      </c>
    </row>
    <row r="1069" spans="1:10" x14ac:dyDescent="0.25">
      <c r="A1069">
        <v>11543099</v>
      </c>
      <c r="B1069" s="1">
        <v>45720.834166666667</v>
      </c>
      <c r="C1069" t="s">
        <v>0</v>
      </c>
      <c r="D1069" t="str">
        <f>VLOOKUP(A1069,MERCADO!A:B,2,0)</f>
        <v>Imobiliaria/Incorporadora/Construtora</v>
      </c>
      <c r="E1069" t="str">
        <f>_xlfn.XLOOKUP(A1069, ORIGEM!A:A, ORIGEM!B:B)</f>
        <v>Facebook</v>
      </c>
      <c r="F1069" t="str">
        <f>_xlfn.XLOOKUP(A1069, ORIGEM!A:A, ORIGEM!C:C)</f>
        <v>facebook - cpc</v>
      </c>
      <c r="G1069" t="str">
        <f>_xlfn.XLOOKUP(A1069, LOCAL!A:A, LOCAL!B:B)</f>
        <v>Caragua - SP</v>
      </c>
      <c r="H1069" t="str">
        <f>_xlfn.XLOOKUP(A1069, PORTE!A:A, PORTE!B:B)</f>
        <v>11-50</v>
      </c>
      <c r="I1069" t="str">
        <f>_xlfn.XLOOKUP(A1069, OBJETIVO!A:A, OBJETIVO!B:B)</f>
        <v>Ações de marketing/vendas</v>
      </c>
      <c r="J1069">
        <f t="shared" si="16"/>
        <v>0</v>
      </c>
    </row>
    <row r="1070" spans="1:10" x14ac:dyDescent="0.25">
      <c r="A1070">
        <v>11543202</v>
      </c>
      <c r="B1070" s="1">
        <v>45720.871307870373</v>
      </c>
      <c r="C1070" t="s">
        <v>0</v>
      </c>
      <c r="D1070" t="str">
        <f>VLOOKUP(A1070,MERCADO!A:B,2,0)</f>
        <v>Imobiliaria/Incorporadora/Construtora</v>
      </c>
      <c r="E1070" t="str">
        <f>_xlfn.XLOOKUP(A1070, ORIGEM!A:A, ORIGEM!B:B)</f>
        <v>Facebook</v>
      </c>
      <c r="F1070" t="str">
        <f>_xlfn.XLOOKUP(A1070, ORIGEM!A:A, ORIGEM!C:C)</f>
        <v>facebook - cpc</v>
      </c>
      <c r="G1070" t="str">
        <f>_xlfn.XLOOKUP(A1070, LOCAL!A:A, LOCAL!B:B)</f>
        <v>Salto - SP</v>
      </c>
      <c r="H1070" t="str">
        <f>_xlfn.XLOOKUP(A1070, PORTE!A:A, PORTE!B:B)</f>
        <v>1-10</v>
      </c>
      <c r="I1070" t="str">
        <f>_xlfn.XLOOKUP(A1070, OBJETIVO!A:A, OBJETIVO!B:B)</f>
        <v>Ações de marketing/vendas</v>
      </c>
      <c r="J1070">
        <f t="shared" si="16"/>
        <v>0</v>
      </c>
    </row>
    <row r="1071" spans="1:10" x14ac:dyDescent="0.25">
      <c r="A1071">
        <v>11543494</v>
      </c>
      <c r="B1071" s="1">
        <v>45720.92765046296</v>
      </c>
      <c r="C1071" t="s">
        <v>0</v>
      </c>
      <c r="D1071" t="str">
        <f>VLOOKUP(A1071,MERCADO!A:B,2,0)</f>
        <v>Imobiliaria/Incorporadora/Construtora</v>
      </c>
      <c r="E1071" t="str">
        <f>_xlfn.XLOOKUP(A1071, ORIGEM!A:A, ORIGEM!B:B)</f>
        <v>Facebook</v>
      </c>
      <c r="F1071" t="str">
        <f>_xlfn.XLOOKUP(A1071, ORIGEM!A:A, ORIGEM!C:C)</f>
        <v>facebook - cpc</v>
      </c>
      <c r="G1071" t="str">
        <f>_xlfn.XLOOKUP(A1071, LOCAL!A:A, LOCAL!B:B)</f>
        <v>Caxias do Sul - RS</v>
      </c>
      <c r="H1071" t="str">
        <f>_xlfn.XLOOKUP(A1071, PORTE!A:A, PORTE!B:B)</f>
        <v>0</v>
      </c>
      <c r="I1071" t="str">
        <f>_xlfn.XLOOKUP(A1071, OBJETIVO!A:A, OBJETIVO!B:B)</f>
        <v>Geração de leads b2b</v>
      </c>
      <c r="J1071">
        <f t="shared" si="16"/>
        <v>0</v>
      </c>
    </row>
    <row r="1072" spans="1:10" x14ac:dyDescent="0.25">
      <c r="A1072">
        <v>11543421</v>
      </c>
      <c r="B1072" s="1">
        <v>45720.907719907409</v>
      </c>
      <c r="C1072" t="s">
        <v>0</v>
      </c>
      <c r="D1072" t="str">
        <f>VLOOKUP(A1072,MERCADO!A:B,2,0)</f>
        <v>Imobiliaria/Incorporadora/Construtora</v>
      </c>
      <c r="E1072" t="str">
        <f>_xlfn.XLOOKUP(A1072, ORIGEM!A:A, ORIGEM!B:B)</f>
        <v>Facebook</v>
      </c>
      <c r="F1072" t="str">
        <f>_xlfn.XLOOKUP(A1072, ORIGEM!A:A, ORIGEM!C:C)</f>
        <v>facebook - cpc</v>
      </c>
      <c r="G1072" t="str">
        <f>_xlfn.XLOOKUP(A1072, LOCAL!A:A, LOCAL!B:B)</f>
        <v>Nossa Senhora do Socorro - SE</v>
      </c>
      <c r="H1072" t="str">
        <f>_xlfn.XLOOKUP(A1072, PORTE!A:A, PORTE!B:B)</f>
        <v>0</v>
      </c>
      <c r="I1072" t="str">
        <f>_xlfn.XLOOKUP(A1072, OBJETIVO!A:A, OBJETIVO!B:B)</f>
        <v>Geração de leads b2b</v>
      </c>
      <c r="J1072">
        <f t="shared" si="16"/>
        <v>0</v>
      </c>
    </row>
    <row r="1073" spans="1:10" x14ac:dyDescent="0.25">
      <c r="A1073">
        <v>11886550</v>
      </c>
      <c r="B1073" s="1">
        <v>45753.653715277775</v>
      </c>
      <c r="C1073" t="s">
        <v>0</v>
      </c>
      <c r="D1073" t="str">
        <f>VLOOKUP(A1073,MERCADO!A:B,2,0)</f>
        <v>Imobiliaria/Incorporadora/Construtora</v>
      </c>
      <c r="E1073" t="str">
        <f>_xlfn.XLOOKUP(A1073, ORIGEM!A:A, ORIGEM!B:B)</f>
        <v>email</v>
      </c>
      <c r="F1073">
        <f>_xlfn.XLOOKUP(A1073, ORIGEM!A:A, ORIGEM!C:C)</f>
        <v>0</v>
      </c>
      <c r="G1073" t="str">
        <f>_xlfn.XLOOKUP(A1073, LOCAL!A:A, LOCAL!B:B)</f>
        <v>Pr</v>
      </c>
      <c r="H1073" t="str">
        <f>_xlfn.XLOOKUP(A1073, PORTE!A:A, PORTE!B:B)</f>
        <v>51-300</v>
      </c>
      <c r="I1073" t="str">
        <f>_xlfn.XLOOKUP(A1073, OBJETIVO!A:A, OBJETIVO!B:B)</f>
        <v>Consultoria</v>
      </c>
      <c r="J1073">
        <f t="shared" si="16"/>
        <v>0</v>
      </c>
    </row>
    <row r="1074" spans="1:10" x14ac:dyDescent="0.25">
      <c r="A1074">
        <v>11369194</v>
      </c>
      <c r="B1074" s="1">
        <v>45704.70890046296</v>
      </c>
      <c r="C1074" t="s">
        <v>0</v>
      </c>
      <c r="D1074" t="str">
        <f>VLOOKUP(A1074,MERCADO!A:B,2,0)</f>
        <v>Imobiliaria/Incorporadora/Construtora</v>
      </c>
      <c r="E1074" t="str">
        <f>_xlfn.XLOOKUP(A1074, ORIGEM!A:A, ORIGEM!B:B)</f>
        <v>Instagram</v>
      </c>
      <c r="F1074" t="str">
        <f>_xlfn.XLOOKUP(A1074, ORIGEM!A:A, ORIGEM!C:C)</f>
        <v>instagram - social</v>
      </c>
      <c r="G1074" t="str">
        <f>_xlfn.XLOOKUP(A1074, LOCAL!A:A, LOCAL!B:B)</f>
        <v>Hidrolandia - GO</v>
      </c>
      <c r="H1074" t="str">
        <f>_xlfn.XLOOKUP(A1074, PORTE!A:A, PORTE!B:B)</f>
        <v>0</v>
      </c>
      <c r="I1074" t="str">
        <f>_xlfn.XLOOKUP(A1074, OBJETIVO!A:A, OBJETIVO!B:B)</f>
        <v>Ações de marketing/vendas</v>
      </c>
      <c r="J1074">
        <f t="shared" si="16"/>
        <v>0</v>
      </c>
    </row>
    <row r="1075" spans="1:10" x14ac:dyDescent="0.25">
      <c r="A1075">
        <v>11559466</v>
      </c>
      <c r="B1075" s="1">
        <v>45722.764340277776</v>
      </c>
      <c r="C1075" t="s">
        <v>0</v>
      </c>
      <c r="D1075" t="str">
        <f>VLOOKUP(A1075,MERCADO!A:B,2,0)</f>
        <v>Imobiliaria/Incorporadora/Construtora</v>
      </c>
      <c r="E1075" t="str">
        <f>_xlfn.XLOOKUP(A1075, ORIGEM!A:A, ORIGEM!B:B)</f>
        <v>Instagram</v>
      </c>
      <c r="F1075" t="str">
        <f>_xlfn.XLOOKUP(A1075, ORIGEM!A:A, ORIGEM!C:C)</f>
        <v>instagram - social</v>
      </c>
      <c r="G1075" t="str">
        <f>_xlfn.XLOOKUP(A1075, LOCAL!A:A, LOCAL!B:B)</f>
        <v>Teresina - PI</v>
      </c>
      <c r="H1075" t="str">
        <f>_xlfn.XLOOKUP(A1075, PORTE!A:A, PORTE!B:B)</f>
        <v>1-10</v>
      </c>
      <c r="I1075" t="str">
        <f>_xlfn.XLOOKUP(A1075, OBJETIVO!A:A, OBJETIVO!B:B)</f>
        <v>Ações de marketing/vendas</v>
      </c>
      <c r="J1075">
        <f t="shared" si="16"/>
        <v>0</v>
      </c>
    </row>
    <row r="1076" spans="1:10" x14ac:dyDescent="0.25">
      <c r="A1076">
        <v>11419700</v>
      </c>
      <c r="B1076" s="1">
        <v>45710.527870370373</v>
      </c>
      <c r="C1076" t="s">
        <v>0</v>
      </c>
      <c r="D1076" t="str">
        <f>VLOOKUP(A1076,MERCADO!A:B,2,0)</f>
        <v>Imobiliaria/Incorporadora/Construtora</v>
      </c>
      <c r="E1076" t="str">
        <f>_xlfn.XLOOKUP(A1076, ORIGEM!A:A, ORIGEM!B:B)</f>
        <v>Instagram</v>
      </c>
      <c r="F1076" t="str">
        <f>_xlfn.XLOOKUP(A1076, ORIGEM!A:A, ORIGEM!C:C)</f>
        <v>instagram - social</v>
      </c>
      <c r="G1076" t="str">
        <f>_xlfn.XLOOKUP(A1076, LOCAL!A:A, LOCAL!B:B)</f>
        <v>Barbalha - CE</v>
      </c>
      <c r="H1076" t="str">
        <f>_xlfn.XLOOKUP(A1076, PORTE!A:A, PORTE!B:B)</f>
        <v>1-10</v>
      </c>
      <c r="I1076" t="str">
        <f>_xlfn.XLOOKUP(A1076, OBJETIVO!A:A, OBJETIVO!B:B)</f>
        <v>Abertura/Expansão</v>
      </c>
      <c r="J1076">
        <f t="shared" si="16"/>
        <v>0</v>
      </c>
    </row>
    <row r="1077" spans="1:10" x14ac:dyDescent="0.25">
      <c r="A1077">
        <v>11598318</v>
      </c>
      <c r="B1077" s="1">
        <v>45726.453541666669</v>
      </c>
      <c r="C1077" t="s">
        <v>0</v>
      </c>
      <c r="D1077" t="str">
        <f>VLOOKUP(A1077,MERCADO!A:B,2,0)</f>
        <v>Imobiliaria/Incorporadora/Construtora</v>
      </c>
      <c r="E1077" t="str">
        <f>_xlfn.XLOOKUP(A1077, ORIGEM!A:A, ORIGEM!B:B)</f>
        <v>Instagram</v>
      </c>
      <c r="F1077" t="str">
        <f>_xlfn.XLOOKUP(A1077, ORIGEM!A:A, ORIGEM!C:C)</f>
        <v>instagram - social</v>
      </c>
      <c r="G1077" t="str">
        <f>_xlfn.XLOOKUP(A1077, LOCAL!A:A, LOCAL!B:B)</f>
        <v>Rio de Janeiro - RJ</v>
      </c>
      <c r="H1077" t="str">
        <f>_xlfn.XLOOKUP(A1077, PORTE!A:A, PORTE!B:B)</f>
        <v>0</v>
      </c>
      <c r="I1077" t="str">
        <f>_xlfn.XLOOKUP(A1077, OBJETIVO!A:A, OBJETIVO!B:B)</f>
        <v>Abertura/Expansão</v>
      </c>
      <c r="J1077">
        <f t="shared" si="16"/>
        <v>0</v>
      </c>
    </row>
    <row r="1078" spans="1:10" x14ac:dyDescent="0.25">
      <c r="A1078">
        <v>11585147</v>
      </c>
      <c r="B1078" s="1">
        <v>45725.555960648147</v>
      </c>
      <c r="C1078" t="s">
        <v>0</v>
      </c>
      <c r="D1078" t="str">
        <f>VLOOKUP(A1078,MERCADO!A:B,2,0)</f>
        <v>Imobiliaria/Incorporadora/Construtora</v>
      </c>
      <c r="E1078" t="str">
        <f>_xlfn.XLOOKUP(A1078, ORIGEM!A:A, ORIGEM!B:B)</f>
        <v>Instagram</v>
      </c>
      <c r="F1078" t="str">
        <f>_xlfn.XLOOKUP(A1078, ORIGEM!A:A, ORIGEM!C:C)</f>
        <v>instagram - social</v>
      </c>
      <c r="G1078" t="str">
        <f>_xlfn.XLOOKUP(A1078, LOCAL!A:A, LOCAL!B:B)</f>
        <v>São Paulo - SP</v>
      </c>
      <c r="H1078" t="str">
        <f>_xlfn.XLOOKUP(A1078, PORTE!A:A, PORTE!B:B)</f>
        <v>1-10</v>
      </c>
      <c r="I1078" t="str">
        <f>_xlfn.XLOOKUP(A1078, OBJETIVO!A:A, OBJETIVO!B:B)</f>
        <v>Ações de marketing/vendas</v>
      </c>
      <c r="J1078">
        <f t="shared" si="16"/>
        <v>0</v>
      </c>
    </row>
    <row r="1079" spans="1:10" x14ac:dyDescent="0.25">
      <c r="A1079">
        <v>11063460</v>
      </c>
      <c r="B1079" s="1">
        <v>45677.768240740741</v>
      </c>
      <c r="C1079" t="s">
        <v>0</v>
      </c>
      <c r="D1079" t="str">
        <f>VLOOKUP(A1079,MERCADO!A:B,2,0)</f>
        <v>Imobiliaria/Incorporadora/Construtora</v>
      </c>
      <c r="E1079" t="str">
        <f>_xlfn.XLOOKUP(A1079, ORIGEM!A:A, ORIGEM!B:B)</f>
        <v>Bing</v>
      </c>
      <c r="F1079" t="str">
        <f>_xlfn.XLOOKUP(A1079, ORIGEM!A:A, ORIGEM!C:C)</f>
        <v>bing - cpc</v>
      </c>
      <c r="G1079" t="str">
        <f>_xlfn.XLOOKUP(A1079, LOCAL!A:A, LOCAL!B:B)</f>
        <v>São Caetano do Sul - SP</v>
      </c>
      <c r="H1079" t="str">
        <f>_xlfn.XLOOKUP(A1079, PORTE!A:A, PORTE!B:B)</f>
        <v>1-10</v>
      </c>
      <c r="I1079" t="str">
        <f>_xlfn.XLOOKUP(A1079, OBJETIVO!A:A, OBJETIVO!B:B)</f>
        <v>Consultoria</v>
      </c>
      <c r="J1079">
        <f t="shared" si="16"/>
        <v>0</v>
      </c>
    </row>
    <row r="1080" spans="1:10" x14ac:dyDescent="0.25">
      <c r="A1080">
        <v>11068571</v>
      </c>
      <c r="B1080" s="1">
        <v>45678.470138888886</v>
      </c>
      <c r="C1080" t="s">
        <v>0</v>
      </c>
      <c r="D1080" t="str">
        <f>VLOOKUP(A1080,MERCADO!A:B,2,0)</f>
        <v>Imobiliaria/Incorporadora/Construtora</v>
      </c>
      <c r="E1080" t="str">
        <f>_xlfn.XLOOKUP(A1080, ORIGEM!A:A, ORIGEM!B:B)</f>
        <v>Bing</v>
      </c>
      <c r="F1080" t="str">
        <f>_xlfn.XLOOKUP(A1080, ORIGEM!A:A, ORIGEM!C:C)</f>
        <v>bing - cpc</v>
      </c>
      <c r="G1080" t="str">
        <f>_xlfn.XLOOKUP(A1080, LOCAL!A:A, LOCAL!B:B)</f>
        <v>Itanhaem - SP</v>
      </c>
      <c r="H1080" t="str">
        <f>_xlfn.XLOOKUP(A1080, PORTE!A:A, PORTE!B:B)</f>
        <v>0</v>
      </c>
      <c r="I1080" t="str">
        <f>_xlfn.XLOOKUP(A1080, OBJETIVO!A:A, OBJETIVO!B:B)</f>
        <v>Abertura/Expansão</v>
      </c>
      <c r="J1080">
        <f t="shared" si="16"/>
        <v>0</v>
      </c>
    </row>
    <row r="1081" spans="1:10" x14ac:dyDescent="0.25">
      <c r="A1081">
        <v>10911551</v>
      </c>
      <c r="B1081" s="1">
        <v>45665.470138888886</v>
      </c>
      <c r="C1081" t="s">
        <v>0</v>
      </c>
      <c r="D1081" t="str">
        <f>VLOOKUP(A1081,MERCADO!A:B,2,0)</f>
        <v>Imobiliaria/Incorporadora/Construtora</v>
      </c>
      <c r="E1081" t="str">
        <f>_xlfn.XLOOKUP(A1081, ORIGEM!A:A, ORIGEM!B:B)</f>
        <v>Bing</v>
      </c>
      <c r="F1081" t="str">
        <f>_xlfn.XLOOKUP(A1081, ORIGEM!A:A, ORIGEM!C:C)</f>
        <v>bing - cpc</v>
      </c>
      <c r="G1081" t="str">
        <f>_xlfn.XLOOKUP(A1081, LOCAL!A:A, LOCAL!B:B)</f>
        <v>São Paulo - SP</v>
      </c>
      <c r="H1081" t="str">
        <f>_xlfn.XLOOKUP(A1081, PORTE!A:A, PORTE!B:B)</f>
        <v>1-10</v>
      </c>
      <c r="I1081" t="str">
        <f>_xlfn.XLOOKUP(A1081, OBJETIVO!A:A, OBJETIVO!B:B)</f>
        <v>Planejamento estratégico</v>
      </c>
      <c r="J1081">
        <f t="shared" si="16"/>
        <v>0</v>
      </c>
    </row>
    <row r="1082" spans="1:10" x14ac:dyDescent="0.25">
      <c r="A1082">
        <v>10703809</v>
      </c>
      <c r="B1082" s="1">
        <v>45638.700462962966</v>
      </c>
      <c r="C1082" t="s">
        <v>0</v>
      </c>
      <c r="D1082" t="str">
        <f>VLOOKUP(A1082,MERCADO!A:B,2,0)</f>
        <v>Imobiliaria/Incorporadora/Construtora</v>
      </c>
      <c r="E1082" t="str">
        <f>_xlfn.XLOOKUP(A1082, ORIGEM!A:A, ORIGEM!B:B)</f>
        <v>Bing</v>
      </c>
      <c r="F1082" t="str">
        <f>_xlfn.XLOOKUP(A1082, ORIGEM!A:A, ORIGEM!C:C)</f>
        <v>bing - cpc</v>
      </c>
      <c r="G1082" t="str">
        <f>_xlfn.XLOOKUP(A1082, LOCAL!A:A, LOCAL!B:B)</f>
        <v>Rio Preto - SP</v>
      </c>
      <c r="H1082" t="str">
        <f>_xlfn.XLOOKUP(A1082, PORTE!A:A, PORTE!B:B)</f>
        <v>0</v>
      </c>
      <c r="I1082" t="str">
        <f>_xlfn.XLOOKUP(A1082, OBJETIVO!A:A, OBJETIVO!B:B)</f>
        <v>Outro</v>
      </c>
      <c r="J1082">
        <f t="shared" si="16"/>
        <v>0</v>
      </c>
    </row>
    <row r="1083" spans="1:10" x14ac:dyDescent="0.25">
      <c r="A1083">
        <v>11386976</v>
      </c>
      <c r="B1083" s="1">
        <v>45706.492592592593</v>
      </c>
      <c r="C1083" t="s">
        <v>0</v>
      </c>
      <c r="D1083" t="str">
        <f>VLOOKUP(A1083,MERCADO!A:B,2,0)</f>
        <v>Imobiliaria/Incorporadora/Construtora</v>
      </c>
      <c r="E1083" t="str">
        <f>_xlfn.XLOOKUP(A1083, ORIGEM!A:A, ORIGEM!B:B)</f>
        <v>Bing</v>
      </c>
      <c r="F1083" t="str">
        <f>_xlfn.XLOOKUP(A1083, ORIGEM!A:A, ORIGEM!C:C)</f>
        <v>bing - cpc</v>
      </c>
      <c r="G1083" t="str">
        <f>_xlfn.XLOOKUP(A1083, LOCAL!A:A, LOCAL!B:B)</f>
        <v>Ribeirão Preto - SP</v>
      </c>
      <c r="H1083" t="str">
        <f>_xlfn.XLOOKUP(A1083, PORTE!A:A, PORTE!B:B)</f>
        <v>1-10</v>
      </c>
      <c r="I1083" t="str">
        <f>_xlfn.XLOOKUP(A1083, OBJETIVO!A:A, OBJETIVO!B:B)</f>
        <v>Outro</v>
      </c>
      <c r="J1083">
        <f t="shared" si="16"/>
        <v>0</v>
      </c>
    </row>
    <row r="1084" spans="1:10" x14ac:dyDescent="0.25">
      <c r="A1084">
        <v>11418511</v>
      </c>
      <c r="B1084" s="1">
        <v>45710.483287037037</v>
      </c>
      <c r="C1084" t="s">
        <v>0</v>
      </c>
      <c r="D1084" t="str">
        <f>VLOOKUP(A1084,MERCADO!A:B,2,0)</f>
        <v>Imobiliaria/Incorporadora/Construtora</v>
      </c>
      <c r="E1084" t="str">
        <f>_xlfn.XLOOKUP(A1084, ORIGEM!A:A, ORIGEM!B:B)</f>
        <v>Google</v>
      </c>
      <c r="F1084" t="str">
        <f>_xlfn.XLOOKUP(A1084, ORIGEM!A:A, ORIGEM!C:C)</f>
        <v>google - cpc</v>
      </c>
      <c r="G1084" t="str">
        <f>_xlfn.XLOOKUP(A1084, LOCAL!A:A, LOCAL!B:B)</f>
        <v>Campinas - SP</v>
      </c>
      <c r="H1084" t="str">
        <f>_xlfn.XLOOKUP(A1084, PORTE!A:A, PORTE!B:B)</f>
        <v>0</v>
      </c>
      <c r="I1084" t="str">
        <f>_xlfn.XLOOKUP(A1084, OBJETIVO!A:A, OBJETIVO!B:B)</f>
        <v>Ações de marketing/vendas</v>
      </c>
      <c r="J1084">
        <f t="shared" si="16"/>
        <v>0</v>
      </c>
    </row>
    <row r="1085" spans="1:10" x14ac:dyDescent="0.25">
      <c r="A1085">
        <v>11419237</v>
      </c>
      <c r="B1085" s="1">
        <v>45710.504710648151</v>
      </c>
      <c r="C1085" t="s">
        <v>0</v>
      </c>
      <c r="D1085" t="str">
        <f>VLOOKUP(A1085,MERCADO!A:B,2,0)</f>
        <v>Imobiliaria/Incorporadora/Construtora</v>
      </c>
      <c r="E1085" t="str">
        <f>_xlfn.XLOOKUP(A1085, ORIGEM!A:A, ORIGEM!B:B)</f>
        <v>Google</v>
      </c>
      <c r="F1085" t="str">
        <f>_xlfn.XLOOKUP(A1085, ORIGEM!A:A, ORIGEM!C:C)</f>
        <v>google - cpc</v>
      </c>
      <c r="G1085" t="str">
        <f>_xlfn.XLOOKUP(A1085, LOCAL!A:A, LOCAL!B:B)</f>
        <v>Belo Horizonte - MG</v>
      </c>
      <c r="H1085" t="str">
        <f>_xlfn.XLOOKUP(A1085, PORTE!A:A, PORTE!B:B)</f>
        <v>51-300</v>
      </c>
      <c r="I1085" t="str">
        <f>_xlfn.XLOOKUP(A1085, OBJETIVO!A:A, OBJETIVO!B:B)</f>
        <v>Consultoria</v>
      </c>
      <c r="J1085">
        <f t="shared" si="16"/>
        <v>0</v>
      </c>
    </row>
    <row r="1086" spans="1:10" x14ac:dyDescent="0.25">
      <c r="A1086">
        <v>11427900</v>
      </c>
      <c r="B1086" s="1">
        <v>45711.36546296296</v>
      </c>
      <c r="C1086" t="s">
        <v>0</v>
      </c>
      <c r="D1086" t="str">
        <f>VLOOKUP(A1086,MERCADO!A:B,2,0)</f>
        <v>Imobiliaria/Incorporadora/Construtora</v>
      </c>
      <c r="E1086" t="str">
        <f>_xlfn.XLOOKUP(A1086, ORIGEM!A:A, ORIGEM!B:B)</f>
        <v>Google</v>
      </c>
      <c r="F1086" t="str">
        <f>_xlfn.XLOOKUP(A1086, ORIGEM!A:A, ORIGEM!C:C)</f>
        <v>google - cpc</v>
      </c>
      <c r="G1086" t="str">
        <f>_xlfn.XLOOKUP(A1086, LOCAL!A:A, LOCAL!B:B)</f>
        <v>Belo Horizonte - MG</v>
      </c>
      <c r="H1086" t="str">
        <f>_xlfn.XLOOKUP(A1086, PORTE!A:A, PORTE!B:B)</f>
        <v>11-50</v>
      </c>
      <c r="I1086" t="str">
        <f>_xlfn.XLOOKUP(A1086, OBJETIVO!A:A, OBJETIVO!B:B)</f>
        <v>Abertura/Expansão</v>
      </c>
      <c r="J1086">
        <f t="shared" si="16"/>
        <v>0</v>
      </c>
    </row>
    <row r="1087" spans="1:10" x14ac:dyDescent="0.25">
      <c r="A1087">
        <v>11374073</v>
      </c>
      <c r="B1087" s="1">
        <v>45705.436493055553</v>
      </c>
      <c r="C1087" t="s">
        <v>0</v>
      </c>
      <c r="D1087" t="str">
        <f>VLOOKUP(A1087,MERCADO!A:B,2,0)</f>
        <v>Imobiliaria/Incorporadora/Construtora</v>
      </c>
      <c r="E1087" t="str">
        <f>_xlfn.XLOOKUP(A1087, ORIGEM!A:A, ORIGEM!B:B)</f>
        <v>Google</v>
      </c>
      <c r="F1087" t="str">
        <f>_xlfn.XLOOKUP(A1087, ORIGEM!A:A, ORIGEM!C:C)</f>
        <v>google - cpc</v>
      </c>
      <c r="G1087" t="str">
        <f>_xlfn.XLOOKUP(A1087, LOCAL!A:A, LOCAL!B:B)</f>
        <v>Brasília - DF</v>
      </c>
      <c r="H1087" t="str">
        <f>_xlfn.XLOOKUP(A1087, PORTE!A:A, PORTE!B:B)</f>
        <v>1-10</v>
      </c>
      <c r="I1087" t="str">
        <f>_xlfn.XLOOKUP(A1087, OBJETIVO!A:A, OBJETIVO!B:B)</f>
        <v>Planejamento estratégico</v>
      </c>
      <c r="J1087">
        <f t="shared" si="16"/>
        <v>0</v>
      </c>
    </row>
    <row r="1088" spans="1:10" x14ac:dyDescent="0.25">
      <c r="A1088">
        <v>11814984</v>
      </c>
      <c r="B1088" s="1">
        <v>45745.862187500003</v>
      </c>
      <c r="C1088" t="s">
        <v>0</v>
      </c>
      <c r="D1088" t="str">
        <f>VLOOKUP(A1088,MERCADO!A:B,2,0)</f>
        <v>Imobiliaria/Incorporadora/Construtora</v>
      </c>
      <c r="E1088" t="str">
        <f>_xlfn.XLOOKUP(A1088, ORIGEM!A:A, ORIGEM!B:B)</f>
        <v>Linkedin</v>
      </c>
      <c r="F1088" t="str">
        <f>_xlfn.XLOOKUP(A1088, ORIGEM!A:A, ORIGEM!C:C)</f>
        <v>linkedin - social</v>
      </c>
      <c r="G1088" t="str">
        <f>_xlfn.XLOOKUP(A1088, LOCAL!A:A, LOCAL!B:B)</f>
        <v>São Paulo - SP</v>
      </c>
      <c r="H1088" t="str">
        <f>_xlfn.XLOOKUP(A1088, PORTE!A:A, PORTE!B:B)</f>
        <v>11-50</v>
      </c>
      <c r="I1088" t="str">
        <f>_xlfn.XLOOKUP(A1088, OBJETIVO!A:A, OBJETIVO!B:B)</f>
        <v>Ações de marketing/vendas</v>
      </c>
      <c r="J1088">
        <f t="shared" si="16"/>
        <v>0</v>
      </c>
    </row>
    <row r="1089" spans="1:10" x14ac:dyDescent="0.25">
      <c r="A1089">
        <v>11451801</v>
      </c>
      <c r="B1089" s="1">
        <v>45712.726655092592</v>
      </c>
      <c r="C1089" t="s">
        <v>0</v>
      </c>
      <c r="D1089" t="str">
        <f>VLOOKUP(A1089,MERCADO!A:B,2,0)</f>
        <v>Imobiliaria/Incorporadora/Construtora</v>
      </c>
      <c r="E1089" t="str">
        <f>_xlfn.XLOOKUP(A1089, ORIGEM!A:A, ORIGEM!B:B)</f>
        <v>Google</v>
      </c>
      <c r="F1089" t="str">
        <f>_xlfn.XLOOKUP(A1089, ORIGEM!A:A, ORIGEM!C:C)</f>
        <v>google - cpc</v>
      </c>
      <c r="G1089" t="str">
        <f>_xlfn.XLOOKUP(A1089, LOCAL!A:A, LOCAL!B:B)</f>
        <v>Florianópolis - SC</v>
      </c>
      <c r="H1089" t="str">
        <f>_xlfn.XLOOKUP(A1089, PORTE!A:A, PORTE!B:B)</f>
        <v>0</v>
      </c>
      <c r="I1089" t="str">
        <f>_xlfn.XLOOKUP(A1089, OBJETIVO!A:A, OBJETIVO!B:B)</f>
        <v>Abertura/Expansão</v>
      </c>
      <c r="J1089">
        <f t="shared" si="16"/>
        <v>0</v>
      </c>
    </row>
    <row r="1090" spans="1:10" x14ac:dyDescent="0.25">
      <c r="A1090">
        <v>11462993</v>
      </c>
      <c r="B1090" s="1">
        <v>45713.657013888886</v>
      </c>
      <c r="C1090" t="s">
        <v>0</v>
      </c>
      <c r="D1090" t="str">
        <f>VLOOKUP(A1090,MERCADO!A:B,2,0)</f>
        <v>Imobiliaria/Incorporadora/Construtora</v>
      </c>
      <c r="E1090" t="str">
        <f>_xlfn.XLOOKUP(A1090, ORIGEM!A:A, ORIGEM!B:B)</f>
        <v>Google</v>
      </c>
      <c r="F1090" t="str">
        <f>_xlfn.XLOOKUP(A1090, ORIGEM!A:A, ORIGEM!C:C)</f>
        <v>google - cpc</v>
      </c>
      <c r="G1090" t="str">
        <f>_xlfn.XLOOKUP(A1090, LOCAL!A:A, LOCAL!B:B)</f>
        <v>Brasília - DF</v>
      </c>
      <c r="H1090" t="str">
        <f>_xlfn.XLOOKUP(A1090, PORTE!A:A, PORTE!B:B)</f>
        <v>0</v>
      </c>
      <c r="I1090" t="str">
        <f>_xlfn.XLOOKUP(A1090, OBJETIVO!A:A, OBJETIVO!B:B)</f>
        <v>Abertura/Expansão</v>
      </c>
      <c r="J1090">
        <f t="shared" si="16"/>
        <v>0</v>
      </c>
    </row>
    <row r="1091" spans="1:10" x14ac:dyDescent="0.25">
      <c r="A1091">
        <v>11332040</v>
      </c>
      <c r="B1091" s="1">
        <v>45700.249444444446</v>
      </c>
      <c r="C1091" t="s">
        <v>0</v>
      </c>
      <c r="D1091" t="str">
        <f>VLOOKUP(A1091,MERCADO!A:B,2,0)</f>
        <v>Imobiliaria/Incorporadora/Construtora</v>
      </c>
      <c r="E1091" t="str">
        <f>_xlfn.XLOOKUP(A1091, ORIGEM!A:A, ORIGEM!B:B)</f>
        <v>Facebook</v>
      </c>
      <c r="F1091" t="str">
        <f>_xlfn.XLOOKUP(A1091, ORIGEM!A:A, ORIGEM!C:C)</f>
        <v>facebook - cpc</v>
      </c>
      <c r="G1091" t="str">
        <f>_xlfn.XLOOKUP(A1091, LOCAL!A:A, LOCAL!B:B)</f>
        <v>São Paulo - SP</v>
      </c>
      <c r="H1091" t="str">
        <f>_xlfn.XLOOKUP(A1091, PORTE!A:A, PORTE!B:B)</f>
        <v>1-10</v>
      </c>
      <c r="I1091" t="str">
        <f>_xlfn.XLOOKUP(A1091, OBJETIVO!A:A, OBJETIVO!B:B)</f>
        <v>Geração de leads b2b</v>
      </c>
      <c r="J1091">
        <f t="shared" ref="J1091:J1154" si="17">IF(C1091="SIM",1,0)</f>
        <v>0</v>
      </c>
    </row>
    <row r="1092" spans="1:10" x14ac:dyDescent="0.25">
      <c r="A1092">
        <v>11346358</v>
      </c>
      <c r="B1092" s="1">
        <v>45702.235462962963</v>
      </c>
      <c r="C1092" t="s">
        <v>0</v>
      </c>
      <c r="D1092" t="str">
        <f>VLOOKUP(A1092,MERCADO!A:B,2,0)</f>
        <v>Imobiliaria/Incorporadora/Construtora</v>
      </c>
      <c r="E1092" t="str">
        <f>_xlfn.XLOOKUP(A1092, ORIGEM!A:A, ORIGEM!B:B)</f>
        <v>Facebook</v>
      </c>
      <c r="F1092" t="str">
        <f>_xlfn.XLOOKUP(A1092, ORIGEM!A:A, ORIGEM!C:C)</f>
        <v>facebook - cpc</v>
      </c>
      <c r="G1092" t="str">
        <f>_xlfn.XLOOKUP(A1092, LOCAL!A:A, LOCAL!B:B)</f>
        <v>Campinas - SP</v>
      </c>
      <c r="H1092" t="str">
        <f>_xlfn.XLOOKUP(A1092, PORTE!A:A, PORTE!B:B)</f>
        <v>0</v>
      </c>
      <c r="I1092" t="str">
        <f>_xlfn.XLOOKUP(A1092, OBJETIVO!A:A, OBJETIVO!B:B)</f>
        <v>Geração de leads b2b</v>
      </c>
      <c r="J1092">
        <f t="shared" si="17"/>
        <v>0</v>
      </c>
    </row>
    <row r="1093" spans="1:10" x14ac:dyDescent="0.25">
      <c r="A1093">
        <v>11344207</v>
      </c>
      <c r="B1093" s="1">
        <v>45701.436782407407</v>
      </c>
      <c r="C1093" t="s">
        <v>0</v>
      </c>
      <c r="D1093" t="str">
        <f>VLOOKUP(A1093,MERCADO!A:B,2,0)</f>
        <v>Imobiliaria/Incorporadora/Construtora</v>
      </c>
      <c r="E1093" t="str">
        <f>_xlfn.XLOOKUP(A1093, ORIGEM!A:A, ORIGEM!B:B)</f>
        <v>Facebook</v>
      </c>
      <c r="F1093" t="str">
        <f>_xlfn.XLOOKUP(A1093, ORIGEM!A:A, ORIGEM!C:C)</f>
        <v>facebook - cpc</v>
      </c>
      <c r="G1093" t="str">
        <f>_xlfn.XLOOKUP(A1093, LOCAL!A:A, LOCAL!B:B)</f>
        <v>São Carlos - SP</v>
      </c>
      <c r="H1093" t="str">
        <f>_xlfn.XLOOKUP(A1093, PORTE!A:A, PORTE!B:B)</f>
        <v>0</v>
      </c>
      <c r="I1093" t="str">
        <f>_xlfn.XLOOKUP(A1093, OBJETIVO!A:A, OBJETIVO!B:B)</f>
        <v>Geração de leads b2b</v>
      </c>
      <c r="J1093">
        <f t="shared" si="17"/>
        <v>0</v>
      </c>
    </row>
    <row r="1094" spans="1:10" x14ac:dyDescent="0.25">
      <c r="A1094">
        <v>11344215</v>
      </c>
      <c r="B1094" s="1">
        <v>45701.437951388885</v>
      </c>
      <c r="C1094" t="s">
        <v>0</v>
      </c>
      <c r="D1094" t="str">
        <f>VLOOKUP(A1094,MERCADO!A:B,2,0)</f>
        <v>Imobiliaria/Incorporadora/Construtora</v>
      </c>
      <c r="E1094" t="str">
        <f>_xlfn.XLOOKUP(A1094, ORIGEM!A:A, ORIGEM!B:B)</f>
        <v>Facebook</v>
      </c>
      <c r="F1094" t="str">
        <f>_xlfn.XLOOKUP(A1094, ORIGEM!A:A, ORIGEM!C:C)</f>
        <v>facebook - cpc</v>
      </c>
      <c r="G1094" t="str">
        <f>_xlfn.XLOOKUP(A1094, LOCAL!A:A, LOCAL!B:B)</f>
        <v>Rio de Janeiro - RJ</v>
      </c>
      <c r="H1094" t="str">
        <f>_xlfn.XLOOKUP(A1094, PORTE!A:A, PORTE!B:B)</f>
        <v>301-1000</v>
      </c>
      <c r="I1094" t="str">
        <f>_xlfn.XLOOKUP(A1094, OBJETIVO!A:A, OBJETIVO!B:B)</f>
        <v>Geração de leads b2b</v>
      </c>
      <c r="J1094">
        <f t="shared" si="17"/>
        <v>0</v>
      </c>
    </row>
    <row r="1095" spans="1:10" x14ac:dyDescent="0.25">
      <c r="A1095">
        <v>11586072</v>
      </c>
      <c r="B1095" s="1">
        <v>45725.602129629631</v>
      </c>
      <c r="C1095" t="s">
        <v>0</v>
      </c>
      <c r="D1095" t="str">
        <f>VLOOKUP(A1095,MERCADO!A:B,2,0)</f>
        <v>Imobiliaria/Incorporadora/Construtora</v>
      </c>
      <c r="E1095" t="str">
        <f>_xlfn.XLOOKUP(A1095, ORIGEM!A:A, ORIGEM!B:B)</f>
        <v>Facebook</v>
      </c>
      <c r="F1095" t="str">
        <f>_xlfn.XLOOKUP(A1095, ORIGEM!A:A, ORIGEM!C:C)</f>
        <v>facebook - cpc</v>
      </c>
      <c r="G1095" t="str">
        <f>_xlfn.XLOOKUP(A1095, LOCAL!A:A, LOCAL!B:B)</f>
        <v>Taubate - SP</v>
      </c>
      <c r="H1095" t="str">
        <f>_xlfn.XLOOKUP(A1095, PORTE!A:A, PORTE!B:B)</f>
        <v>1-10</v>
      </c>
      <c r="I1095" t="str">
        <f>_xlfn.XLOOKUP(A1095, OBJETIVO!A:A, OBJETIVO!B:B)</f>
        <v>Geração de leads b2b</v>
      </c>
      <c r="J1095">
        <f t="shared" si="17"/>
        <v>0</v>
      </c>
    </row>
    <row r="1096" spans="1:10" x14ac:dyDescent="0.25">
      <c r="A1096">
        <v>11577508</v>
      </c>
      <c r="B1096" s="1">
        <v>45724.844212962962</v>
      </c>
      <c r="C1096" t="s">
        <v>0</v>
      </c>
      <c r="D1096" t="str">
        <f>VLOOKUP(A1096,MERCADO!A:B,2,0)</f>
        <v>Imobiliaria/Incorporadora/Construtora</v>
      </c>
      <c r="E1096" t="str">
        <f>_xlfn.XLOOKUP(A1096, ORIGEM!A:A, ORIGEM!B:B)</f>
        <v>Facebook</v>
      </c>
      <c r="F1096" t="str">
        <f>_xlfn.XLOOKUP(A1096, ORIGEM!A:A, ORIGEM!C:C)</f>
        <v>facebook - cpc</v>
      </c>
      <c r="G1096" t="str">
        <f>_xlfn.XLOOKUP(A1096, LOCAL!A:A, LOCAL!B:B)</f>
        <v>Guarulhos - SP</v>
      </c>
      <c r="H1096" t="str">
        <f>_xlfn.XLOOKUP(A1096, PORTE!A:A, PORTE!B:B)</f>
        <v>0</v>
      </c>
      <c r="I1096" t="str">
        <f>_xlfn.XLOOKUP(A1096, OBJETIVO!A:A, OBJETIVO!B:B)</f>
        <v>Geração de leads b2b</v>
      </c>
      <c r="J1096">
        <f t="shared" si="17"/>
        <v>0</v>
      </c>
    </row>
    <row r="1097" spans="1:10" x14ac:dyDescent="0.25">
      <c r="A1097">
        <v>11581437</v>
      </c>
      <c r="B1097" s="1">
        <v>45725.415011574078</v>
      </c>
      <c r="C1097" t="s">
        <v>0</v>
      </c>
      <c r="D1097" t="str">
        <f>VLOOKUP(A1097,MERCADO!A:B,2,0)</f>
        <v>Imobiliaria/Incorporadora/Construtora</v>
      </c>
      <c r="E1097" t="str">
        <f>_xlfn.XLOOKUP(A1097, ORIGEM!A:A, ORIGEM!B:B)</f>
        <v>Facebook</v>
      </c>
      <c r="F1097" t="str">
        <f>_xlfn.XLOOKUP(A1097, ORIGEM!A:A, ORIGEM!C:C)</f>
        <v>facebook - cpc</v>
      </c>
      <c r="G1097" t="str">
        <f>_xlfn.XLOOKUP(A1097, LOCAL!A:A, LOCAL!B:B)</f>
        <v>Curitiba - PR</v>
      </c>
      <c r="H1097" t="str">
        <f>_xlfn.XLOOKUP(A1097, PORTE!A:A, PORTE!B:B)</f>
        <v>0</v>
      </c>
      <c r="I1097" t="str">
        <f>_xlfn.XLOOKUP(A1097, OBJETIVO!A:A, OBJETIVO!B:B)</f>
        <v>Abertura/Expansão</v>
      </c>
      <c r="J1097">
        <f t="shared" si="17"/>
        <v>0</v>
      </c>
    </row>
    <row r="1098" spans="1:10" x14ac:dyDescent="0.25">
      <c r="A1098">
        <v>11577831</v>
      </c>
      <c r="B1098" s="1">
        <v>45724.901365740741</v>
      </c>
      <c r="C1098" t="s">
        <v>0</v>
      </c>
      <c r="D1098" t="str">
        <f>VLOOKUP(A1098,MERCADO!A:B,2,0)</f>
        <v>Imobiliaria/Incorporadora/Construtora</v>
      </c>
      <c r="E1098" t="str">
        <f>_xlfn.XLOOKUP(A1098, ORIGEM!A:A, ORIGEM!B:B)</f>
        <v>Facebook</v>
      </c>
      <c r="F1098" t="str">
        <f>_xlfn.XLOOKUP(A1098, ORIGEM!A:A, ORIGEM!C:C)</f>
        <v>facebook - cpc</v>
      </c>
      <c r="G1098" t="str">
        <f>_xlfn.XLOOKUP(A1098, LOCAL!A:A, LOCAL!B:B)</f>
        <v>Ananindeua - PA</v>
      </c>
      <c r="H1098" t="str">
        <f>_xlfn.XLOOKUP(A1098, PORTE!A:A, PORTE!B:B)</f>
        <v>1-10</v>
      </c>
      <c r="I1098" t="str">
        <f>_xlfn.XLOOKUP(A1098, OBJETIVO!A:A, OBJETIVO!B:B)</f>
        <v>Geração de leads b2b</v>
      </c>
      <c r="J1098">
        <f t="shared" si="17"/>
        <v>0</v>
      </c>
    </row>
    <row r="1099" spans="1:10" x14ac:dyDescent="0.25">
      <c r="A1099">
        <v>11566267</v>
      </c>
      <c r="B1099" s="1">
        <v>45724.432881944442</v>
      </c>
      <c r="C1099" t="s">
        <v>0</v>
      </c>
      <c r="D1099" t="str">
        <f>VLOOKUP(A1099,MERCADO!A:B,2,0)</f>
        <v>Imobiliaria/Incorporadora/Construtora</v>
      </c>
      <c r="E1099" t="str">
        <f>_xlfn.XLOOKUP(A1099, ORIGEM!A:A, ORIGEM!B:B)</f>
        <v>Facebook</v>
      </c>
      <c r="F1099" t="str">
        <f>_xlfn.XLOOKUP(A1099, ORIGEM!A:A, ORIGEM!C:C)</f>
        <v>facebook - cpc</v>
      </c>
      <c r="G1099" t="str">
        <f>_xlfn.XLOOKUP(A1099, LOCAL!A:A, LOCAL!B:B)</f>
        <v>São Paulo - SP</v>
      </c>
      <c r="H1099" t="str">
        <f>_xlfn.XLOOKUP(A1099, PORTE!A:A, PORTE!B:B)</f>
        <v>0</v>
      </c>
      <c r="I1099" t="str">
        <f>_xlfn.XLOOKUP(A1099, OBJETIVO!A:A, OBJETIVO!B:B)</f>
        <v>Ações de marketing/vendas</v>
      </c>
      <c r="J1099">
        <f t="shared" si="17"/>
        <v>0</v>
      </c>
    </row>
    <row r="1100" spans="1:10" x14ac:dyDescent="0.25">
      <c r="A1100">
        <v>11561652</v>
      </c>
      <c r="B1100" s="1">
        <v>45723.744780092595</v>
      </c>
      <c r="C1100" t="s">
        <v>0</v>
      </c>
      <c r="D1100" t="str">
        <f>VLOOKUP(A1100,MERCADO!A:B,2,0)</f>
        <v>Imobiliaria/Incorporadora/Construtora</v>
      </c>
      <c r="E1100" t="str">
        <f>_xlfn.XLOOKUP(A1100, ORIGEM!A:A, ORIGEM!B:B)</f>
        <v>Facebook</v>
      </c>
      <c r="F1100" t="str">
        <f>_xlfn.XLOOKUP(A1100, ORIGEM!A:A, ORIGEM!C:C)</f>
        <v>facebook - cpc</v>
      </c>
      <c r="G1100" t="str">
        <f>_xlfn.XLOOKUP(A1100, LOCAL!A:A, LOCAL!B:B)</f>
        <v>Santo André - SP</v>
      </c>
      <c r="H1100" t="str">
        <f>_xlfn.XLOOKUP(A1100, PORTE!A:A, PORTE!B:B)</f>
        <v>0</v>
      </c>
      <c r="I1100" t="str">
        <f>_xlfn.XLOOKUP(A1100, OBJETIVO!A:A, OBJETIVO!B:B)</f>
        <v>Geração de leads b2b</v>
      </c>
      <c r="J1100">
        <f t="shared" si="17"/>
        <v>0</v>
      </c>
    </row>
    <row r="1101" spans="1:10" x14ac:dyDescent="0.25">
      <c r="A1101">
        <v>11561430</v>
      </c>
      <c r="B1101" s="1">
        <v>45723.664571759262</v>
      </c>
      <c r="C1101" t="s">
        <v>0</v>
      </c>
      <c r="D1101" t="str">
        <f>VLOOKUP(A1101,MERCADO!A:B,2,0)</f>
        <v>Imobiliaria/Incorporadora/Construtora</v>
      </c>
      <c r="E1101" t="str">
        <f>_xlfn.XLOOKUP(A1101, ORIGEM!A:A, ORIGEM!B:B)</f>
        <v>Facebook</v>
      </c>
      <c r="F1101" t="str">
        <f>_xlfn.XLOOKUP(A1101, ORIGEM!A:A, ORIGEM!C:C)</f>
        <v>facebook - cpc</v>
      </c>
      <c r="G1101" t="str">
        <f>_xlfn.XLOOKUP(A1101, LOCAL!A:A, LOCAL!B:B)</f>
        <v>Rio de Janeiro - RJ</v>
      </c>
      <c r="H1101" t="str">
        <f>_xlfn.XLOOKUP(A1101, PORTE!A:A, PORTE!B:B)</f>
        <v>0</v>
      </c>
      <c r="I1101" t="str">
        <f>_xlfn.XLOOKUP(A1101, OBJETIVO!A:A, OBJETIVO!B:B)</f>
        <v>Geração de leads b2b</v>
      </c>
      <c r="J1101">
        <f t="shared" si="17"/>
        <v>0</v>
      </c>
    </row>
    <row r="1102" spans="1:10" x14ac:dyDescent="0.25">
      <c r="A1102">
        <v>11561436</v>
      </c>
      <c r="B1102" s="1">
        <v>45723.666284722225</v>
      </c>
      <c r="C1102" t="s">
        <v>0</v>
      </c>
      <c r="D1102" t="str">
        <f>VLOOKUP(A1102,MERCADO!A:B,2,0)</f>
        <v>Imobiliaria/Incorporadora/Construtora</v>
      </c>
      <c r="E1102" t="str">
        <f>_xlfn.XLOOKUP(A1102, ORIGEM!A:A, ORIGEM!B:B)</f>
        <v>Facebook</v>
      </c>
      <c r="F1102" t="str">
        <f>_xlfn.XLOOKUP(A1102, ORIGEM!A:A, ORIGEM!C:C)</f>
        <v>facebook - cpc</v>
      </c>
      <c r="G1102" t="str">
        <f>_xlfn.XLOOKUP(A1102, LOCAL!A:A, LOCAL!B:B)</f>
        <v>Joinville - SC</v>
      </c>
      <c r="H1102" t="str">
        <f>_xlfn.XLOOKUP(A1102, PORTE!A:A, PORTE!B:B)</f>
        <v>1-10</v>
      </c>
      <c r="I1102" t="str">
        <f>_xlfn.XLOOKUP(A1102, OBJETIVO!A:A, OBJETIVO!B:B)</f>
        <v>Geração de leads b2b</v>
      </c>
      <c r="J1102">
        <f t="shared" si="17"/>
        <v>0</v>
      </c>
    </row>
    <row r="1103" spans="1:10" x14ac:dyDescent="0.25">
      <c r="A1103">
        <v>11560014</v>
      </c>
      <c r="B1103" s="1">
        <v>45723.026689814818</v>
      </c>
      <c r="C1103" t="s">
        <v>0</v>
      </c>
      <c r="D1103" t="str">
        <f>VLOOKUP(A1103,MERCADO!A:B,2,0)</f>
        <v>Imobiliaria/Incorporadora/Construtora</v>
      </c>
      <c r="E1103" t="str">
        <f>_xlfn.XLOOKUP(A1103, ORIGEM!A:A, ORIGEM!B:B)</f>
        <v>Facebook</v>
      </c>
      <c r="F1103" t="str">
        <f>_xlfn.XLOOKUP(A1103, ORIGEM!A:A, ORIGEM!C:C)</f>
        <v>facebook - cpc</v>
      </c>
      <c r="G1103" t="str">
        <f>_xlfn.XLOOKUP(A1103, LOCAL!A:A, LOCAL!B:B)</f>
        <v>João Pessoa - PB</v>
      </c>
      <c r="H1103" t="str">
        <f>_xlfn.XLOOKUP(A1103, PORTE!A:A, PORTE!B:B)</f>
        <v>1-10</v>
      </c>
      <c r="I1103" t="str">
        <f>_xlfn.XLOOKUP(A1103, OBJETIVO!A:A, OBJETIVO!B:B)</f>
        <v>Ações de marketing/vendas</v>
      </c>
      <c r="J1103">
        <f t="shared" si="17"/>
        <v>0</v>
      </c>
    </row>
    <row r="1104" spans="1:10" x14ac:dyDescent="0.25">
      <c r="A1104">
        <v>11560375</v>
      </c>
      <c r="B1104" s="1">
        <v>45723.350405092591</v>
      </c>
      <c r="C1104" t="s">
        <v>0</v>
      </c>
      <c r="D1104" t="str">
        <f>VLOOKUP(A1104,MERCADO!A:B,2,0)</f>
        <v>Imobiliaria/Incorporadora/Construtora</v>
      </c>
      <c r="E1104" t="str">
        <f>_xlfn.XLOOKUP(A1104, ORIGEM!A:A, ORIGEM!B:B)</f>
        <v>Facebook</v>
      </c>
      <c r="F1104" t="str">
        <f>_xlfn.XLOOKUP(A1104, ORIGEM!A:A, ORIGEM!C:C)</f>
        <v>facebook - cpc</v>
      </c>
      <c r="G1104" t="str">
        <f>_xlfn.XLOOKUP(A1104, LOCAL!A:A, LOCAL!B:B)</f>
        <v>Belo Horizonte - MG</v>
      </c>
      <c r="H1104" t="str">
        <f>_xlfn.XLOOKUP(A1104, PORTE!A:A, PORTE!B:B)</f>
        <v>0</v>
      </c>
      <c r="I1104" t="str">
        <f>_xlfn.XLOOKUP(A1104, OBJETIVO!A:A, OBJETIVO!B:B)</f>
        <v>Geração de leads b2b</v>
      </c>
      <c r="J1104">
        <f t="shared" si="17"/>
        <v>0</v>
      </c>
    </row>
    <row r="1105" spans="1:10" x14ac:dyDescent="0.25">
      <c r="A1105">
        <v>11560431</v>
      </c>
      <c r="B1105" s="1">
        <v>45723.37835648148</v>
      </c>
      <c r="C1105" t="s">
        <v>0</v>
      </c>
      <c r="D1105" t="str">
        <f>VLOOKUP(A1105,MERCADO!A:B,2,0)</f>
        <v>Imobiliaria/Incorporadora/Construtora</v>
      </c>
      <c r="E1105" t="str">
        <f>_xlfn.XLOOKUP(A1105, ORIGEM!A:A, ORIGEM!B:B)</f>
        <v>Facebook</v>
      </c>
      <c r="F1105" t="str">
        <f>_xlfn.XLOOKUP(A1105, ORIGEM!A:A, ORIGEM!C:C)</f>
        <v>facebook - cpc</v>
      </c>
      <c r="G1105" t="str">
        <f>_xlfn.XLOOKUP(A1105, LOCAL!A:A, LOCAL!B:B)</f>
        <v>São Paulo - SP</v>
      </c>
      <c r="H1105" t="str">
        <f>_xlfn.XLOOKUP(A1105, PORTE!A:A, PORTE!B:B)</f>
        <v>0</v>
      </c>
      <c r="I1105" t="str">
        <f>_xlfn.XLOOKUP(A1105, OBJETIVO!A:A, OBJETIVO!B:B)</f>
        <v>Geração de leads b2b</v>
      </c>
      <c r="J1105">
        <f t="shared" si="17"/>
        <v>0</v>
      </c>
    </row>
    <row r="1106" spans="1:10" x14ac:dyDescent="0.25">
      <c r="A1106">
        <v>11560540</v>
      </c>
      <c r="B1106" s="1">
        <v>45723.416307870371</v>
      </c>
      <c r="C1106" t="s">
        <v>0</v>
      </c>
      <c r="D1106" t="str">
        <f>VLOOKUP(A1106,MERCADO!A:B,2,0)</f>
        <v>Imobiliaria/Incorporadora/Construtora</v>
      </c>
      <c r="E1106" t="str">
        <f>_xlfn.XLOOKUP(A1106, ORIGEM!A:A, ORIGEM!B:B)</f>
        <v>Facebook</v>
      </c>
      <c r="F1106" t="str">
        <f>_xlfn.XLOOKUP(A1106, ORIGEM!A:A, ORIGEM!C:C)</f>
        <v>facebook - cpc</v>
      </c>
      <c r="G1106" t="str">
        <f>_xlfn.XLOOKUP(A1106, LOCAL!A:A, LOCAL!B:B)</f>
        <v>Novo Hamburgo - RS</v>
      </c>
      <c r="H1106" t="str">
        <f>_xlfn.XLOOKUP(A1106, PORTE!A:A, PORTE!B:B)</f>
        <v>0</v>
      </c>
      <c r="I1106" t="str">
        <f>_xlfn.XLOOKUP(A1106, OBJETIVO!A:A, OBJETIVO!B:B)</f>
        <v>Geração de leads b2b</v>
      </c>
      <c r="J1106">
        <f t="shared" si="17"/>
        <v>0</v>
      </c>
    </row>
    <row r="1107" spans="1:10" x14ac:dyDescent="0.25">
      <c r="A1107">
        <v>11560855</v>
      </c>
      <c r="B1107" s="1">
        <v>45723.516481481478</v>
      </c>
      <c r="C1107" t="s">
        <v>0</v>
      </c>
      <c r="D1107" t="str">
        <f>VLOOKUP(A1107,MERCADO!A:B,2,0)</f>
        <v>Imobiliaria/Incorporadora/Construtora</v>
      </c>
      <c r="E1107" t="str">
        <f>_xlfn.XLOOKUP(A1107, ORIGEM!A:A, ORIGEM!B:B)</f>
        <v>Facebook</v>
      </c>
      <c r="F1107" t="str">
        <f>_xlfn.XLOOKUP(A1107, ORIGEM!A:A, ORIGEM!C:C)</f>
        <v>facebook - cpc</v>
      </c>
      <c r="G1107" t="str">
        <f>_xlfn.XLOOKUP(A1107, LOCAL!A:A, LOCAL!B:B)</f>
        <v>Florianópolis - SC</v>
      </c>
      <c r="H1107" t="str">
        <f>_xlfn.XLOOKUP(A1107, PORTE!A:A, PORTE!B:B)</f>
        <v>1-10</v>
      </c>
      <c r="I1107" t="str">
        <f>_xlfn.XLOOKUP(A1107, OBJETIVO!A:A, OBJETIVO!B:B)</f>
        <v>Geração de leads b2b</v>
      </c>
      <c r="J1107">
        <f t="shared" si="17"/>
        <v>0</v>
      </c>
    </row>
    <row r="1108" spans="1:10" x14ac:dyDescent="0.25">
      <c r="A1108">
        <v>11560887</v>
      </c>
      <c r="B1108" s="1">
        <v>45723.531782407408</v>
      </c>
      <c r="C1108" t="s">
        <v>0</v>
      </c>
      <c r="D1108" t="str">
        <f>VLOOKUP(A1108,MERCADO!A:B,2,0)</f>
        <v>Imobiliaria/Incorporadora/Construtora</v>
      </c>
      <c r="E1108" t="str">
        <f>_xlfn.XLOOKUP(A1108, ORIGEM!A:A, ORIGEM!B:B)</f>
        <v>Facebook</v>
      </c>
      <c r="F1108" t="str">
        <f>_xlfn.XLOOKUP(A1108, ORIGEM!A:A, ORIGEM!C:C)</f>
        <v>facebook - cpc</v>
      </c>
      <c r="G1108" t="str">
        <f>_xlfn.XLOOKUP(A1108, LOCAL!A:A, LOCAL!B:B)</f>
        <v>São José dos Campos - SP</v>
      </c>
      <c r="H1108" t="str">
        <f>_xlfn.XLOOKUP(A1108, PORTE!A:A, PORTE!B:B)</f>
        <v>1-10</v>
      </c>
      <c r="I1108" t="str">
        <f>_xlfn.XLOOKUP(A1108, OBJETIVO!A:A, OBJETIVO!B:B)</f>
        <v>Geração de leads b2b</v>
      </c>
      <c r="J1108">
        <f t="shared" si="17"/>
        <v>0</v>
      </c>
    </row>
    <row r="1109" spans="1:10" x14ac:dyDescent="0.25">
      <c r="A1109">
        <v>11560948</v>
      </c>
      <c r="B1109" s="1">
        <v>45723.553217592591</v>
      </c>
      <c r="C1109" t="s">
        <v>0</v>
      </c>
      <c r="D1109" t="str">
        <f>VLOOKUP(A1109,MERCADO!A:B,2,0)</f>
        <v>Imobiliaria/Incorporadora/Construtora</v>
      </c>
      <c r="E1109" t="str">
        <f>_xlfn.XLOOKUP(A1109, ORIGEM!A:A, ORIGEM!B:B)</f>
        <v>Facebook</v>
      </c>
      <c r="F1109" t="str">
        <f>_xlfn.XLOOKUP(A1109, ORIGEM!A:A, ORIGEM!C:C)</f>
        <v>facebook - cpc</v>
      </c>
      <c r="G1109" t="str">
        <f>_xlfn.XLOOKUP(A1109, LOCAL!A:A, LOCAL!B:B)</f>
        <v>Itapema - SC</v>
      </c>
      <c r="H1109" t="str">
        <f>_xlfn.XLOOKUP(A1109, PORTE!A:A, PORTE!B:B)</f>
        <v>0</v>
      </c>
      <c r="I1109" t="str">
        <f>_xlfn.XLOOKUP(A1109, OBJETIVO!A:A, OBJETIVO!B:B)</f>
        <v>Geração de leads b2b</v>
      </c>
      <c r="J1109">
        <f t="shared" si="17"/>
        <v>0</v>
      </c>
    </row>
    <row r="1110" spans="1:10" x14ac:dyDescent="0.25">
      <c r="A1110">
        <v>11558264</v>
      </c>
      <c r="B1110" s="1">
        <v>45722.299085648148</v>
      </c>
      <c r="C1110" t="s">
        <v>0</v>
      </c>
      <c r="D1110" t="str">
        <f>VLOOKUP(A1110,MERCADO!A:B,2,0)</f>
        <v>Imobiliaria/Incorporadora/Construtora</v>
      </c>
      <c r="E1110" t="str">
        <f>_xlfn.XLOOKUP(A1110, ORIGEM!A:A, ORIGEM!B:B)</f>
        <v>Facebook</v>
      </c>
      <c r="F1110" t="str">
        <f>_xlfn.XLOOKUP(A1110, ORIGEM!A:A, ORIGEM!C:C)</f>
        <v>facebook - cpc</v>
      </c>
      <c r="G1110" t="str">
        <f>_xlfn.XLOOKUP(A1110, LOCAL!A:A, LOCAL!B:B)</f>
        <v>Curitiba - PR</v>
      </c>
      <c r="H1110" t="str">
        <f>_xlfn.XLOOKUP(A1110, PORTE!A:A, PORTE!B:B)</f>
        <v>1-10</v>
      </c>
      <c r="I1110" t="str">
        <f>_xlfn.XLOOKUP(A1110, OBJETIVO!A:A, OBJETIVO!B:B)</f>
        <v>Ações de marketing/vendas</v>
      </c>
      <c r="J1110">
        <f t="shared" si="17"/>
        <v>0</v>
      </c>
    </row>
    <row r="1111" spans="1:10" x14ac:dyDescent="0.25">
      <c r="A1111">
        <v>11803128</v>
      </c>
      <c r="B1111" s="1">
        <v>45745.482499999998</v>
      </c>
      <c r="C1111" t="s">
        <v>0</v>
      </c>
      <c r="D1111" t="str">
        <f>VLOOKUP(A1111,MERCADO!A:B,2,0)</f>
        <v>Servicos</v>
      </c>
      <c r="E1111" t="str">
        <f>_xlfn.XLOOKUP(A1111, ORIGEM!A:A, ORIGEM!B:B)</f>
        <v>Prospecção Ativa</v>
      </c>
      <c r="F1111" t="str">
        <f>_xlfn.XLOOKUP(A1111, ORIGEM!A:A, ORIGEM!C:C)</f>
        <v>Sales Navigator</v>
      </c>
      <c r="G1111" t="str">
        <f>_xlfn.XLOOKUP(A1111, LOCAL!A:A, LOCAL!B:B)</f>
        <v>-</v>
      </c>
      <c r="H1111">
        <f>_xlfn.XLOOKUP(A1111, PORTE!A:A, PORTE!B:B)</f>
        <v>0</v>
      </c>
      <c r="I1111">
        <f>_xlfn.XLOOKUP(A1111, OBJETIVO!A:A, OBJETIVO!B:B)</f>
        <v>0</v>
      </c>
      <c r="J1111">
        <f t="shared" si="17"/>
        <v>0</v>
      </c>
    </row>
    <row r="1112" spans="1:10" x14ac:dyDescent="0.25">
      <c r="A1112">
        <v>11593092</v>
      </c>
      <c r="B1112" s="1">
        <v>45725.987245370372</v>
      </c>
      <c r="C1112" t="s">
        <v>0</v>
      </c>
      <c r="D1112" t="str">
        <f>VLOOKUP(A1112,MERCADO!A:B,2,0)</f>
        <v>Imobiliaria/Incorporadora/Construtora</v>
      </c>
      <c r="E1112" t="str">
        <f>_xlfn.XLOOKUP(A1112, ORIGEM!A:A, ORIGEM!B:B)</f>
        <v>Linkedin</v>
      </c>
      <c r="F1112" t="str">
        <f>_xlfn.XLOOKUP(A1112, ORIGEM!A:A, ORIGEM!C:C)</f>
        <v>linkedin - cpc</v>
      </c>
      <c r="G1112" t="str">
        <f>_xlfn.XLOOKUP(A1112, LOCAL!A:A, LOCAL!B:B)</f>
        <v>Brasília - DF</v>
      </c>
      <c r="H1112" t="str">
        <f>_xlfn.XLOOKUP(A1112, PORTE!A:A, PORTE!B:B)</f>
        <v>0</v>
      </c>
      <c r="I1112" t="str">
        <f>_xlfn.XLOOKUP(A1112, OBJETIVO!A:A, OBJETIVO!B:B)</f>
        <v>Ações de marketing/vendas</v>
      </c>
      <c r="J1112">
        <f t="shared" si="17"/>
        <v>0</v>
      </c>
    </row>
    <row r="1113" spans="1:10" x14ac:dyDescent="0.25">
      <c r="A1113">
        <v>11632263</v>
      </c>
      <c r="B1113" s="1">
        <v>45729.696388888886</v>
      </c>
      <c r="C1113" t="s">
        <v>0</v>
      </c>
      <c r="D1113" t="str">
        <f>VLOOKUP(A1113,MERCADO!A:B,2,0)</f>
        <v>Imobiliaria/Incorporadora/Construtora</v>
      </c>
      <c r="E1113" t="str">
        <f>_xlfn.XLOOKUP(A1113, ORIGEM!A:A, ORIGEM!B:B)</f>
        <v>Linkedin</v>
      </c>
      <c r="F1113" t="str">
        <f>_xlfn.XLOOKUP(A1113, ORIGEM!A:A, ORIGEM!C:C)</f>
        <v>linkedin - cpc</v>
      </c>
      <c r="G1113" t="str">
        <f>_xlfn.XLOOKUP(A1113, LOCAL!A:A, LOCAL!B:B)</f>
        <v>Canoas - RS</v>
      </c>
      <c r="H1113" t="str">
        <f>_xlfn.XLOOKUP(A1113, PORTE!A:A, PORTE!B:B)</f>
        <v>11-50</v>
      </c>
      <c r="I1113" t="str">
        <f>_xlfn.XLOOKUP(A1113, OBJETIVO!A:A, OBJETIVO!B:B)</f>
        <v>Abertura/Expansão</v>
      </c>
      <c r="J1113">
        <f t="shared" si="17"/>
        <v>0</v>
      </c>
    </row>
    <row r="1114" spans="1:10" x14ac:dyDescent="0.25">
      <c r="A1114">
        <v>11866255</v>
      </c>
      <c r="B1114" s="1">
        <v>45752.495717592596</v>
      </c>
      <c r="C1114" t="s">
        <v>0</v>
      </c>
      <c r="D1114" t="str">
        <f>VLOOKUP(A1114,MERCADO!A:B,2,0)</f>
        <v>Marketing/Publicidade/Consultoria</v>
      </c>
      <c r="E1114" t="str">
        <f>_xlfn.XLOOKUP(A1114, ORIGEM!A:A, ORIGEM!B:B)</f>
        <v>Orgânico</v>
      </c>
      <c r="F1114">
        <f>_xlfn.XLOOKUP(A1114, ORIGEM!A:A, ORIGEM!C:C)</f>
        <v>0</v>
      </c>
      <c r="G1114" t="str">
        <f>_xlfn.XLOOKUP(A1114, LOCAL!A:A, LOCAL!B:B)</f>
        <v>-</v>
      </c>
      <c r="H1114" t="str">
        <f>_xlfn.XLOOKUP(A1114, PORTE!A:A, PORTE!B:B)</f>
        <v>1-10</v>
      </c>
      <c r="I1114" t="str">
        <f>_xlfn.XLOOKUP(A1114, OBJETIVO!A:A, OBJETIVO!B:B)</f>
        <v>Planejamento estratégico</v>
      </c>
      <c r="J1114">
        <f t="shared" si="17"/>
        <v>0</v>
      </c>
    </row>
    <row r="1115" spans="1:10" x14ac:dyDescent="0.25">
      <c r="A1115">
        <v>11839645</v>
      </c>
      <c r="B1115" s="1">
        <v>45747.9296875</v>
      </c>
      <c r="C1115" t="s">
        <v>0</v>
      </c>
      <c r="D1115" t="str">
        <f>VLOOKUP(A1115,MERCADO!A:B,2,0)</f>
        <v>Marketing/Publicidade/Consultoria</v>
      </c>
      <c r="E1115" t="str">
        <f>_xlfn.XLOOKUP(A1115, ORIGEM!A:A, ORIGEM!B:B)</f>
        <v>Orgânico</v>
      </c>
      <c r="F1115">
        <f>_xlfn.XLOOKUP(A1115, ORIGEM!A:A, ORIGEM!C:C)</f>
        <v>0</v>
      </c>
      <c r="G1115" t="str">
        <f>_xlfn.XLOOKUP(A1115, LOCAL!A:A, LOCAL!B:B)</f>
        <v>Rio de Janeiro - RJ</v>
      </c>
      <c r="H1115" t="str">
        <f>_xlfn.XLOOKUP(A1115, PORTE!A:A, PORTE!B:B)</f>
        <v>+ 1000</v>
      </c>
      <c r="I1115" t="str">
        <f>_xlfn.XLOOKUP(A1115, OBJETIVO!A:A, OBJETIVO!B:B)</f>
        <v>Ações de marketing/vendas</v>
      </c>
      <c r="J1115">
        <f t="shared" si="17"/>
        <v>0</v>
      </c>
    </row>
    <row r="1116" spans="1:10" x14ac:dyDescent="0.25">
      <c r="A1116">
        <v>11842675</v>
      </c>
      <c r="B1116" s="1">
        <v>45748.44809027778</v>
      </c>
      <c r="C1116" t="s">
        <v>0</v>
      </c>
      <c r="D1116" t="str">
        <f>VLOOKUP(A1116,MERCADO!A:B,2,0)</f>
        <v>Marketing/Publicidade/Consultoria</v>
      </c>
      <c r="E1116" t="str">
        <f>_xlfn.XLOOKUP(A1116, ORIGEM!A:A, ORIGEM!B:B)</f>
        <v>Orgânico</v>
      </c>
      <c r="F1116">
        <f>_xlfn.XLOOKUP(A1116, ORIGEM!A:A, ORIGEM!C:C)</f>
        <v>0</v>
      </c>
      <c r="G1116" t="str">
        <f>_xlfn.XLOOKUP(A1116, LOCAL!A:A, LOCAL!B:B)</f>
        <v>Londrina - PR</v>
      </c>
      <c r="H1116" t="str">
        <f>_xlfn.XLOOKUP(A1116, PORTE!A:A, PORTE!B:B)</f>
        <v>1-10</v>
      </c>
      <c r="I1116" t="str">
        <f>_xlfn.XLOOKUP(A1116, OBJETIVO!A:A, OBJETIVO!B:B)</f>
        <v>Outro</v>
      </c>
      <c r="J1116">
        <f t="shared" si="17"/>
        <v>0</v>
      </c>
    </row>
    <row r="1117" spans="1:10" x14ac:dyDescent="0.25">
      <c r="A1117">
        <v>10870803</v>
      </c>
      <c r="B1117" s="1">
        <v>45662.359224537038</v>
      </c>
      <c r="C1117" t="s">
        <v>0</v>
      </c>
      <c r="D1117" t="str">
        <f>VLOOKUP(A1117,MERCADO!A:B,2,0)</f>
        <v>Marketing/Publicidade/Consultoria</v>
      </c>
      <c r="E1117" t="str">
        <f>_xlfn.XLOOKUP(A1117, ORIGEM!A:A, ORIGEM!B:B)</f>
        <v>Google</v>
      </c>
      <c r="F1117" t="str">
        <f>_xlfn.XLOOKUP(A1117, ORIGEM!A:A, ORIGEM!C:C)</f>
        <v>google - cpc</v>
      </c>
      <c r="G1117" t="str">
        <f>_xlfn.XLOOKUP(A1117, LOCAL!A:A, LOCAL!B:B)</f>
        <v>São Paulo - SP</v>
      </c>
      <c r="H1117" t="str">
        <f>_xlfn.XLOOKUP(A1117, PORTE!A:A, PORTE!B:B)</f>
        <v>0</v>
      </c>
      <c r="I1117" t="str">
        <f>_xlfn.XLOOKUP(A1117, OBJETIVO!A:A, OBJETIVO!B:B)</f>
        <v>Geração de leads b2b</v>
      </c>
      <c r="J1117">
        <f t="shared" si="17"/>
        <v>0</v>
      </c>
    </row>
    <row r="1118" spans="1:10" x14ac:dyDescent="0.25">
      <c r="A1118">
        <v>10866771</v>
      </c>
      <c r="B1118" s="1">
        <v>45661.704583333332</v>
      </c>
      <c r="C1118" t="s">
        <v>0</v>
      </c>
      <c r="D1118" t="str">
        <f>VLOOKUP(A1118,MERCADO!A:B,2,0)</f>
        <v>Marketing/Publicidade/Consultoria</v>
      </c>
      <c r="E1118" t="str">
        <f>_xlfn.XLOOKUP(A1118, ORIGEM!A:A, ORIGEM!B:B)</f>
        <v>Google</v>
      </c>
      <c r="F1118" t="str">
        <f>_xlfn.XLOOKUP(A1118, ORIGEM!A:A, ORIGEM!C:C)</f>
        <v>google - cpc</v>
      </c>
      <c r="G1118" t="str">
        <f>_xlfn.XLOOKUP(A1118, LOCAL!A:A, LOCAL!B:B)</f>
        <v>São Paulo - SP</v>
      </c>
      <c r="H1118" t="str">
        <f>_xlfn.XLOOKUP(A1118, PORTE!A:A, PORTE!B:B)</f>
        <v>1-10</v>
      </c>
      <c r="I1118" t="str">
        <f>_xlfn.XLOOKUP(A1118, OBJETIVO!A:A, OBJETIVO!B:B)</f>
        <v>Geração de leads b2b</v>
      </c>
      <c r="J1118">
        <f t="shared" si="17"/>
        <v>0</v>
      </c>
    </row>
    <row r="1119" spans="1:10" x14ac:dyDescent="0.25">
      <c r="A1119">
        <v>10902298</v>
      </c>
      <c r="B1119" s="1">
        <v>45664.626643518517</v>
      </c>
      <c r="C1119" t="s">
        <v>0</v>
      </c>
      <c r="D1119" t="str">
        <f>VLOOKUP(A1119,MERCADO!A:B,2,0)</f>
        <v>Marketing/Publicidade/Consultoria</v>
      </c>
      <c r="E1119" t="str">
        <f>_xlfn.XLOOKUP(A1119, ORIGEM!A:A, ORIGEM!B:B)</f>
        <v>Google</v>
      </c>
      <c r="F1119" t="str">
        <f>_xlfn.XLOOKUP(A1119, ORIGEM!A:A, ORIGEM!C:C)</f>
        <v>google - cpc</v>
      </c>
      <c r="G1119" t="str">
        <f>_xlfn.XLOOKUP(A1119, LOCAL!A:A, LOCAL!B:B)</f>
        <v>Lavras da Mangabeira - CE</v>
      </c>
      <c r="H1119" t="str">
        <f>_xlfn.XLOOKUP(A1119, PORTE!A:A, PORTE!B:B)</f>
        <v>0</v>
      </c>
      <c r="I1119" t="str">
        <f>_xlfn.XLOOKUP(A1119, OBJETIVO!A:A, OBJETIVO!B:B)</f>
        <v>Ações de marketing/vendas</v>
      </c>
      <c r="J1119">
        <f t="shared" si="17"/>
        <v>0</v>
      </c>
    </row>
    <row r="1120" spans="1:10" x14ac:dyDescent="0.25">
      <c r="A1120">
        <v>10892640</v>
      </c>
      <c r="B1120" s="1">
        <v>45663.723715277774</v>
      </c>
      <c r="C1120" t="s">
        <v>0</v>
      </c>
      <c r="D1120" t="str">
        <f>VLOOKUP(A1120,MERCADO!A:B,2,0)</f>
        <v>Marketing/Publicidade/Consultoria</v>
      </c>
      <c r="E1120" t="str">
        <f>_xlfn.XLOOKUP(A1120, ORIGEM!A:A, ORIGEM!B:B)</f>
        <v>Google</v>
      </c>
      <c r="F1120" t="str">
        <f>_xlfn.XLOOKUP(A1120, ORIGEM!A:A, ORIGEM!C:C)</f>
        <v>google - cpc</v>
      </c>
      <c r="G1120" t="str">
        <f>_xlfn.XLOOKUP(A1120, LOCAL!A:A, LOCAL!B:B)</f>
        <v>Ilhabela - SP</v>
      </c>
      <c r="H1120" t="str">
        <f>_xlfn.XLOOKUP(A1120, PORTE!A:A, PORTE!B:B)</f>
        <v>11-50</v>
      </c>
      <c r="I1120" t="str">
        <f>_xlfn.XLOOKUP(A1120, OBJETIVO!A:A, OBJETIVO!B:B)</f>
        <v>Geração de leads b2b</v>
      </c>
      <c r="J1120">
        <f t="shared" si="17"/>
        <v>0</v>
      </c>
    </row>
    <row r="1121" spans="1:10" x14ac:dyDescent="0.25">
      <c r="A1121">
        <v>10808074</v>
      </c>
      <c r="B1121" s="1">
        <v>45649.498854166668</v>
      </c>
      <c r="C1121" t="s">
        <v>0</v>
      </c>
      <c r="D1121" t="str">
        <f>VLOOKUP(A1121,MERCADO!A:B,2,0)</f>
        <v>Marketing/Publicidade/Consultoria</v>
      </c>
      <c r="E1121" t="str">
        <f>_xlfn.XLOOKUP(A1121, ORIGEM!A:A, ORIGEM!B:B)</f>
        <v>Google</v>
      </c>
      <c r="F1121" t="str">
        <f>_xlfn.XLOOKUP(A1121, ORIGEM!A:A, ORIGEM!C:C)</f>
        <v>google - cpc</v>
      </c>
      <c r="G1121" t="str">
        <f>_xlfn.XLOOKUP(A1121, LOCAL!A:A, LOCAL!B:B)</f>
        <v>Contagem - MG</v>
      </c>
      <c r="H1121" t="str">
        <f>_xlfn.XLOOKUP(A1121, PORTE!A:A, PORTE!B:B)</f>
        <v>51-300</v>
      </c>
      <c r="I1121" t="str">
        <f>_xlfn.XLOOKUP(A1121, OBJETIVO!A:A, OBJETIVO!B:B)</f>
        <v>Geração de leads b2b</v>
      </c>
      <c r="J1121">
        <f t="shared" si="17"/>
        <v>0</v>
      </c>
    </row>
    <row r="1122" spans="1:10" x14ac:dyDescent="0.25">
      <c r="A1122">
        <v>11038369</v>
      </c>
      <c r="B1122" s="1">
        <v>45676.579282407409</v>
      </c>
      <c r="C1122" t="s">
        <v>0</v>
      </c>
      <c r="D1122" t="str">
        <f>VLOOKUP(A1122,MERCADO!A:B,2,0)</f>
        <v>Marketing/Publicidade/Consultoria</v>
      </c>
      <c r="E1122" t="str">
        <f>_xlfn.XLOOKUP(A1122, ORIGEM!A:A, ORIGEM!B:B)</f>
        <v>Google</v>
      </c>
      <c r="F1122" t="str">
        <f>_xlfn.XLOOKUP(A1122, ORIGEM!A:A, ORIGEM!C:C)</f>
        <v>google - cpc</v>
      </c>
      <c r="G1122" t="str">
        <f>_xlfn.XLOOKUP(A1122, LOCAL!A:A, LOCAL!B:B)</f>
        <v>Santo Antonio do Descoberto - GO</v>
      </c>
      <c r="H1122" t="str">
        <f>_xlfn.XLOOKUP(A1122, PORTE!A:A, PORTE!B:B)</f>
        <v>1-10</v>
      </c>
      <c r="I1122" t="str">
        <f>_xlfn.XLOOKUP(A1122, OBJETIVO!A:A, OBJETIVO!B:B)</f>
        <v>Ações de marketing/vendas</v>
      </c>
      <c r="J1122">
        <f t="shared" si="17"/>
        <v>0</v>
      </c>
    </row>
    <row r="1123" spans="1:10" x14ac:dyDescent="0.25">
      <c r="A1123">
        <v>10714452</v>
      </c>
      <c r="B1123" s="1">
        <v>45640.547037037039</v>
      </c>
      <c r="C1123" t="s">
        <v>0</v>
      </c>
      <c r="D1123" t="str">
        <f>VLOOKUP(A1123,MERCADO!A:B,2,0)</f>
        <v>Marketing/Publicidade/Consultoria</v>
      </c>
      <c r="E1123" t="str">
        <f>_xlfn.XLOOKUP(A1123, ORIGEM!A:A, ORIGEM!B:B)</f>
        <v>Orgânico</v>
      </c>
      <c r="F1123">
        <f>_xlfn.XLOOKUP(A1123, ORIGEM!A:A, ORIGEM!C:C)</f>
        <v>0</v>
      </c>
      <c r="G1123" t="str">
        <f>_xlfn.XLOOKUP(A1123, LOCAL!A:A, LOCAL!B:B)</f>
        <v>-</v>
      </c>
      <c r="H1123" t="str">
        <f>_xlfn.XLOOKUP(A1123, PORTE!A:A, PORTE!B:B)</f>
        <v>301-1000</v>
      </c>
      <c r="I1123" t="str">
        <f>_xlfn.XLOOKUP(A1123, OBJETIVO!A:A, OBJETIVO!B:B)</f>
        <v>Geração de leads b2b</v>
      </c>
      <c r="J1123">
        <f t="shared" si="17"/>
        <v>0</v>
      </c>
    </row>
    <row r="1124" spans="1:10" x14ac:dyDescent="0.25">
      <c r="A1124">
        <v>10674677</v>
      </c>
      <c r="B1124" s="1">
        <v>45635.726377314815</v>
      </c>
      <c r="C1124" t="s">
        <v>0</v>
      </c>
      <c r="D1124" t="str">
        <f>VLOOKUP(A1124,MERCADO!A:B,2,0)</f>
        <v>Marketing/Publicidade/Consultoria</v>
      </c>
      <c r="E1124" t="str">
        <f>_xlfn.XLOOKUP(A1124, ORIGEM!A:A, ORIGEM!B:B)</f>
        <v>Orgânico</v>
      </c>
      <c r="F1124">
        <f>_xlfn.XLOOKUP(A1124, ORIGEM!A:A, ORIGEM!C:C)</f>
        <v>0</v>
      </c>
      <c r="G1124" t="str">
        <f>_xlfn.XLOOKUP(A1124, LOCAL!A:A, LOCAL!B:B)</f>
        <v>Aracoiaba da Serra - SP</v>
      </c>
      <c r="H1124" t="str">
        <f>_xlfn.XLOOKUP(A1124, PORTE!A:A, PORTE!B:B)</f>
        <v>11-50</v>
      </c>
      <c r="I1124" t="str">
        <f>_xlfn.XLOOKUP(A1124, OBJETIVO!A:A, OBJETIVO!B:B)</f>
        <v>Planejamento estratégico</v>
      </c>
      <c r="J1124">
        <f t="shared" si="17"/>
        <v>0</v>
      </c>
    </row>
    <row r="1125" spans="1:10" x14ac:dyDescent="0.25">
      <c r="A1125">
        <v>11063443</v>
      </c>
      <c r="B1125" s="1">
        <v>45677.764224537037</v>
      </c>
      <c r="C1125" t="s">
        <v>0</v>
      </c>
      <c r="D1125" t="str">
        <f>VLOOKUP(A1125,MERCADO!A:B,2,0)</f>
        <v>Marketing/Publicidade/Consultoria</v>
      </c>
      <c r="E1125" t="str">
        <f>_xlfn.XLOOKUP(A1125, ORIGEM!A:A, ORIGEM!B:B)</f>
        <v>Orgânico</v>
      </c>
      <c r="F1125">
        <f>_xlfn.XLOOKUP(A1125, ORIGEM!A:A, ORIGEM!C:C)</f>
        <v>0</v>
      </c>
      <c r="G1125" t="str">
        <f>_xlfn.XLOOKUP(A1125, LOCAL!A:A, LOCAL!B:B)</f>
        <v>Juiz de Fora - MG</v>
      </c>
      <c r="H1125" t="str">
        <f>_xlfn.XLOOKUP(A1125, PORTE!A:A, PORTE!B:B)</f>
        <v>0</v>
      </c>
      <c r="I1125" t="str">
        <f>_xlfn.XLOOKUP(A1125, OBJETIVO!A:A, OBJETIVO!B:B)</f>
        <v>Consultoria</v>
      </c>
      <c r="J1125">
        <f t="shared" si="17"/>
        <v>0</v>
      </c>
    </row>
    <row r="1126" spans="1:10" x14ac:dyDescent="0.25">
      <c r="A1126">
        <v>11589508</v>
      </c>
      <c r="B1126" s="1">
        <v>45725.655532407407</v>
      </c>
      <c r="C1126" t="s">
        <v>0</v>
      </c>
      <c r="D1126" t="str">
        <f>VLOOKUP(A1126,MERCADO!A:B,2,0)</f>
        <v>Marketing/Publicidade/Consultoria</v>
      </c>
      <c r="E1126" t="str">
        <f>_xlfn.XLOOKUP(A1126, ORIGEM!A:A, ORIGEM!B:B)</f>
        <v>Orgânico</v>
      </c>
      <c r="F1126">
        <f>_xlfn.XLOOKUP(A1126, ORIGEM!A:A, ORIGEM!C:C)</f>
        <v>0</v>
      </c>
      <c r="G1126" t="str">
        <f>_xlfn.XLOOKUP(A1126, LOCAL!A:A, LOCAL!B:B)</f>
        <v>Jacareí - SP</v>
      </c>
      <c r="H1126" t="str">
        <f>_xlfn.XLOOKUP(A1126, PORTE!A:A, PORTE!B:B)</f>
        <v>1-10</v>
      </c>
      <c r="I1126" t="str">
        <f>_xlfn.XLOOKUP(A1126, OBJETIVO!A:A, OBJETIVO!B:B)</f>
        <v>Planejamento estratégico</v>
      </c>
      <c r="J1126">
        <f t="shared" si="17"/>
        <v>0</v>
      </c>
    </row>
    <row r="1127" spans="1:10" x14ac:dyDescent="0.25">
      <c r="A1127">
        <v>11714379</v>
      </c>
      <c r="B1127" s="1">
        <v>45738.410243055558</v>
      </c>
      <c r="C1127" t="s">
        <v>0</v>
      </c>
      <c r="D1127" t="str">
        <f>VLOOKUP(A1127,MERCADO!A:B,2,0)</f>
        <v>Marketing/Publicidade/Consultoria</v>
      </c>
      <c r="E1127" t="str">
        <f>_xlfn.XLOOKUP(A1127, ORIGEM!A:A, ORIGEM!B:B)</f>
        <v>Orgânico</v>
      </c>
      <c r="F1127">
        <f>_xlfn.XLOOKUP(A1127, ORIGEM!A:A, ORIGEM!C:C)</f>
        <v>0</v>
      </c>
      <c r="G1127" t="str">
        <f>_xlfn.XLOOKUP(A1127, LOCAL!A:A, LOCAL!B:B)</f>
        <v>-</v>
      </c>
      <c r="H1127" t="str">
        <f>_xlfn.XLOOKUP(A1127, PORTE!A:A, PORTE!B:B)</f>
        <v>1-10</v>
      </c>
      <c r="I1127" t="str">
        <f>_xlfn.XLOOKUP(A1127, OBJETIVO!A:A, OBJETIVO!B:B)</f>
        <v>Consultoria</v>
      </c>
      <c r="J1127">
        <f t="shared" si="17"/>
        <v>0</v>
      </c>
    </row>
    <row r="1128" spans="1:10" x14ac:dyDescent="0.25">
      <c r="A1128">
        <v>11055708</v>
      </c>
      <c r="B1128" s="1">
        <v>45677.506585648145</v>
      </c>
      <c r="C1128" t="s">
        <v>0</v>
      </c>
      <c r="D1128" t="str">
        <f>VLOOKUP(A1128,MERCADO!A:B,2,0)</f>
        <v>Marketing/Publicidade/Consultoria</v>
      </c>
      <c r="E1128" t="str">
        <f>_xlfn.XLOOKUP(A1128, ORIGEM!A:A, ORIGEM!B:B)</f>
        <v>Orgânico</v>
      </c>
      <c r="F1128">
        <f>_xlfn.XLOOKUP(A1128, ORIGEM!A:A, ORIGEM!C:C)</f>
        <v>0</v>
      </c>
      <c r="G1128" t="str">
        <f>_xlfn.XLOOKUP(A1128, LOCAL!A:A, LOCAL!B:B)</f>
        <v>Campinas - SP</v>
      </c>
      <c r="H1128" t="str">
        <f>_xlfn.XLOOKUP(A1128, PORTE!A:A, PORTE!B:B)</f>
        <v>1-10</v>
      </c>
      <c r="I1128" t="str">
        <f>_xlfn.XLOOKUP(A1128, OBJETIVO!A:A, OBJETIVO!B:B)</f>
        <v>Planejamento estratégico</v>
      </c>
      <c r="J1128">
        <f t="shared" si="17"/>
        <v>0</v>
      </c>
    </row>
    <row r="1129" spans="1:10" x14ac:dyDescent="0.25">
      <c r="A1129">
        <v>10980020</v>
      </c>
      <c r="B1129" s="1">
        <v>45671.591238425928</v>
      </c>
      <c r="C1129" t="s">
        <v>0</v>
      </c>
      <c r="D1129" t="str">
        <f>VLOOKUP(A1129,MERCADO!A:B,2,0)</f>
        <v>Marketing/Publicidade/Consultoria</v>
      </c>
      <c r="E1129" t="str">
        <f>_xlfn.XLOOKUP(A1129, ORIGEM!A:A, ORIGEM!B:B)</f>
        <v>Orgânico</v>
      </c>
      <c r="F1129">
        <f>_xlfn.XLOOKUP(A1129, ORIGEM!A:A, ORIGEM!C:C)</f>
        <v>0</v>
      </c>
      <c r="G1129" t="str">
        <f>_xlfn.XLOOKUP(A1129, LOCAL!A:A, LOCAL!B:B)</f>
        <v>São Paulo - SP</v>
      </c>
      <c r="H1129" t="str">
        <f>_xlfn.XLOOKUP(A1129, PORTE!A:A, PORTE!B:B)</f>
        <v>51-300</v>
      </c>
      <c r="I1129" t="str">
        <f>_xlfn.XLOOKUP(A1129, OBJETIVO!A:A, OBJETIVO!B:B)</f>
        <v>Geração de leads b2b</v>
      </c>
      <c r="J1129">
        <f t="shared" si="17"/>
        <v>0</v>
      </c>
    </row>
    <row r="1130" spans="1:10" x14ac:dyDescent="0.25">
      <c r="A1130">
        <v>11423451</v>
      </c>
      <c r="B1130" s="1">
        <v>45710.681261574071</v>
      </c>
      <c r="C1130" t="s">
        <v>0</v>
      </c>
      <c r="D1130" t="str">
        <f>VLOOKUP(A1130,MERCADO!A:B,2,0)</f>
        <v>Marketing/Publicidade/Consultoria</v>
      </c>
      <c r="E1130" t="str">
        <f>_xlfn.XLOOKUP(A1130, ORIGEM!A:A, ORIGEM!B:B)</f>
        <v>Orgânico</v>
      </c>
      <c r="F1130">
        <f>_xlfn.XLOOKUP(A1130, ORIGEM!A:A, ORIGEM!C:C)</f>
        <v>0</v>
      </c>
      <c r="G1130" t="str">
        <f>_xlfn.XLOOKUP(A1130, LOCAL!A:A, LOCAL!B:B)</f>
        <v>São Paulo</v>
      </c>
      <c r="H1130" t="str">
        <f>_xlfn.XLOOKUP(A1130, PORTE!A:A, PORTE!B:B)</f>
        <v>1-10</v>
      </c>
      <c r="I1130" t="str">
        <f>_xlfn.XLOOKUP(A1130, OBJETIVO!A:A, OBJETIVO!B:B)</f>
        <v>Planejamento estratégico</v>
      </c>
      <c r="J1130">
        <f t="shared" si="17"/>
        <v>0</v>
      </c>
    </row>
    <row r="1131" spans="1:10" x14ac:dyDescent="0.25">
      <c r="A1131">
        <v>11407769</v>
      </c>
      <c r="B1131" s="1">
        <v>45708.700532407405</v>
      </c>
      <c r="C1131" t="s">
        <v>0</v>
      </c>
      <c r="D1131" t="str">
        <f>VLOOKUP(A1131,MERCADO!A:B,2,0)</f>
        <v>Marketing/Publicidade/Consultoria</v>
      </c>
      <c r="E1131" t="str">
        <f>_xlfn.XLOOKUP(A1131, ORIGEM!A:A, ORIGEM!B:B)</f>
        <v>Orgânico</v>
      </c>
      <c r="F1131">
        <f>_xlfn.XLOOKUP(A1131, ORIGEM!A:A, ORIGEM!C:C)</f>
        <v>0</v>
      </c>
      <c r="G1131" t="str">
        <f>_xlfn.XLOOKUP(A1131, LOCAL!A:A, LOCAL!B:B)</f>
        <v>Manaus - AM</v>
      </c>
      <c r="H1131" t="str">
        <f>_xlfn.XLOOKUP(A1131, PORTE!A:A, PORTE!B:B)</f>
        <v>0</v>
      </c>
      <c r="I1131" t="str">
        <f>_xlfn.XLOOKUP(A1131, OBJETIVO!A:A, OBJETIVO!B:B)</f>
        <v>Abertura/Expansão</v>
      </c>
      <c r="J1131">
        <f t="shared" si="17"/>
        <v>0</v>
      </c>
    </row>
    <row r="1132" spans="1:10" x14ac:dyDescent="0.25">
      <c r="A1132">
        <v>11397158</v>
      </c>
      <c r="B1132" s="1">
        <v>45707.39340277778</v>
      </c>
      <c r="C1132" t="s">
        <v>0</v>
      </c>
      <c r="D1132" t="str">
        <f>VLOOKUP(A1132,MERCADO!A:B,2,0)</f>
        <v>Marketing/Publicidade/Consultoria</v>
      </c>
      <c r="E1132" t="str">
        <f>_xlfn.XLOOKUP(A1132, ORIGEM!A:A, ORIGEM!B:B)</f>
        <v>Orgânico</v>
      </c>
      <c r="F1132">
        <f>_xlfn.XLOOKUP(A1132, ORIGEM!A:A, ORIGEM!C:C)</f>
        <v>0</v>
      </c>
      <c r="G1132" t="str">
        <f>_xlfn.XLOOKUP(A1132, LOCAL!A:A, LOCAL!B:B)</f>
        <v>-</v>
      </c>
      <c r="H1132" t="str">
        <f>_xlfn.XLOOKUP(A1132, PORTE!A:A, PORTE!B:B)</f>
        <v>1-10</v>
      </c>
      <c r="I1132">
        <f>_xlfn.XLOOKUP(A1132, OBJETIVO!A:A, OBJETIVO!B:B)</f>
        <v>0</v>
      </c>
      <c r="J1132">
        <f t="shared" si="17"/>
        <v>0</v>
      </c>
    </row>
    <row r="1133" spans="1:10" x14ac:dyDescent="0.25">
      <c r="A1133">
        <v>11380905</v>
      </c>
      <c r="B1133" s="1">
        <v>45705.72619212963</v>
      </c>
      <c r="C1133" t="s">
        <v>0</v>
      </c>
      <c r="D1133" t="str">
        <f>VLOOKUP(A1133,MERCADO!A:B,2,0)</f>
        <v>Marketing/Publicidade/Consultoria</v>
      </c>
      <c r="E1133" t="str">
        <f>_xlfn.XLOOKUP(A1133, ORIGEM!A:A, ORIGEM!B:B)</f>
        <v>Orgânico</v>
      </c>
      <c r="F1133">
        <f>_xlfn.XLOOKUP(A1133, ORIGEM!A:A, ORIGEM!C:C)</f>
        <v>0</v>
      </c>
      <c r="G1133" t="str">
        <f>_xlfn.XLOOKUP(A1133, LOCAL!A:A, LOCAL!B:B)</f>
        <v>Mossoro - RN</v>
      </c>
      <c r="H1133" t="str">
        <f>_xlfn.XLOOKUP(A1133, PORTE!A:A, PORTE!B:B)</f>
        <v>0</v>
      </c>
      <c r="I1133" t="str">
        <f>_xlfn.XLOOKUP(A1133, OBJETIVO!A:A, OBJETIVO!B:B)</f>
        <v>Consultoria</v>
      </c>
      <c r="J1133">
        <f t="shared" si="17"/>
        <v>0</v>
      </c>
    </row>
    <row r="1134" spans="1:10" x14ac:dyDescent="0.25">
      <c r="A1134">
        <v>11317324</v>
      </c>
      <c r="B1134" s="1">
        <v>45698.763842592591</v>
      </c>
      <c r="C1134" t="s">
        <v>0</v>
      </c>
      <c r="D1134" t="str">
        <f>VLOOKUP(A1134,MERCADO!A:B,2,0)</f>
        <v>Marketing/Publicidade/Consultoria</v>
      </c>
      <c r="E1134" t="str">
        <f>_xlfn.XLOOKUP(A1134, ORIGEM!A:A, ORIGEM!B:B)</f>
        <v>Orgânico</v>
      </c>
      <c r="F1134">
        <f>_xlfn.XLOOKUP(A1134, ORIGEM!A:A, ORIGEM!C:C)</f>
        <v>0</v>
      </c>
      <c r="G1134" t="str">
        <f>_xlfn.XLOOKUP(A1134, LOCAL!A:A, LOCAL!B:B)</f>
        <v>São José dos Campos - SP</v>
      </c>
      <c r="H1134" t="str">
        <f>_xlfn.XLOOKUP(A1134, PORTE!A:A, PORTE!B:B)</f>
        <v>11-50</v>
      </c>
      <c r="I1134" t="str">
        <f>_xlfn.XLOOKUP(A1134, OBJETIVO!A:A, OBJETIVO!B:B)</f>
        <v>Ações de marketing/vendas</v>
      </c>
      <c r="J1134">
        <f t="shared" si="17"/>
        <v>0</v>
      </c>
    </row>
    <row r="1135" spans="1:10" x14ac:dyDescent="0.25">
      <c r="A1135">
        <v>11548967</v>
      </c>
      <c r="B1135" s="1">
        <v>45721.436898148146</v>
      </c>
      <c r="C1135" t="s">
        <v>0</v>
      </c>
      <c r="D1135" t="str">
        <f>VLOOKUP(A1135,MERCADO!A:B,2,0)</f>
        <v>Marketing/Publicidade/Consultoria</v>
      </c>
      <c r="E1135" t="str">
        <f>_xlfn.XLOOKUP(A1135, ORIGEM!A:A, ORIGEM!B:B)</f>
        <v>Orgânico</v>
      </c>
      <c r="F1135">
        <f>_xlfn.XLOOKUP(A1135, ORIGEM!A:A, ORIGEM!C:C)</f>
        <v>0</v>
      </c>
      <c r="G1135" t="str">
        <f>_xlfn.XLOOKUP(A1135, LOCAL!A:A, LOCAL!B:B)</f>
        <v>Trindade - PE</v>
      </c>
      <c r="H1135" t="str">
        <f>_xlfn.XLOOKUP(A1135, PORTE!A:A, PORTE!B:B)</f>
        <v>0</v>
      </c>
      <c r="I1135" t="str">
        <f>_xlfn.XLOOKUP(A1135, OBJETIVO!A:A, OBJETIVO!B:B)</f>
        <v>Abertura/Expansão</v>
      </c>
      <c r="J1135">
        <f t="shared" si="17"/>
        <v>0</v>
      </c>
    </row>
    <row r="1136" spans="1:10" x14ac:dyDescent="0.25">
      <c r="A1136">
        <v>10919516</v>
      </c>
      <c r="B1136" s="1">
        <v>45665.865474537037</v>
      </c>
      <c r="C1136" t="s">
        <v>0</v>
      </c>
      <c r="D1136" t="str">
        <f>VLOOKUP(A1136,MERCADO!A:B,2,0)</f>
        <v>Imobiliaria/Incorporadora/Construtora</v>
      </c>
      <c r="E1136" t="str">
        <f>_xlfn.XLOOKUP(A1136, ORIGEM!A:A, ORIGEM!B:B)</f>
        <v>Orgânico</v>
      </c>
      <c r="F1136">
        <f>_xlfn.XLOOKUP(A1136, ORIGEM!A:A, ORIGEM!C:C)</f>
        <v>0</v>
      </c>
      <c r="G1136" t="str">
        <f>_xlfn.XLOOKUP(A1136, LOCAL!A:A, LOCAL!B:B)</f>
        <v>Salvador - BA</v>
      </c>
      <c r="H1136" t="str">
        <f>_xlfn.XLOOKUP(A1136, PORTE!A:A, PORTE!B:B)</f>
        <v>0</v>
      </c>
      <c r="I1136" t="str">
        <f>_xlfn.XLOOKUP(A1136, OBJETIVO!A:A, OBJETIVO!B:B)</f>
        <v>Outro</v>
      </c>
      <c r="J1136">
        <f t="shared" si="17"/>
        <v>0</v>
      </c>
    </row>
    <row r="1137" spans="1:10" x14ac:dyDescent="0.25">
      <c r="A1137">
        <v>11406938</v>
      </c>
      <c r="B1137" s="1">
        <v>45708.455081018517</v>
      </c>
      <c r="C1137" t="s">
        <v>0</v>
      </c>
      <c r="D1137" t="str">
        <f>VLOOKUP(A1137,MERCADO!A:B,2,0)</f>
        <v>Imobiliaria/Incorporadora/Construtora</v>
      </c>
      <c r="E1137" t="str">
        <f>_xlfn.XLOOKUP(A1137, ORIGEM!A:A, ORIGEM!B:B)</f>
        <v>Facebook</v>
      </c>
      <c r="F1137" t="str">
        <f>_xlfn.XLOOKUP(A1137, ORIGEM!A:A, ORIGEM!C:C)</f>
        <v>facebook - cpc</v>
      </c>
      <c r="G1137" t="str">
        <f>_xlfn.XLOOKUP(A1137, LOCAL!A:A, LOCAL!B:B)</f>
        <v>São Paulo - SP</v>
      </c>
      <c r="H1137" t="str">
        <f>_xlfn.XLOOKUP(A1137, PORTE!A:A, PORTE!B:B)</f>
        <v>+ 1000</v>
      </c>
      <c r="I1137" t="str">
        <f>_xlfn.XLOOKUP(A1137, OBJETIVO!A:A, OBJETIVO!B:B)</f>
        <v>Ações de marketing/vendas</v>
      </c>
      <c r="J1137">
        <f t="shared" si="17"/>
        <v>0</v>
      </c>
    </row>
    <row r="1138" spans="1:10" x14ac:dyDescent="0.25">
      <c r="A1138">
        <v>10666026</v>
      </c>
      <c r="B1138" s="1">
        <v>45635.53802083333</v>
      </c>
      <c r="C1138" t="s">
        <v>0</v>
      </c>
      <c r="D1138" t="str">
        <f>VLOOKUP(A1138,MERCADO!A:B,2,0)</f>
        <v>Imobiliaria/Incorporadora/Construtora</v>
      </c>
      <c r="E1138" t="str">
        <f>_xlfn.XLOOKUP(A1138, ORIGEM!A:A, ORIGEM!B:B)</f>
        <v>rep</v>
      </c>
      <c r="F1138" t="str">
        <f>_xlfn.XLOOKUP(A1138, ORIGEM!A:A, ORIGEM!C:C)</f>
        <v>rep - juliana-gomes</v>
      </c>
      <c r="G1138" t="str">
        <f>_xlfn.XLOOKUP(A1138, LOCAL!A:A, LOCAL!B:B)</f>
        <v>Salvador - BA</v>
      </c>
      <c r="H1138" t="str">
        <f>_xlfn.XLOOKUP(A1138, PORTE!A:A, PORTE!B:B)</f>
        <v>0</v>
      </c>
      <c r="I1138" t="str">
        <f>_xlfn.XLOOKUP(A1138, OBJETIVO!A:A, OBJETIVO!B:B)</f>
        <v>Ações de marketing/vendas</v>
      </c>
      <c r="J1138">
        <f t="shared" si="17"/>
        <v>0</v>
      </c>
    </row>
    <row r="1139" spans="1:10" x14ac:dyDescent="0.25">
      <c r="A1139">
        <v>10666094</v>
      </c>
      <c r="B1139" s="1">
        <v>45635.548645833333</v>
      </c>
      <c r="C1139" t="s">
        <v>0</v>
      </c>
      <c r="D1139" t="str">
        <f>VLOOKUP(A1139,MERCADO!A:B,2,0)</f>
        <v>Imobiliaria/Incorporadora/Construtora</v>
      </c>
      <c r="E1139" t="str">
        <f>_xlfn.XLOOKUP(A1139, ORIGEM!A:A, ORIGEM!B:B)</f>
        <v>rep</v>
      </c>
      <c r="F1139" t="str">
        <f>_xlfn.XLOOKUP(A1139, ORIGEM!A:A, ORIGEM!C:C)</f>
        <v>rep - juliana-gomes</v>
      </c>
      <c r="G1139" t="str">
        <f>_xlfn.XLOOKUP(A1139, LOCAL!A:A, LOCAL!B:B)</f>
        <v>Belo Horizonte - MG</v>
      </c>
      <c r="H1139" t="str">
        <f>_xlfn.XLOOKUP(A1139, PORTE!A:A, PORTE!B:B)</f>
        <v>0</v>
      </c>
      <c r="I1139" t="str">
        <f>_xlfn.XLOOKUP(A1139, OBJETIVO!A:A, OBJETIVO!B:B)</f>
        <v>Geração de leads b2b</v>
      </c>
      <c r="J1139">
        <f t="shared" si="17"/>
        <v>0</v>
      </c>
    </row>
    <row r="1140" spans="1:10" x14ac:dyDescent="0.25">
      <c r="A1140">
        <v>10761673</v>
      </c>
      <c r="B1140" s="1">
        <v>45643.637291666666</v>
      </c>
      <c r="C1140" t="s">
        <v>0</v>
      </c>
      <c r="D1140" t="str">
        <f>VLOOKUP(A1140,MERCADO!A:B,2,0)</f>
        <v>Imobiliaria/Incorporadora/Construtora</v>
      </c>
      <c r="E1140" t="str">
        <f>_xlfn.XLOOKUP(A1140, ORIGEM!A:A, ORIGEM!B:B)</f>
        <v>rep</v>
      </c>
      <c r="F1140" t="str">
        <f>_xlfn.XLOOKUP(A1140, ORIGEM!A:A, ORIGEM!C:C)</f>
        <v>rep - ximena-cubillos</v>
      </c>
      <c r="G1140" t="str">
        <f>_xlfn.XLOOKUP(A1140, LOCAL!A:A, LOCAL!B:B)</f>
        <v>São Bernardo do Campo - SP</v>
      </c>
      <c r="H1140" t="str">
        <f>_xlfn.XLOOKUP(A1140, PORTE!A:A, PORTE!B:B)</f>
        <v>0</v>
      </c>
      <c r="I1140" t="str">
        <f>_xlfn.XLOOKUP(A1140, OBJETIVO!A:A, OBJETIVO!B:B)</f>
        <v>Geração de leads b2b</v>
      </c>
      <c r="J1140">
        <f t="shared" si="17"/>
        <v>0</v>
      </c>
    </row>
    <row r="1141" spans="1:10" x14ac:dyDescent="0.25">
      <c r="A1141">
        <v>11370962</v>
      </c>
      <c r="B1141" s="1">
        <v>45704.921053240738</v>
      </c>
      <c r="C1141" t="s">
        <v>0</v>
      </c>
      <c r="D1141" t="str">
        <f>VLOOKUP(A1141,MERCADO!A:B,2,0)</f>
        <v>Imobiliaria/Incorporadora/Construtora</v>
      </c>
      <c r="E1141" t="str">
        <f>_xlfn.XLOOKUP(A1141, ORIGEM!A:A, ORIGEM!B:B)</f>
        <v>Facebook</v>
      </c>
      <c r="F1141" t="str">
        <f>_xlfn.XLOOKUP(A1141, ORIGEM!A:A, ORIGEM!C:C)</f>
        <v>facebook - cpc</v>
      </c>
      <c r="G1141" t="str">
        <f>_xlfn.XLOOKUP(A1141, LOCAL!A:A, LOCAL!B:B)</f>
        <v>Fortaleza - CE</v>
      </c>
      <c r="H1141" t="str">
        <f>_xlfn.XLOOKUP(A1141, PORTE!A:A, PORTE!B:B)</f>
        <v>1-10</v>
      </c>
      <c r="I1141" t="str">
        <f>_xlfn.XLOOKUP(A1141, OBJETIVO!A:A, OBJETIVO!B:B)</f>
        <v>Geração de leads b2b</v>
      </c>
      <c r="J1141">
        <f t="shared" si="17"/>
        <v>0</v>
      </c>
    </row>
    <row r="1142" spans="1:10" x14ac:dyDescent="0.25">
      <c r="A1142">
        <v>11364557</v>
      </c>
      <c r="B1142" s="1">
        <v>45704.590150462966</v>
      </c>
      <c r="C1142" t="s">
        <v>0</v>
      </c>
      <c r="D1142" t="str">
        <f>VLOOKUP(A1142,MERCADO!A:B,2,0)</f>
        <v>Imobiliaria/Incorporadora/Construtora</v>
      </c>
      <c r="E1142" t="str">
        <f>_xlfn.XLOOKUP(A1142, ORIGEM!A:A, ORIGEM!B:B)</f>
        <v>Facebook</v>
      </c>
      <c r="F1142" t="str">
        <f>_xlfn.XLOOKUP(A1142, ORIGEM!A:A, ORIGEM!C:C)</f>
        <v>facebook - cpc</v>
      </c>
      <c r="G1142" t="str">
        <f>_xlfn.XLOOKUP(A1142, LOCAL!A:A, LOCAL!B:B)</f>
        <v>São Paulo - SP</v>
      </c>
      <c r="H1142" t="str">
        <f>_xlfn.XLOOKUP(A1142, PORTE!A:A, PORTE!B:B)</f>
        <v>11-50</v>
      </c>
      <c r="I1142" t="str">
        <f>_xlfn.XLOOKUP(A1142, OBJETIVO!A:A, OBJETIVO!B:B)</f>
        <v>Geração de leads b2b</v>
      </c>
      <c r="J1142">
        <f t="shared" si="17"/>
        <v>0</v>
      </c>
    </row>
    <row r="1143" spans="1:10" x14ac:dyDescent="0.25">
      <c r="A1143">
        <v>11365608</v>
      </c>
      <c r="B1143" s="1">
        <v>45704.603634259256</v>
      </c>
      <c r="C1143" t="s">
        <v>0</v>
      </c>
      <c r="D1143" t="str">
        <f>VLOOKUP(A1143,MERCADO!A:B,2,0)</f>
        <v>Imobiliaria/Incorporadora/Construtora</v>
      </c>
      <c r="E1143" t="str">
        <f>_xlfn.XLOOKUP(A1143, ORIGEM!A:A, ORIGEM!B:B)</f>
        <v>Facebook</v>
      </c>
      <c r="F1143" t="str">
        <f>_xlfn.XLOOKUP(A1143, ORIGEM!A:A, ORIGEM!C:C)</f>
        <v>facebook - cpc</v>
      </c>
      <c r="G1143" t="str">
        <f>_xlfn.XLOOKUP(A1143, LOCAL!A:A, LOCAL!B:B)</f>
        <v>Engenheiro Paulo de Frontin - RJ</v>
      </c>
      <c r="H1143" t="str">
        <f>_xlfn.XLOOKUP(A1143, PORTE!A:A, PORTE!B:B)</f>
        <v>1-10</v>
      </c>
      <c r="I1143" t="str">
        <f>_xlfn.XLOOKUP(A1143, OBJETIVO!A:A, OBJETIVO!B:B)</f>
        <v>Geração de leads b2b</v>
      </c>
      <c r="J1143">
        <f t="shared" si="17"/>
        <v>0</v>
      </c>
    </row>
    <row r="1144" spans="1:10" x14ac:dyDescent="0.25">
      <c r="A1144">
        <v>11372285</v>
      </c>
      <c r="B1144" s="1">
        <v>45705.376319444447</v>
      </c>
      <c r="C1144" t="s">
        <v>0</v>
      </c>
      <c r="D1144" t="str">
        <f>VLOOKUP(A1144,MERCADO!A:B,2,0)</f>
        <v>Imobiliaria/Incorporadora/Construtora</v>
      </c>
      <c r="E1144" t="str">
        <f>_xlfn.XLOOKUP(A1144, ORIGEM!A:A, ORIGEM!B:B)</f>
        <v>Facebook</v>
      </c>
      <c r="F1144" t="str">
        <f>_xlfn.XLOOKUP(A1144, ORIGEM!A:A, ORIGEM!C:C)</f>
        <v>facebook - cpc</v>
      </c>
      <c r="G1144" t="str">
        <f>_xlfn.XLOOKUP(A1144, LOCAL!A:A, LOCAL!B:B)</f>
        <v>Valparaiso de Goias - GO</v>
      </c>
      <c r="H1144" t="str">
        <f>_xlfn.XLOOKUP(A1144, PORTE!A:A, PORTE!B:B)</f>
        <v>11-50</v>
      </c>
      <c r="I1144" t="str">
        <f>_xlfn.XLOOKUP(A1144, OBJETIVO!A:A, OBJETIVO!B:B)</f>
        <v>Geração de leads b2b</v>
      </c>
      <c r="J1144">
        <f t="shared" si="17"/>
        <v>0</v>
      </c>
    </row>
    <row r="1145" spans="1:10" x14ac:dyDescent="0.25">
      <c r="A1145">
        <v>11966001</v>
      </c>
      <c r="B1145" s="1">
        <v>45760.480451388888</v>
      </c>
      <c r="C1145" t="s">
        <v>0</v>
      </c>
      <c r="D1145" t="str">
        <f>VLOOKUP(A1145,MERCADO!A:B,2,0)</f>
        <v>Imobiliaria/Incorporadora/Construtora</v>
      </c>
      <c r="E1145" t="str">
        <f>_xlfn.XLOOKUP(A1145, ORIGEM!A:A, ORIGEM!B:B)</f>
        <v>Orgânico</v>
      </c>
      <c r="F1145">
        <f>_xlfn.XLOOKUP(A1145, ORIGEM!A:A, ORIGEM!C:C)</f>
        <v>0</v>
      </c>
      <c r="G1145" t="str">
        <f>_xlfn.XLOOKUP(A1145, LOCAL!A:A, LOCAL!B:B)</f>
        <v>Joinville - SC</v>
      </c>
      <c r="H1145" t="str">
        <f>_xlfn.XLOOKUP(A1145, PORTE!A:A, PORTE!B:B)</f>
        <v>0</v>
      </c>
      <c r="I1145" t="str">
        <f>_xlfn.XLOOKUP(A1145, OBJETIVO!A:A, OBJETIVO!B:B)</f>
        <v>Abertura/Expansão</v>
      </c>
      <c r="J1145">
        <f t="shared" si="17"/>
        <v>0</v>
      </c>
    </row>
    <row r="1146" spans="1:10" x14ac:dyDescent="0.25">
      <c r="A1146">
        <v>11602385</v>
      </c>
      <c r="B1146" s="1">
        <v>45726.649641203701</v>
      </c>
      <c r="C1146" t="s">
        <v>0</v>
      </c>
      <c r="D1146" t="str">
        <f>VLOOKUP(A1146,MERCADO!A:B,2,0)</f>
        <v>Imobiliaria/Incorporadora/Construtora</v>
      </c>
      <c r="E1146" t="str">
        <f>_xlfn.XLOOKUP(A1146, ORIGEM!A:A, ORIGEM!B:B)</f>
        <v>Orgânico</v>
      </c>
      <c r="F1146">
        <f>_xlfn.XLOOKUP(A1146, ORIGEM!A:A, ORIGEM!C:C)</f>
        <v>0</v>
      </c>
      <c r="G1146" t="str">
        <f>_xlfn.XLOOKUP(A1146, LOCAL!A:A, LOCAL!B:B)</f>
        <v>Rio de Janeiro - RJ</v>
      </c>
      <c r="H1146" t="str">
        <f>_xlfn.XLOOKUP(A1146, PORTE!A:A, PORTE!B:B)</f>
        <v>0</v>
      </c>
      <c r="I1146" t="str">
        <f>_xlfn.XLOOKUP(A1146, OBJETIVO!A:A, OBJETIVO!B:B)</f>
        <v>Abertura/Expansão</v>
      </c>
      <c r="J1146">
        <f t="shared" si="17"/>
        <v>0</v>
      </c>
    </row>
    <row r="1147" spans="1:10" x14ac:dyDescent="0.25">
      <c r="A1147">
        <v>11631665</v>
      </c>
      <c r="B1147" s="1">
        <v>45729.49119212963</v>
      </c>
      <c r="C1147" t="s">
        <v>0</v>
      </c>
      <c r="D1147" t="str">
        <f>VLOOKUP(A1147,MERCADO!A:B,2,0)</f>
        <v>Imobiliaria/Incorporadora/Construtora</v>
      </c>
      <c r="E1147" t="str">
        <f>_xlfn.XLOOKUP(A1147, ORIGEM!A:A, ORIGEM!B:B)</f>
        <v>Orgânico</v>
      </c>
      <c r="F1147">
        <f>_xlfn.XLOOKUP(A1147, ORIGEM!A:A, ORIGEM!C:C)</f>
        <v>0</v>
      </c>
      <c r="G1147" t="str">
        <f>_xlfn.XLOOKUP(A1147, LOCAL!A:A, LOCAL!B:B)</f>
        <v>Tatuí - SP</v>
      </c>
      <c r="H1147" t="str">
        <f>_xlfn.XLOOKUP(A1147, PORTE!A:A, PORTE!B:B)</f>
        <v>11-50</v>
      </c>
      <c r="I1147" t="str">
        <f>_xlfn.XLOOKUP(A1147, OBJETIVO!A:A, OBJETIVO!B:B)</f>
        <v>Ações de marketing/vendas</v>
      </c>
      <c r="J1147">
        <f t="shared" si="17"/>
        <v>0</v>
      </c>
    </row>
    <row r="1148" spans="1:10" x14ac:dyDescent="0.25">
      <c r="A1148">
        <v>11634432</v>
      </c>
      <c r="B1148" s="1">
        <v>45730.529699074075</v>
      </c>
      <c r="C1148" t="s">
        <v>0</v>
      </c>
      <c r="D1148" t="str">
        <f>VLOOKUP(A1148,MERCADO!A:B,2,0)</f>
        <v>Imobiliaria/Incorporadora/Construtora</v>
      </c>
      <c r="E1148" t="str">
        <f>_xlfn.XLOOKUP(A1148, ORIGEM!A:A, ORIGEM!B:B)</f>
        <v>Orgânico</v>
      </c>
      <c r="F1148">
        <f>_xlfn.XLOOKUP(A1148, ORIGEM!A:A, ORIGEM!C:C)</f>
        <v>0</v>
      </c>
      <c r="G1148" t="str">
        <f>_xlfn.XLOOKUP(A1148, LOCAL!A:A, LOCAL!B:B)</f>
        <v>Fortaleza - CE</v>
      </c>
      <c r="H1148" t="str">
        <f>_xlfn.XLOOKUP(A1148, PORTE!A:A, PORTE!B:B)</f>
        <v>1-10</v>
      </c>
      <c r="I1148" t="str">
        <f>_xlfn.XLOOKUP(A1148, OBJETIVO!A:A, OBJETIVO!B:B)</f>
        <v>Abertura/Expansão</v>
      </c>
      <c r="J1148">
        <f t="shared" si="17"/>
        <v>0</v>
      </c>
    </row>
    <row r="1149" spans="1:10" x14ac:dyDescent="0.25">
      <c r="A1149">
        <v>11584967</v>
      </c>
      <c r="B1149" s="1">
        <v>45725.536145833335</v>
      </c>
      <c r="C1149" t="s">
        <v>0</v>
      </c>
      <c r="D1149" t="str">
        <f>VLOOKUP(A1149,MERCADO!A:B,2,0)</f>
        <v>Imobiliaria/Incorporadora/Construtora</v>
      </c>
      <c r="E1149" t="str">
        <f>_xlfn.XLOOKUP(A1149, ORIGEM!A:A, ORIGEM!B:B)</f>
        <v>Orgânico</v>
      </c>
      <c r="F1149">
        <f>_xlfn.XLOOKUP(A1149, ORIGEM!A:A, ORIGEM!C:C)</f>
        <v>0</v>
      </c>
      <c r="G1149" t="str">
        <f>_xlfn.XLOOKUP(A1149, LOCAL!A:A, LOCAL!B:B)</f>
        <v>São Paulo - SP</v>
      </c>
      <c r="H1149" t="str">
        <f>_xlfn.XLOOKUP(A1149, PORTE!A:A, PORTE!B:B)</f>
        <v>0</v>
      </c>
      <c r="I1149" t="str">
        <f>_xlfn.XLOOKUP(A1149, OBJETIVO!A:A, OBJETIVO!B:B)</f>
        <v>Outro</v>
      </c>
      <c r="J1149">
        <f t="shared" si="17"/>
        <v>0</v>
      </c>
    </row>
    <row r="1150" spans="1:10" x14ac:dyDescent="0.25">
      <c r="A1150">
        <v>11532929</v>
      </c>
      <c r="B1150" s="1">
        <v>45720.495289351849</v>
      </c>
      <c r="C1150" t="s">
        <v>0</v>
      </c>
      <c r="D1150" t="str">
        <f>VLOOKUP(A1150,MERCADO!A:B,2,0)</f>
        <v>Imobiliaria/Incorporadora/Construtora</v>
      </c>
      <c r="E1150" t="str">
        <f>_xlfn.XLOOKUP(A1150, ORIGEM!A:A, ORIGEM!B:B)</f>
        <v>Orgânico</v>
      </c>
      <c r="F1150">
        <f>_xlfn.XLOOKUP(A1150, ORIGEM!A:A, ORIGEM!C:C)</f>
        <v>0</v>
      </c>
      <c r="G1150" t="str">
        <f>_xlfn.XLOOKUP(A1150, LOCAL!A:A, LOCAL!B:B)</f>
        <v>Belo Horizonte - MG</v>
      </c>
      <c r="H1150" t="str">
        <f>_xlfn.XLOOKUP(A1150, PORTE!A:A, PORTE!B:B)</f>
        <v>51-300</v>
      </c>
      <c r="I1150" t="str">
        <f>_xlfn.XLOOKUP(A1150, OBJETIVO!A:A, OBJETIVO!B:B)</f>
        <v>Abertura/Expansão</v>
      </c>
      <c r="J1150">
        <f t="shared" si="17"/>
        <v>0</v>
      </c>
    </row>
    <row r="1151" spans="1:10" x14ac:dyDescent="0.25">
      <c r="A1151">
        <v>11371194</v>
      </c>
      <c r="B1151" s="1">
        <v>45705.00472222222</v>
      </c>
      <c r="C1151" t="s">
        <v>0</v>
      </c>
      <c r="D1151" t="str">
        <f>VLOOKUP(A1151,MERCADO!A:B,2,0)</f>
        <v>Imobiliaria/Incorporadora/Construtora</v>
      </c>
      <c r="E1151" t="str">
        <f>_xlfn.XLOOKUP(A1151, ORIGEM!A:A, ORIGEM!B:B)</f>
        <v>Orgânico</v>
      </c>
      <c r="F1151">
        <f>_xlfn.XLOOKUP(A1151, ORIGEM!A:A, ORIGEM!C:C)</f>
        <v>0</v>
      </c>
      <c r="G1151" t="str">
        <f>_xlfn.XLOOKUP(A1151, LOCAL!A:A, LOCAL!B:B)</f>
        <v>Goiânia - GO</v>
      </c>
      <c r="H1151" t="str">
        <f>_xlfn.XLOOKUP(A1151, PORTE!A:A, PORTE!B:B)</f>
        <v>0</v>
      </c>
      <c r="I1151" t="str">
        <f>_xlfn.XLOOKUP(A1151, OBJETIVO!A:A, OBJETIVO!B:B)</f>
        <v>Geração de leads b2b</v>
      </c>
      <c r="J1151">
        <f t="shared" si="17"/>
        <v>0</v>
      </c>
    </row>
    <row r="1152" spans="1:10" x14ac:dyDescent="0.25">
      <c r="A1152">
        <v>11374054</v>
      </c>
      <c r="B1152" s="1">
        <v>45705.435578703706</v>
      </c>
      <c r="C1152" t="s">
        <v>0</v>
      </c>
      <c r="D1152" t="str">
        <f>VLOOKUP(A1152,MERCADO!A:B,2,0)</f>
        <v>Imobiliaria/Incorporadora/Construtora</v>
      </c>
      <c r="E1152" t="str">
        <f>_xlfn.XLOOKUP(A1152, ORIGEM!A:A, ORIGEM!B:B)</f>
        <v>Orgânico</v>
      </c>
      <c r="F1152">
        <f>_xlfn.XLOOKUP(A1152, ORIGEM!A:A, ORIGEM!C:C)</f>
        <v>0</v>
      </c>
      <c r="G1152" t="str">
        <f>_xlfn.XLOOKUP(A1152, LOCAL!A:A, LOCAL!B:B)</f>
        <v>São Paulo - SP</v>
      </c>
      <c r="H1152" t="str">
        <f>_xlfn.XLOOKUP(A1152, PORTE!A:A, PORTE!B:B)</f>
        <v>+ 1000</v>
      </c>
      <c r="I1152" t="str">
        <f>_xlfn.XLOOKUP(A1152, OBJETIVO!A:A, OBJETIVO!B:B)</f>
        <v>Outro</v>
      </c>
      <c r="J1152">
        <f t="shared" si="17"/>
        <v>0</v>
      </c>
    </row>
    <row r="1153" spans="1:10" x14ac:dyDescent="0.25">
      <c r="A1153">
        <v>11280510</v>
      </c>
      <c r="B1153" s="1">
        <v>45696.532326388886</v>
      </c>
      <c r="C1153" t="s">
        <v>0</v>
      </c>
      <c r="D1153" t="str">
        <f>VLOOKUP(A1153,MERCADO!A:B,2,0)</f>
        <v>Imobiliaria/Incorporadora/Construtora</v>
      </c>
      <c r="E1153" t="str">
        <f>_xlfn.XLOOKUP(A1153, ORIGEM!A:A, ORIGEM!B:B)</f>
        <v>Orgânico</v>
      </c>
      <c r="F1153">
        <f>_xlfn.XLOOKUP(A1153, ORIGEM!A:A, ORIGEM!C:C)</f>
        <v>0</v>
      </c>
      <c r="G1153" t="str">
        <f>_xlfn.XLOOKUP(A1153, LOCAL!A:A, LOCAL!B:B)</f>
        <v>Santo André - SP</v>
      </c>
      <c r="H1153" t="str">
        <f>_xlfn.XLOOKUP(A1153, PORTE!A:A, PORTE!B:B)</f>
        <v>0</v>
      </c>
      <c r="I1153" t="str">
        <f>_xlfn.XLOOKUP(A1153, OBJETIVO!A:A, OBJETIVO!B:B)</f>
        <v>Outro</v>
      </c>
      <c r="J1153">
        <f t="shared" si="17"/>
        <v>0</v>
      </c>
    </row>
    <row r="1154" spans="1:10" x14ac:dyDescent="0.25">
      <c r="A1154">
        <v>11266691</v>
      </c>
      <c r="B1154" s="1">
        <v>45693.775324074071</v>
      </c>
      <c r="C1154" t="s">
        <v>0</v>
      </c>
      <c r="D1154" t="str">
        <f>VLOOKUP(A1154,MERCADO!A:B,2,0)</f>
        <v>Imobiliaria/Incorporadora/Construtora</v>
      </c>
      <c r="E1154" t="str">
        <f>_xlfn.XLOOKUP(A1154, ORIGEM!A:A, ORIGEM!B:B)</f>
        <v>Orgânico</v>
      </c>
      <c r="F1154">
        <f>_xlfn.XLOOKUP(A1154, ORIGEM!A:A, ORIGEM!C:C)</f>
        <v>0</v>
      </c>
      <c r="G1154" t="str">
        <f>_xlfn.XLOOKUP(A1154, LOCAL!A:A, LOCAL!B:B)</f>
        <v>Santo André - SP</v>
      </c>
      <c r="H1154" t="str">
        <f>_xlfn.XLOOKUP(A1154, PORTE!A:A, PORTE!B:B)</f>
        <v>0</v>
      </c>
      <c r="I1154" t="str">
        <f>_xlfn.XLOOKUP(A1154, OBJETIVO!A:A, OBJETIVO!B:B)</f>
        <v>Ações de marketing/vendas</v>
      </c>
      <c r="J1154">
        <f t="shared" si="17"/>
        <v>0</v>
      </c>
    </row>
    <row r="1155" spans="1:10" x14ac:dyDescent="0.25">
      <c r="A1155">
        <v>10781923</v>
      </c>
      <c r="B1155" s="1">
        <v>45646.608136574076</v>
      </c>
      <c r="C1155" t="s">
        <v>0</v>
      </c>
      <c r="D1155" t="str">
        <f>VLOOKUP(A1155,MERCADO!A:B,2,0)</f>
        <v>Marketing/Publicidade/Consultoria</v>
      </c>
      <c r="E1155" t="str">
        <f>_xlfn.XLOOKUP(A1155, ORIGEM!A:A, ORIGEM!B:B)</f>
        <v>Orgânico</v>
      </c>
      <c r="F1155">
        <f>_xlfn.XLOOKUP(A1155, ORIGEM!A:A, ORIGEM!C:C)</f>
        <v>0</v>
      </c>
      <c r="G1155" t="str">
        <f>_xlfn.XLOOKUP(A1155, LOCAL!A:A, LOCAL!B:B)</f>
        <v>Dom Eliseu - PA</v>
      </c>
      <c r="H1155" t="str">
        <f>_xlfn.XLOOKUP(A1155, PORTE!A:A, PORTE!B:B)</f>
        <v>0</v>
      </c>
      <c r="I1155" t="str">
        <f>_xlfn.XLOOKUP(A1155, OBJETIVO!A:A, OBJETIVO!B:B)</f>
        <v>Outro</v>
      </c>
      <c r="J1155">
        <f t="shared" ref="J1155:J1218" si="18">IF(C1155="SIM",1,0)</f>
        <v>0</v>
      </c>
    </row>
    <row r="1156" spans="1:10" x14ac:dyDescent="0.25">
      <c r="A1156">
        <v>10802554</v>
      </c>
      <c r="B1156" s="1">
        <v>45648.697465277779</v>
      </c>
      <c r="C1156" t="s">
        <v>0</v>
      </c>
      <c r="D1156" t="str">
        <f>VLOOKUP(A1156,MERCADO!A:B,2,0)</f>
        <v>Marketing/Publicidade/Consultoria</v>
      </c>
      <c r="E1156" t="str">
        <f>_xlfn.XLOOKUP(A1156, ORIGEM!A:A, ORIGEM!B:B)</f>
        <v>Orgânico</v>
      </c>
      <c r="F1156">
        <f>_xlfn.XLOOKUP(A1156, ORIGEM!A:A, ORIGEM!C:C)</f>
        <v>0</v>
      </c>
      <c r="G1156" t="str">
        <f>_xlfn.XLOOKUP(A1156, LOCAL!A:A, LOCAL!B:B)</f>
        <v>Betim - MG</v>
      </c>
      <c r="H1156" t="str">
        <f>_xlfn.XLOOKUP(A1156, PORTE!A:A, PORTE!B:B)</f>
        <v>0</v>
      </c>
      <c r="I1156" t="str">
        <f>_xlfn.XLOOKUP(A1156, OBJETIVO!A:A, OBJETIVO!B:B)</f>
        <v>Ações de marketing/vendas</v>
      </c>
      <c r="J1156">
        <f t="shared" si="18"/>
        <v>0</v>
      </c>
    </row>
    <row r="1157" spans="1:10" x14ac:dyDescent="0.25">
      <c r="A1157">
        <v>10860208</v>
      </c>
      <c r="B1157" s="1">
        <v>45661.502962962964</v>
      </c>
      <c r="C1157" t="s">
        <v>0</v>
      </c>
      <c r="D1157" t="str">
        <f>VLOOKUP(A1157,MERCADO!A:B,2,0)</f>
        <v>Marketing/Publicidade/Consultoria</v>
      </c>
      <c r="E1157" t="str">
        <f>_xlfn.XLOOKUP(A1157, ORIGEM!A:A, ORIGEM!B:B)</f>
        <v>Orgânico</v>
      </c>
      <c r="F1157">
        <f>_xlfn.XLOOKUP(A1157, ORIGEM!A:A, ORIGEM!C:C)</f>
        <v>0</v>
      </c>
      <c r="G1157" t="str">
        <f>_xlfn.XLOOKUP(A1157, LOCAL!A:A, LOCAL!B:B)</f>
        <v>Campo Bom - RS</v>
      </c>
      <c r="H1157" t="str">
        <f>_xlfn.XLOOKUP(A1157, PORTE!A:A, PORTE!B:B)</f>
        <v>1-10</v>
      </c>
      <c r="I1157" t="str">
        <f>_xlfn.XLOOKUP(A1157, OBJETIVO!A:A, OBJETIVO!B:B)</f>
        <v>Geração de leads b2b</v>
      </c>
      <c r="J1157">
        <f t="shared" si="18"/>
        <v>0</v>
      </c>
    </row>
    <row r="1158" spans="1:10" x14ac:dyDescent="0.25">
      <c r="A1158">
        <v>10868752</v>
      </c>
      <c r="B1158" s="1">
        <v>45661.757164351853</v>
      </c>
      <c r="C1158" t="s">
        <v>0</v>
      </c>
      <c r="D1158" t="str">
        <f>VLOOKUP(A1158,MERCADO!A:B,2,0)</f>
        <v>Marketing/Publicidade/Consultoria</v>
      </c>
      <c r="E1158" t="str">
        <f>_xlfn.XLOOKUP(A1158, ORIGEM!A:A, ORIGEM!B:B)</f>
        <v>Orgânico</v>
      </c>
      <c r="F1158">
        <f>_xlfn.XLOOKUP(A1158, ORIGEM!A:A, ORIGEM!C:C)</f>
        <v>0</v>
      </c>
      <c r="G1158" t="str">
        <f>_xlfn.XLOOKUP(A1158, LOCAL!A:A, LOCAL!B:B)</f>
        <v>Rio de Janeiro - RJ</v>
      </c>
      <c r="H1158" t="str">
        <f>_xlfn.XLOOKUP(A1158, PORTE!A:A, PORTE!B:B)</f>
        <v>0</v>
      </c>
      <c r="I1158" t="str">
        <f>_xlfn.XLOOKUP(A1158, OBJETIVO!A:A, OBJETIVO!B:B)</f>
        <v>Outro</v>
      </c>
      <c r="J1158">
        <f t="shared" si="18"/>
        <v>0</v>
      </c>
    </row>
    <row r="1159" spans="1:10" x14ac:dyDescent="0.25">
      <c r="A1159">
        <v>10929665</v>
      </c>
      <c r="B1159" s="1">
        <v>45668.462280092594</v>
      </c>
      <c r="C1159" t="s">
        <v>0</v>
      </c>
      <c r="D1159" t="str">
        <f>VLOOKUP(A1159,MERCADO!A:B,2,0)</f>
        <v>Imobiliaria/Incorporadora/Construtora</v>
      </c>
      <c r="E1159" t="str">
        <f>_xlfn.XLOOKUP(A1159, ORIGEM!A:A, ORIGEM!B:B)</f>
        <v>Google</v>
      </c>
      <c r="F1159" t="str">
        <f>_xlfn.XLOOKUP(A1159, ORIGEM!A:A, ORIGEM!C:C)</f>
        <v>google - cpc</v>
      </c>
      <c r="G1159" t="str">
        <f>_xlfn.XLOOKUP(A1159, LOCAL!A:A, LOCAL!B:B)</f>
        <v>Rio de Janeiro - RJ</v>
      </c>
      <c r="H1159" t="str">
        <f>_xlfn.XLOOKUP(A1159, PORTE!A:A, PORTE!B:B)</f>
        <v>1-10</v>
      </c>
      <c r="I1159" t="str">
        <f>_xlfn.XLOOKUP(A1159, OBJETIVO!A:A, OBJETIVO!B:B)</f>
        <v>Geração de leads b2b</v>
      </c>
      <c r="J1159">
        <f t="shared" si="18"/>
        <v>0</v>
      </c>
    </row>
    <row r="1160" spans="1:10" x14ac:dyDescent="0.25">
      <c r="A1160">
        <v>10714150</v>
      </c>
      <c r="B1160" s="1">
        <v>45640.529606481483</v>
      </c>
      <c r="C1160" t="s">
        <v>0</v>
      </c>
      <c r="D1160" t="str">
        <f>VLOOKUP(A1160,MERCADO!A:B,2,0)</f>
        <v>Imobiliaria/Incorporadora/Construtora</v>
      </c>
      <c r="E1160" t="str">
        <f>_xlfn.XLOOKUP(A1160, ORIGEM!A:A, ORIGEM!B:B)</f>
        <v>Google</v>
      </c>
      <c r="F1160" t="str">
        <f>_xlfn.XLOOKUP(A1160, ORIGEM!A:A, ORIGEM!C:C)</f>
        <v>google - cpc</v>
      </c>
      <c r="G1160" t="str">
        <f>_xlfn.XLOOKUP(A1160, LOCAL!A:A, LOCAL!B:B)</f>
        <v>São Paulo - SP</v>
      </c>
      <c r="H1160" t="str">
        <f>_xlfn.XLOOKUP(A1160, PORTE!A:A, PORTE!B:B)</f>
        <v>0</v>
      </c>
      <c r="I1160" t="str">
        <f>_xlfn.XLOOKUP(A1160, OBJETIVO!A:A, OBJETIVO!B:B)</f>
        <v>Planejamento estratégico</v>
      </c>
      <c r="J1160">
        <f t="shared" si="18"/>
        <v>0</v>
      </c>
    </row>
    <row r="1161" spans="1:10" x14ac:dyDescent="0.25">
      <c r="A1161">
        <v>10680002</v>
      </c>
      <c r="B1161" s="1">
        <v>45636.429432870369</v>
      </c>
      <c r="C1161" t="s">
        <v>0</v>
      </c>
      <c r="D1161" t="str">
        <f>VLOOKUP(A1161,MERCADO!A:B,2,0)</f>
        <v>Imobiliaria/Incorporadora/Construtora</v>
      </c>
      <c r="E1161" t="str">
        <f>_xlfn.XLOOKUP(A1161, ORIGEM!A:A, ORIGEM!B:B)</f>
        <v>Google</v>
      </c>
      <c r="F1161" t="str">
        <f>_xlfn.XLOOKUP(A1161, ORIGEM!A:A, ORIGEM!C:C)</f>
        <v>google - cpc</v>
      </c>
      <c r="G1161" t="str">
        <f>_xlfn.XLOOKUP(A1161, LOCAL!A:A, LOCAL!B:B)</f>
        <v>Divinópolis - MG</v>
      </c>
      <c r="H1161" t="str">
        <f>_xlfn.XLOOKUP(A1161, PORTE!A:A, PORTE!B:B)</f>
        <v>11-50</v>
      </c>
      <c r="I1161" t="str">
        <f>_xlfn.XLOOKUP(A1161, OBJETIVO!A:A, OBJETIVO!B:B)</f>
        <v>Abertura/Expansão</v>
      </c>
      <c r="J1161">
        <f t="shared" si="18"/>
        <v>0</v>
      </c>
    </row>
    <row r="1162" spans="1:10" x14ac:dyDescent="0.25">
      <c r="A1162">
        <v>10680115</v>
      </c>
      <c r="B1162" s="1">
        <v>45636.434166666666</v>
      </c>
      <c r="C1162" t="s">
        <v>0</v>
      </c>
      <c r="D1162" t="str">
        <f>VLOOKUP(A1162,MERCADO!A:B,2,0)</f>
        <v>Imobiliaria/Incorporadora/Construtora</v>
      </c>
      <c r="E1162" t="str">
        <f>_xlfn.XLOOKUP(A1162, ORIGEM!A:A, ORIGEM!B:B)</f>
        <v>Google</v>
      </c>
      <c r="F1162" t="str">
        <f>_xlfn.XLOOKUP(A1162, ORIGEM!A:A, ORIGEM!C:C)</f>
        <v>google - cpc</v>
      </c>
      <c r="G1162" t="str">
        <f>_xlfn.XLOOKUP(A1162, LOCAL!A:A, LOCAL!B:B)</f>
        <v>Divinópolis - MG</v>
      </c>
      <c r="H1162" t="str">
        <f>_xlfn.XLOOKUP(A1162, PORTE!A:A, PORTE!B:B)</f>
        <v>51-300</v>
      </c>
      <c r="I1162" t="str">
        <f>_xlfn.XLOOKUP(A1162, OBJETIVO!A:A, OBJETIVO!B:B)</f>
        <v>Abertura/Expansão</v>
      </c>
      <c r="J1162">
        <f t="shared" si="18"/>
        <v>0</v>
      </c>
    </row>
    <row r="1163" spans="1:10" x14ac:dyDescent="0.25">
      <c r="A1163">
        <v>11863999</v>
      </c>
      <c r="B1163" s="1">
        <v>45752.418969907405</v>
      </c>
      <c r="C1163" t="s">
        <v>0</v>
      </c>
      <c r="D1163" t="str">
        <f>VLOOKUP(A1163,MERCADO!A:B,2,0)</f>
        <v>Imobiliaria/Incorporadora/Construtora</v>
      </c>
      <c r="E1163" t="str">
        <f>_xlfn.XLOOKUP(A1163, ORIGEM!A:A, ORIGEM!B:B)</f>
        <v>Orgânico</v>
      </c>
      <c r="F1163">
        <f>_xlfn.XLOOKUP(A1163, ORIGEM!A:A, ORIGEM!C:C)</f>
        <v>0</v>
      </c>
      <c r="G1163" t="str">
        <f>_xlfn.XLOOKUP(A1163, LOCAL!A:A, LOCAL!B:B)</f>
        <v>São Paulo - SP</v>
      </c>
      <c r="H1163" t="str">
        <f>_xlfn.XLOOKUP(A1163, PORTE!A:A, PORTE!B:B)</f>
        <v>11-50</v>
      </c>
      <c r="I1163" t="str">
        <f>_xlfn.XLOOKUP(A1163, OBJETIVO!A:A, OBJETIVO!B:B)</f>
        <v>Outro</v>
      </c>
      <c r="J1163">
        <f t="shared" si="18"/>
        <v>0</v>
      </c>
    </row>
    <row r="1164" spans="1:10" x14ac:dyDescent="0.25">
      <c r="A1164">
        <v>11876754</v>
      </c>
      <c r="B1164" s="1">
        <v>45753.415219907409</v>
      </c>
      <c r="C1164" t="s">
        <v>0</v>
      </c>
      <c r="D1164" t="str">
        <f>VLOOKUP(A1164,MERCADO!A:B,2,0)</f>
        <v>Imobiliaria/Incorporadora/Construtora</v>
      </c>
      <c r="E1164" t="str">
        <f>_xlfn.XLOOKUP(A1164, ORIGEM!A:A, ORIGEM!B:B)</f>
        <v>Orgânico</v>
      </c>
      <c r="F1164">
        <f>_xlfn.XLOOKUP(A1164, ORIGEM!A:A, ORIGEM!C:C)</f>
        <v>0</v>
      </c>
      <c r="G1164" t="str">
        <f>_xlfn.XLOOKUP(A1164, LOCAL!A:A, LOCAL!B:B)</f>
        <v>Sao Goncalo - RJ</v>
      </c>
      <c r="H1164" t="str">
        <f>_xlfn.XLOOKUP(A1164, PORTE!A:A, PORTE!B:B)</f>
        <v>1-10</v>
      </c>
      <c r="I1164" t="str">
        <f>_xlfn.XLOOKUP(A1164, OBJETIVO!A:A, OBJETIVO!B:B)</f>
        <v>Planejamento estratégico</v>
      </c>
      <c r="J1164">
        <f t="shared" si="18"/>
        <v>0</v>
      </c>
    </row>
    <row r="1165" spans="1:10" x14ac:dyDescent="0.25">
      <c r="A1165">
        <v>11386795</v>
      </c>
      <c r="B1165" s="1">
        <v>45706.485879629632</v>
      </c>
      <c r="C1165" t="s">
        <v>0</v>
      </c>
      <c r="D1165" t="str">
        <f>VLOOKUP(A1165,MERCADO!A:B,2,0)</f>
        <v>Imobiliaria/Incorporadora/Construtora</v>
      </c>
      <c r="E1165" t="str">
        <f>_xlfn.XLOOKUP(A1165, ORIGEM!A:A, ORIGEM!B:B)</f>
        <v>Orgânico</v>
      </c>
      <c r="F1165">
        <f>_xlfn.XLOOKUP(A1165, ORIGEM!A:A, ORIGEM!C:C)</f>
        <v>0</v>
      </c>
      <c r="G1165" t="str">
        <f>_xlfn.XLOOKUP(A1165, LOCAL!A:A, LOCAL!B:B)</f>
        <v>São Paulo - SP</v>
      </c>
      <c r="H1165" t="str">
        <f>_xlfn.XLOOKUP(A1165, PORTE!A:A, PORTE!B:B)</f>
        <v>0</v>
      </c>
      <c r="I1165" t="str">
        <f>_xlfn.XLOOKUP(A1165, OBJETIVO!A:A, OBJETIVO!B:B)</f>
        <v>Ações de marketing/vendas</v>
      </c>
      <c r="J1165">
        <f t="shared" si="18"/>
        <v>0</v>
      </c>
    </row>
    <row r="1166" spans="1:10" x14ac:dyDescent="0.25">
      <c r="A1166">
        <v>11523849</v>
      </c>
      <c r="B1166" s="1">
        <v>45719.675324074073</v>
      </c>
      <c r="C1166" t="s">
        <v>0</v>
      </c>
      <c r="D1166" t="str">
        <f>VLOOKUP(A1166,MERCADO!A:B,2,0)</f>
        <v>Imobiliaria/Incorporadora/Construtora</v>
      </c>
      <c r="E1166" t="str">
        <f>_xlfn.XLOOKUP(A1166, ORIGEM!A:A, ORIGEM!B:B)</f>
        <v>Orgânico</v>
      </c>
      <c r="F1166">
        <f>_xlfn.XLOOKUP(A1166, ORIGEM!A:A, ORIGEM!C:C)</f>
        <v>0</v>
      </c>
      <c r="G1166" t="str">
        <f>_xlfn.XLOOKUP(A1166, LOCAL!A:A, LOCAL!B:B)</f>
        <v>São Carlos - SP</v>
      </c>
      <c r="H1166" t="str">
        <f>_xlfn.XLOOKUP(A1166, PORTE!A:A, PORTE!B:B)</f>
        <v>1-10</v>
      </c>
      <c r="I1166" t="str">
        <f>_xlfn.XLOOKUP(A1166, OBJETIVO!A:A, OBJETIVO!B:B)</f>
        <v>Outro</v>
      </c>
      <c r="J1166">
        <f t="shared" si="18"/>
        <v>0</v>
      </c>
    </row>
    <row r="1167" spans="1:10" x14ac:dyDescent="0.25">
      <c r="A1167">
        <v>11450806</v>
      </c>
      <c r="B1167" s="1">
        <v>45712.695891203701</v>
      </c>
      <c r="C1167" t="s">
        <v>0</v>
      </c>
      <c r="D1167" t="str">
        <f>VLOOKUP(A1167,MERCADO!A:B,2,0)</f>
        <v>Imobiliaria/Incorporadora/Construtora</v>
      </c>
      <c r="E1167" t="str">
        <f>_xlfn.XLOOKUP(A1167, ORIGEM!A:A, ORIGEM!B:B)</f>
        <v>Orgânico</v>
      </c>
      <c r="F1167">
        <f>_xlfn.XLOOKUP(A1167, ORIGEM!A:A, ORIGEM!C:C)</f>
        <v>0</v>
      </c>
      <c r="G1167" t="str">
        <f>_xlfn.XLOOKUP(A1167, LOCAL!A:A, LOCAL!B:B)</f>
        <v>Santa Efigênia - MG</v>
      </c>
      <c r="H1167" t="str">
        <f>_xlfn.XLOOKUP(A1167, PORTE!A:A, PORTE!B:B)</f>
        <v>301-1000</v>
      </c>
      <c r="I1167" t="str">
        <f>_xlfn.XLOOKUP(A1167, OBJETIVO!A:A, OBJETIVO!B:B)</f>
        <v>Ações de marketing/vendas</v>
      </c>
      <c r="J1167">
        <f t="shared" si="18"/>
        <v>0</v>
      </c>
    </row>
    <row r="1168" spans="1:10" x14ac:dyDescent="0.25">
      <c r="A1168">
        <v>11001197</v>
      </c>
      <c r="B1168" s="1">
        <v>45672.608738425923</v>
      </c>
      <c r="C1168" t="s">
        <v>0</v>
      </c>
      <c r="D1168" t="str">
        <f>VLOOKUP(A1168,MERCADO!A:B,2,0)</f>
        <v>Imobiliaria/Incorporadora/Construtora</v>
      </c>
      <c r="E1168" t="str">
        <f>_xlfn.XLOOKUP(A1168, ORIGEM!A:A, ORIGEM!B:B)</f>
        <v>Orgânico</v>
      </c>
      <c r="F1168">
        <f>_xlfn.XLOOKUP(A1168, ORIGEM!A:A, ORIGEM!C:C)</f>
        <v>0</v>
      </c>
      <c r="G1168" t="str">
        <f>_xlfn.XLOOKUP(A1168, LOCAL!A:A, LOCAL!B:B)</f>
        <v>Rio de Janeiro, RJ</v>
      </c>
      <c r="H1168" t="str">
        <f>_xlfn.XLOOKUP(A1168, PORTE!A:A, PORTE!B:B)</f>
        <v>1-10</v>
      </c>
      <c r="I1168" t="str">
        <f>_xlfn.XLOOKUP(A1168, OBJETIVO!A:A, OBJETIVO!B:B)</f>
        <v>Planejamento estratégico</v>
      </c>
      <c r="J1168">
        <f t="shared" si="18"/>
        <v>0</v>
      </c>
    </row>
    <row r="1169" spans="1:10" x14ac:dyDescent="0.25">
      <c r="A1169">
        <v>11213616</v>
      </c>
      <c r="B1169" s="1">
        <v>45689.763773148145</v>
      </c>
      <c r="C1169" t="s">
        <v>0</v>
      </c>
      <c r="D1169" t="str">
        <f>VLOOKUP(A1169,MERCADO!A:B,2,0)</f>
        <v>Imobiliaria/Incorporadora/Construtora</v>
      </c>
      <c r="E1169" t="str">
        <f>_xlfn.XLOOKUP(A1169, ORIGEM!A:A, ORIGEM!B:B)</f>
        <v>Orgânico</v>
      </c>
      <c r="F1169">
        <f>_xlfn.XLOOKUP(A1169, ORIGEM!A:A, ORIGEM!C:C)</f>
        <v>0</v>
      </c>
      <c r="G1169" t="str">
        <f>_xlfn.XLOOKUP(A1169, LOCAL!A:A, LOCAL!B:B)</f>
        <v>Brasília - DF</v>
      </c>
      <c r="H1169" t="str">
        <f>_xlfn.XLOOKUP(A1169, PORTE!A:A, PORTE!B:B)</f>
        <v>1-10</v>
      </c>
      <c r="I1169" t="str">
        <f>_xlfn.XLOOKUP(A1169, OBJETIVO!A:A, OBJETIVO!B:B)</f>
        <v>Ações de marketing/vendas</v>
      </c>
      <c r="J1169">
        <f t="shared" si="18"/>
        <v>0</v>
      </c>
    </row>
    <row r="1170" spans="1:10" x14ac:dyDescent="0.25">
      <c r="A1170">
        <v>10853754</v>
      </c>
      <c r="B1170" s="1">
        <v>45660.916712962964</v>
      </c>
      <c r="C1170" t="s">
        <v>0</v>
      </c>
      <c r="D1170" t="str">
        <f>VLOOKUP(A1170,MERCADO!A:B,2,0)</f>
        <v>Imobiliaria/Incorporadora/Construtora</v>
      </c>
      <c r="E1170" t="str">
        <f>_xlfn.XLOOKUP(A1170, ORIGEM!A:A, ORIGEM!B:B)</f>
        <v>Orgânico</v>
      </c>
      <c r="F1170">
        <f>_xlfn.XLOOKUP(A1170, ORIGEM!A:A, ORIGEM!C:C)</f>
        <v>0</v>
      </c>
      <c r="G1170" t="str">
        <f>_xlfn.XLOOKUP(A1170, LOCAL!A:A, LOCAL!B:B)</f>
        <v>Diadema - SP</v>
      </c>
      <c r="H1170" t="str">
        <f>_xlfn.XLOOKUP(A1170, PORTE!A:A, PORTE!B:B)</f>
        <v>1-10</v>
      </c>
      <c r="I1170" t="str">
        <f>_xlfn.XLOOKUP(A1170, OBJETIVO!A:A, OBJETIVO!B:B)</f>
        <v>Consultoria</v>
      </c>
      <c r="J1170">
        <f t="shared" si="18"/>
        <v>0</v>
      </c>
    </row>
    <row r="1171" spans="1:10" x14ac:dyDescent="0.25">
      <c r="A1171">
        <v>10794410</v>
      </c>
      <c r="B1171" s="1">
        <v>45647.917662037034</v>
      </c>
      <c r="C1171" t="s">
        <v>0</v>
      </c>
      <c r="D1171" t="str">
        <f>VLOOKUP(A1171,MERCADO!A:B,2,0)</f>
        <v>Imobiliaria/Incorporadora/Construtora</v>
      </c>
      <c r="E1171" t="str">
        <f>_xlfn.XLOOKUP(A1171, ORIGEM!A:A, ORIGEM!B:B)</f>
        <v>Orgânico</v>
      </c>
      <c r="F1171">
        <f>_xlfn.XLOOKUP(A1171, ORIGEM!A:A, ORIGEM!C:C)</f>
        <v>0</v>
      </c>
      <c r="G1171" t="str">
        <f>_xlfn.XLOOKUP(A1171, LOCAL!A:A, LOCAL!B:B)</f>
        <v>São Paulo - SP</v>
      </c>
      <c r="H1171" t="str">
        <f>_xlfn.XLOOKUP(A1171, PORTE!A:A, PORTE!B:B)</f>
        <v>1-10</v>
      </c>
      <c r="I1171" t="str">
        <f>_xlfn.XLOOKUP(A1171, OBJETIVO!A:A, OBJETIVO!B:B)</f>
        <v>Abertura/Expansão</v>
      </c>
      <c r="J1171">
        <f t="shared" si="18"/>
        <v>0</v>
      </c>
    </row>
    <row r="1172" spans="1:10" x14ac:dyDescent="0.25">
      <c r="A1172">
        <v>10777788</v>
      </c>
      <c r="B1172" s="1">
        <v>45644.795706018522</v>
      </c>
      <c r="C1172" t="s">
        <v>0</v>
      </c>
      <c r="D1172" t="str">
        <f>VLOOKUP(A1172,MERCADO!A:B,2,0)</f>
        <v>Imobiliaria/Incorporadora/Construtora</v>
      </c>
      <c r="E1172" t="str">
        <f>_xlfn.XLOOKUP(A1172, ORIGEM!A:A, ORIGEM!B:B)</f>
        <v>Orgânico</v>
      </c>
      <c r="F1172">
        <f>_xlfn.XLOOKUP(A1172, ORIGEM!A:A, ORIGEM!C:C)</f>
        <v>0</v>
      </c>
      <c r="G1172" t="str">
        <f>_xlfn.XLOOKUP(A1172, LOCAL!A:A, LOCAL!B:B)</f>
        <v>Parnamirim - RN</v>
      </c>
      <c r="H1172" t="str">
        <f>_xlfn.XLOOKUP(A1172, PORTE!A:A, PORTE!B:B)</f>
        <v>0</v>
      </c>
      <c r="I1172" t="str">
        <f>_xlfn.XLOOKUP(A1172, OBJETIVO!A:A, OBJETIVO!B:B)</f>
        <v>Outro</v>
      </c>
      <c r="J1172">
        <f t="shared" si="18"/>
        <v>0</v>
      </c>
    </row>
    <row r="1173" spans="1:10" x14ac:dyDescent="0.25">
      <c r="A1173">
        <v>11746277</v>
      </c>
      <c r="B1173" s="1">
        <v>45740.585868055554</v>
      </c>
      <c r="C1173" t="s">
        <v>0</v>
      </c>
      <c r="D1173" t="str">
        <f>VLOOKUP(A1173,MERCADO!A:B,2,0)</f>
        <v>Servicos</v>
      </c>
      <c r="E1173" t="str">
        <f>_xlfn.XLOOKUP(A1173, ORIGEM!A:A, ORIGEM!B:B)</f>
        <v>Google</v>
      </c>
      <c r="F1173" t="str">
        <f>_xlfn.XLOOKUP(A1173, ORIGEM!A:A, ORIGEM!C:C)</f>
        <v>google - cpc</v>
      </c>
      <c r="G1173" t="str">
        <f>_xlfn.XLOOKUP(A1173, LOCAL!A:A, LOCAL!B:B)</f>
        <v>Itupeva - SP</v>
      </c>
      <c r="H1173" t="str">
        <f>_xlfn.XLOOKUP(A1173, PORTE!A:A, PORTE!B:B)</f>
        <v>1-10</v>
      </c>
      <c r="I1173" t="str">
        <f>_xlfn.XLOOKUP(A1173, OBJETIVO!A:A, OBJETIVO!B:B)</f>
        <v>Geração de leads b2b</v>
      </c>
      <c r="J1173">
        <f t="shared" si="18"/>
        <v>0</v>
      </c>
    </row>
    <row r="1174" spans="1:10" x14ac:dyDescent="0.25">
      <c r="A1174">
        <v>11746703</v>
      </c>
      <c r="B1174" s="1">
        <v>45740.602268518516</v>
      </c>
      <c r="C1174" t="s">
        <v>0</v>
      </c>
      <c r="D1174" t="str">
        <f>VLOOKUP(A1174,MERCADO!A:B,2,0)</f>
        <v>Servicos</v>
      </c>
      <c r="E1174" t="str">
        <f>_xlfn.XLOOKUP(A1174, ORIGEM!A:A, ORIGEM!B:B)</f>
        <v>Google</v>
      </c>
      <c r="F1174" t="str">
        <f>_xlfn.XLOOKUP(A1174, ORIGEM!A:A, ORIGEM!C:C)</f>
        <v>google - cpc</v>
      </c>
      <c r="G1174" t="str">
        <f>_xlfn.XLOOKUP(A1174, LOCAL!A:A, LOCAL!B:B)</f>
        <v>Belo Horizonte - MG</v>
      </c>
      <c r="H1174" t="str">
        <f>_xlfn.XLOOKUP(A1174, PORTE!A:A, PORTE!B:B)</f>
        <v>1-10</v>
      </c>
      <c r="I1174" t="str">
        <f>_xlfn.XLOOKUP(A1174, OBJETIVO!A:A, OBJETIVO!B:B)</f>
        <v>Abertura/Expansão</v>
      </c>
      <c r="J1174">
        <f t="shared" si="18"/>
        <v>0</v>
      </c>
    </row>
    <row r="1175" spans="1:10" x14ac:dyDescent="0.25">
      <c r="A1175">
        <v>11708222</v>
      </c>
      <c r="B1175" s="1">
        <v>45736.629004629627</v>
      </c>
      <c r="C1175" t="s">
        <v>0</v>
      </c>
      <c r="D1175" t="str">
        <f>VLOOKUP(A1175,MERCADO!A:B,2,0)</f>
        <v>Servicos</v>
      </c>
      <c r="E1175" t="str">
        <f>_xlfn.XLOOKUP(A1175, ORIGEM!A:A, ORIGEM!B:B)</f>
        <v>Google</v>
      </c>
      <c r="F1175" t="str">
        <f>_xlfn.XLOOKUP(A1175, ORIGEM!A:A, ORIGEM!C:C)</f>
        <v>google - cpc</v>
      </c>
      <c r="G1175" t="str">
        <f>_xlfn.XLOOKUP(A1175, LOCAL!A:A, LOCAL!B:B)</f>
        <v>Rio de Janeiro - RJ</v>
      </c>
      <c r="H1175" t="str">
        <f>_xlfn.XLOOKUP(A1175, PORTE!A:A, PORTE!B:B)</f>
        <v>1-10</v>
      </c>
      <c r="I1175" t="str">
        <f>_xlfn.XLOOKUP(A1175, OBJETIVO!A:A, OBJETIVO!B:B)</f>
        <v>Abertura/Expansão</v>
      </c>
      <c r="J1175">
        <f t="shared" si="18"/>
        <v>0</v>
      </c>
    </row>
    <row r="1176" spans="1:10" x14ac:dyDescent="0.25">
      <c r="A1176">
        <v>11823878</v>
      </c>
      <c r="B1176" s="1">
        <v>45746.648159722223</v>
      </c>
      <c r="C1176" t="s">
        <v>0</v>
      </c>
      <c r="D1176" t="str">
        <f>VLOOKUP(A1176,MERCADO!A:B,2,0)</f>
        <v>Servicos</v>
      </c>
      <c r="E1176" t="str">
        <f>_xlfn.XLOOKUP(A1176, ORIGEM!A:A, ORIGEM!B:B)</f>
        <v>Google</v>
      </c>
      <c r="F1176" t="str">
        <f>_xlfn.XLOOKUP(A1176, ORIGEM!A:A, ORIGEM!C:C)</f>
        <v>google - cpc</v>
      </c>
      <c r="G1176" t="str">
        <f>_xlfn.XLOOKUP(A1176, LOCAL!A:A, LOCAL!B:B)</f>
        <v>Irati - PR</v>
      </c>
      <c r="H1176" t="str">
        <f>_xlfn.XLOOKUP(A1176, PORTE!A:A, PORTE!B:B)</f>
        <v>0</v>
      </c>
      <c r="I1176" t="str">
        <f>_xlfn.XLOOKUP(A1176, OBJETIVO!A:A, OBJETIVO!B:B)</f>
        <v>Abertura/Expansão</v>
      </c>
      <c r="J1176">
        <f t="shared" si="18"/>
        <v>0</v>
      </c>
    </row>
    <row r="1177" spans="1:10" x14ac:dyDescent="0.25">
      <c r="A1177">
        <v>11825217</v>
      </c>
      <c r="B1177" s="1">
        <v>45746.696932870371</v>
      </c>
      <c r="C1177" t="s">
        <v>0</v>
      </c>
      <c r="D1177" t="str">
        <f>VLOOKUP(A1177,MERCADO!A:B,2,0)</f>
        <v>Servicos</v>
      </c>
      <c r="E1177" t="str">
        <f>_xlfn.XLOOKUP(A1177, ORIGEM!A:A, ORIGEM!B:B)</f>
        <v>Google</v>
      </c>
      <c r="F1177" t="str">
        <f>_xlfn.XLOOKUP(A1177, ORIGEM!A:A, ORIGEM!C:C)</f>
        <v>google - cpc</v>
      </c>
      <c r="G1177" t="str">
        <f>_xlfn.XLOOKUP(A1177, LOCAL!A:A, LOCAL!B:B)</f>
        <v>Rio de Janeiro - RJ</v>
      </c>
      <c r="H1177" t="str">
        <f>_xlfn.XLOOKUP(A1177, PORTE!A:A, PORTE!B:B)</f>
        <v>1-10</v>
      </c>
      <c r="I1177" t="str">
        <f>_xlfn.XLOOKUP(A1177, OBJETIVO!A:A, OBJETIVO!B:B)</f>
        <v>Planejamento estratégico</v>
      </c>
      <c r="J1177">
        <f t="shared" si="18"/>
        <v>0</v>
      </c>
    </row>
    <row r="1178" spans="1:10" x14ac:dyDescent="0.25">
      <c r="A1178">
        <v>11644925</v>
      </c>
      <c r="B1178" s="1">
        <v>45731.643969907411</v>
      </c>
      <c r="C1178" t="s">
        <v>0</v>
      </c>
      <c r="D1178" t="str">
        <f>VLOOKUP(A1178,MERCADO!A:B,2,0)</f>
        <v>Servicos</v>
      </c>
      <c r="E1178" t="str">
        <f>_xlfn.XLOOKUP(A1178, ORIGEM!A:A, ORIGEM!B:B)</f>
        <v>Google</v>
      </c>
      <c r="F1178">
        <f>_xlfn.XLOOKUP(A1178, ORIGEM!A:A, ORIGEM!C:C)</f>
        <v>0</v>
      </c>
      <c r="G1178" t="str">
        <f>_xlfn.XLOOKUP(A1178, LOCAL!A:A, LOCAL!B:B)</f>
        <v>Rio de Janeiro</v>
      </c>
      <c r="H1178" t="str">
        <f>_xlfn.XLOOKUP(A1178, PORTE!A:A, PORTE!B:B)</f>
        <v>1-10</v>
      </c>
      <c r="I1178" t="str">
        <f>_xlfn.XLOOKUP(A1178, OBJETIVO!A:A, OBJETIVO!B:B)</f>
        <v>Consultoria</v>
      </c>
      <c r="J1178">
        <f t="shared" si="18"/>
        <v>0</v>
      </c>
    </row>
    <row r="1179" spans="1:10" x14ac:dyDescent="0.25">
      <c r="A1179">
        <v>11658815</v>
      </c>
      <c r="B1179" s="1">
        <v>45732.609363425923</v>
      </c>
      <c r="C1179" t="s">
        <v>0</v>
      </c>
      <c r="D1179" t="str">
        <f>VLOOKUP(A1179,MERCADO!A:B,2,0)</f>
        <v>Servicos</v>
      </c>
      <c r="E1179" t="str">
        <f>_xlfn.XLOOKUP(A1179, ORIGEM!A:A, ORIGEM!B:B)</f>
        <v>Google</v>
      </c>
      <c r="F1179">
        <f>_xlfn.XLOOKUP(A1179, ORIGEM!A:A, ORIGEM!C:C)</f>
        <v>0</v>
      </c>
      <c r="G1179" t="str">
        <f>_xlfn.XLOOKUP(A1179, LOCAL!A:A, LOCAL!B:B)</f>
        <v>-</v>
      </c>
      <c r="H1179" t="str">
        <f>_xlfn.XLOOKUP(A1179, PORTE!A:A, PORTE!B:B)</f>
        <v>11-50</v>
      </c>
      <c r="I1179" t="str">
        <f>_xlfn.XLOOKUP(A1179, OBJETIVO!A:A, OBJETIVO!B:B)</f>
        <v>Geração de leads b2b</v>
      </c>
      <c r="J1179">
        <f t="shared" si="18"/>
        <v>0</v>
      </c>
    </row>
    <row r="1180" spans="1:10" x14ac:dyDescent="0.25">
      <c r="A1180">
        <v>11516321</v>
      </c>
      <c r="B1180" s="1">
        <v>45719.441469907404</v>
      </c>
      <c r="C1180" t="s">
        <v>0</v>
      </c>
      <c r="D1180" t="str">
        <f>VLOOKUP(A1180,MERCADO!A:B,2,0)</f>
        <v>Servicos</v>
      </c>
      <c r="E1180" t="str">
        <f>_xlfn.XLOOKUP(A1180, ORIGEM!A:A, ORIGEM!B:B)</f>
        <v>Google</v>
      </c>
      <c r="F1180">
        <f>_xlfn.XLOOKUP(A1180, ORIGEM!A:A, ORIGEM!C:C)</f>
        <v>0</v>
      </c>
      <c r="G1180" t="str">
        <f>_xlfn.XLOOKUP(A1180, LOCAL!A:A, LOCAL!B:B)</f>
        <v>-</v>
      </c>
      <c r="H1180" t="str">
        <f>_xlfn.XLOOKUP(A1180, PORTE!A:A, PORTE!B:B)</f>
        <v>51-300</v>
      </c>
      <c r="I1180" t="str">
        <f>_xlfn.XLOOKUP(A1180, OBJETIVO!A:A, OBJETIVO!B:B)</f>
        <v>Geração de leads b2b</v>
      </c>
      <c r="J1180">
        <f t="shared" si="18"/>
        <v>0</v>
      </c>
    </row>
    <row r="1181" spans="1:10" x14ac:dyDescent="0.25">
      <c r="A1181">
        <v>11948603</v>
      </c>
      <c r="B1181" s="1">
        <v>45759.478495370371</v>
      </c>
      <c r="C1181" t="s">
        <v>0</v>
      </c>
      <c r="D1181" t="str">
        <f>VLOOKUP(A1181,MERCADO!A:B,2,0)</f>
        <v>Servicos</v>
      </c>
      <c r="E1181" t="str">
        <f>_xlfn.XLOOKUP(A1181, ORIGEM!A:A, ORIGEM!B:B)</f>
        <v>Leads</v>
      </c>
      <c r="F1181">
        <f>_xlfn.XLOOKUP(A1181, ORIGEM!A:A, ORIGEM!C:C)</f>
        <v>0</v>
      </c>
      <c r="G1181" t="str">
        <f>_xlfn.XLOOKUP(A1181, LOCAL!A:A, LOCAL!B:B)</f>
        <v>São Paulo</v>
      </c>
      <c r="H1181" t="str">
        <f>_xlfn.XLOOKUP(A1181, PORTE!A:A, PORTE!B:B)</f>
        <v>1-10</v>
      </c>
      <c r="I1181" t="str">
        <f>_xlfn.XLOOKUP(A1181, OBJETIVO!A:A, OBJETIVO!B:B)</f>
        <v>Consultoria</v>
      </c>
      <c r="J1181">
        <f t="shared" si="18"/>
        <v>0</v>
      </c>
    </row>
    <row r="1182" spans="1:10" x14ac:dyDescent="0.25">
      <c r="A1182">
        <v>11953784</v>
      </c>
      <c r="B1182" s="1">
        <v>45759.6325462963</v>
      </c>
      <c r="C1182" t="s">
        <v>0</v>
      </c>
      <c r="D1182" t="str">
        <f>VLOOKUP(A1182,MERCADO!A:B,2,0)</f>
        <v>Servicos</v>
      </c>
      <c r="E1182" t="str">
        <f>_xlfn.XLOOKUP(A1182, ORIGEM!A:A, ORIGEM!B:B)</f>
        <v>Google</v>
      </c>
      <c r="F1182">
        <f>_xlfn.XLOOKUP(A1182, ORIGEM!A:A, ORIGEM!C:C)</f>
        <v>0</v>
      </c>
      <c r="G1182" t="str">
        <f>_xlfn.XLOOKUP(A1182, LOCAL!A:A, LOCAL!B:B)</f>
        <v>São Paulo</v>
      </c>
      <c r="H1182" t="str">
        <f>_xlfn.XLOOKUP(A1182, PORTE!A:A, PORTE!B:B)</f>
        <v>11-50</v>
      </c>
      <c r="I1182" t="str">
        <f>_xlfn.XLOOKUP(A1182, OBJETIVO!A:A, OBJETIVO!B:B)</f>
        <v>Consultoria</v>
      </c>
      <c r="J1182">
        <f t="shared" si="18"/>
        <v>0</v>
      </c>
    </row>
    <row r="1183" spans="1:10" x14ac:dyDescent="0.25">
      <c r="A1183">
        <v>11772314</v>
      </c>
      <c r="B1183" s="1">
        <v>45742.405902777777</v>
      </c>
      <c r="C1183" t="s">
        <v>0</v>
      </c>
      <c r="D1183" t="str">
        <f>VLOOKUP(A1183,MERCADO!A:B,2,0)</f>
        <v>Servicos</v>
      </c>
      <c r="E1183" t="str">
        <f>_xlfn.XLOOKUP(A1183, ORIGEM!A:A, ORIGEM!B:B)</f>
        <v>Google</v>
      </c>
      <c r="F1183">
        <f>_xlfn.XLOOKUP(A1183, ORIGEM!A:A, ORIGEM!C:C)</f>
        <v>0</v>
      </c>
      <c r="G1183" t="str">
        <f>_xlfn.XLOOKUP(A1183, LOCAL!A:A, LOCAL!B:B)</f>
        <v>-</v>
      </c>
      <c r="H1183" t="str">
        <f>_xlfn.XLOOKUP(A1183, PORTE!A:A, PORTE!B:B)</f>
        <v>1-10</v>
      </c>
      <c r="I1183" t="str">
        <f>_xlfn.XLOOKUP(A1183, OBJETIVO!A:A, OBJETIVO!B:B)</f>
        <v>Abertura/Expansão</v>
      </c>
      <c r="J1183">
        <f t="shared" si="18"/>
        <v>0</v>
      </c>
    </row>
    <row r="1184" spans="1:10" x14ac:dyDescent="0.25">
      <c r="A1184">
        <v>11742873</v>
      </c>
      <c r="B1184" s="1">
        <v>45740.491261574076</v>
      </c>
      <c r="C1184" t="s">
        <v>0</v>
      </c>
      <c r="D1184" t="str">
        <f>VLOOKUP(A1184,MERCADO!A:B,2,0)</f>
        <v>Servicos</v>
      </c>
      <c r="E1184" t="str">
        <f>_xlfn.XLOOKUP(A1184, ORIGEM!A:A, ORIGEM!B:B)</f>
        <v>Google</v>
      </c>
      <c r="F1184">
        <f>_xlfn.XLOOKUP(A1184, ORIGEM!A:A, ORIGEM!C:C)</f>
        <v>0</v>
      </c>
      <c r="G1184" t="str">
        <f>_xlfn.XLOOKUP(A1184, LOCAL!A:A, LOCAL!B:B)</f>
        <v>São Paulo, SP</v>
      </c>
      <c r="H1184">
        <f>_xlfn.XLOOKUP(A1184, PORTE!A:A, PORTE!B:B)</f>
        <v>0</v>
      </c>
      <c r="I1184" t="str">
        <f>_xlfn.XLOOKUP(A1184, OBJETIVO!A:A, OBJETIVO!B:B)</f>
        <v>Planejamento estratégico</v>
      </c>
      <c r="J1184">
        <f t="shared" si="18"/>
        <v>0</v>
      </c>
    </row>
    <row r="1185" spans="1:10" x14ac:dyDescent="0.25">
      <c r="A1185">
        <v>11700307</v>
      </c>
      <c r="B1185" s="1">
        <v>45735.614675925928</v>
      </c>
      <c r="C1185" t="s">
        <v>0</v>
      </c>
      <c r="D1185" t="str">
        <f>VLOOKUP(A1185,MERCADO!A:B,2,0)</f>
        <v>Servicos</v>
      </c>
      <c r="E1185" t="str">
        <f>_xlfn.XLOOKUP(A1185, ORIGEM!A:A, ORIGEM!B:B)</f>
        <v>Google</v>
      </c>
      <c r="F1185" t="str">
        <f>_xlfn.XLOOKUP(A1185, ORIGEM!A:A, ORIGEM!C:C)</f>
        <v>google - cpc</v>
      </c>
      <c r="G1185" t="str">
        <f>_xlfn.XLOOKUP(A1185, LOCAL!A:A, LOCAL!B:B)</f>
        <v>Curitiba - PR</v>
      </c>
      <c r="H1185" t="str">
        <f>_xlfn.XLOOKUP(A1185, PORTE!A:A, PORTE!B:B)</f>
        <v>1-10</v>
      </c>
      <c r="I1185" t="str">
        <f>_xlfn.XLOOKUP(A1185, OBJETIVO!A:A, OBJETIVO!B:B)</f>
        <v>Geração de leads b2b</v>
      </c>
      <c r="J1185">
        <f t="shared" si="18"/>
        <v>0</v>
      </c>
    </row>
    <row r="1186" spans="1:10" x14ac:dyDescent="0.25">
      <c r="A1186">
        <v>11709120</v>
      </c>
      <c r="B1186" s="1">
        <v>45736.937106481484</v>
      </c>
      <c r="C1186" t="s">
        <v>0</v>
      </c>
      <c r="D1186" t="str">
        <f>VLOOKUP(A1186,MERCADO!A:B,2,0)</f>
        <v>Servicos</v>
      </c>
      <c r="E1186" t="str">
        <f>_xlfn.XLOOKUP(A1186, ORIGEM!A:A, ORIGEM!B:B)</f>
        <v>Google</v>
      </c>
      <c r="F1186" t="str">
        <f>_xlfn.XLOOKUP(A1186, ORIGEM!A:A, ORIGEM!C:C)</f>
        <v>google - cpc</v>
      </c>
      <c r="G1186" t="str">
        <f>_xlfn.XLOOKUP(A1186, LOCAL!A:A, LOCAL!B:B)</f>
        <v>Duque de Caxias - RJ</v>
      </c>
      <c r="H1186" t="str">
        <f>_xlfn.XLOOKUP(A1186, PORTE!A:A, PORTE!B:B)</f>
        <v>0</v>
      </c>
      <c r="I1186" t="str">
        <f>_xlfn.XLOOKUP(A1186, OBJETIVO!A:A, OBJETIVO!B:B)</f>
        <v>Abertura/Expansão</v>
      </c>
      <c r="J1186">
        <f t="shared" si="18"/>
        <v>0</v>
      </c>
    </row>
    <row r="1187" spans="1:10" x14ac:dyDescent="0.25">
      <c r="A1187">
        <v>11709795</v>
      </c>
      <c r="B1187" s="1">
        <v>45737.38490740741</v>
      </c>
      <c r="C1187" t="s">
        <v>0</v>
      </c>
      <c r="D1187" t="str">
        <f>VLOOKUP(A1187,MERCADO!A:B,2,0)</f>
        <v>Servicos</v>
      </c>
      <c r="E1187" t="str">
        <f>_xlfn.XLOOKUP(A1187, ORIGEM!A:A, ORIGEM!B:B)</f>
        <v>Google</v>
      </c>
      <c r="F1187" t="str">
        <f>_xlfn.XLOOKUP(A1187, ORIGEM!A:A, ORIGEM!C:C)</f>
        <v>google - cpc</v>
      </c>
      <c r="G1187" t="str">
        <f>_xlfn.XLOOKUP(A1187, LOCAL!A:A, LOCAL!B:B)</f>
        <v>Virginopolis - MG</v>
      </c>
      <c r="H1187" t="str">
        <f>_xlfn.XLOOKUP(A1187, PORTE!A:A, PORTE!B:B)</f>
        <v>1-10</v>
      </c>
      <c r="I1187" t="str">
        <f>_xlfn.XLOOKUP(A1187, OBJETIVO!A:A, OBJETIVO!B:B)</f>
        <v>Abertura/Expansão</v>
      </c>
      <c r="J1187">
        <f t="shared" si="18"/>
        <v>0</v>
      </c>
    </row>
    <row r="1188" spans="1:10" x14ac:dyDescent="0.25">
      <c r="A1188">
        <v>11395137</v>
      </c>
      <c r="B1188" s="1">
        <v>45706.92082175926</v>
      </c>
      <c r="C1188" t="s">
        <v>0</v>
      </c>
      <c r="D1188" t="str">
        <f>VLOOKUP(A1188,MERCADO!A:B,2,0)</f>
        <v>Servicos</v>
      </c>
      <c r="E1188" t="str">
        <f>_xlfn.XLOOKUP(A1188, ORIGEM!A:A, ORIGEM!B:B)</f>
        <v>Facebook</v>
      </c>
      <c r="F1188" t="str">
        <f>_xlfn.XLOOKUP(A1188, ORIGEM!A:A, ORIGEM!C:C)</f>
        <v>facebook - cpc</v>
      </c>
      <c r="G1188" t="str">
        <f>_xlfn.XLOOKUP(A1188, LOCAL!A:A, LOCAL!B:B)</f>
        <v>Rio de Janeiro - RJ</v>
      </c>
      <c r="H1188" t="str">
        <f>_xlfn.XLOOKUP(A1188, PORTE!A:A, PORTE!B:B)</f>
        <v>11-50</v>
      </c>
      <c r="I1188" t="str">
        <f>_xlfn.XLOOKUP(A1188, OBJETIVO!A:A, OBJETIVO!B:B)</f>
        <v>Geração de leads b2b</v>
      </c>
      <c r="J1188">
        <f t="shared" si="18"/>
        <v>0</v>
      </c>
    </row>
    <row r="1189" spans="1:10" x14ac:dyDescent="0.25">
      <c r="A1189">
        <v>11395185</v>
      </c>
      <c r="B1189" s="1">
        <v>45706.932766203703</v>
      </c>
      <c r="C1189" t="s">
        <v>0</v>
      </c>
      <c r="D1189" t="str">
        <f>VLOOKUP(A1189,MERCADO!A:B,2,0)</f>
        <v>Servicos</v>
      </c>
      <c r="E1189" t="str">
        <f>_xlfn.XLOOKUP(A1189, ORIGEM!A:A, ORIGEM!B:B)</f>
        <v>Facebook</v>
      </c>
      <c r="F1189" t="str">
        <f>_xlfn.XLOOKUP(A1189, ORIGEM!A:A, ORIGEM!C:C)</f>
        <v>facebook - cpc</v>
      </c>
      <c r="G1189" t="str">
        <f>_xlfn.XLOOKUP(A1189, LOCAL!A:A, LOCAL!B:B)</f>
        <v>Canoas - RS</v>
      </c>
      <c r="H1189" t="str">
        <f>_xlfn.XLOOKUP(A1189, PORTE!A:A, PORTE!B:B)</f>
        <v>0</v>
      </c>
      <c r="I1189" t="str">
        <f>_xlfn.XLOOKUP(A1189, OBJETIVO!A:A, OBJETIVO!B:B)</f>
        <v>Outro</v>
      </c>
      <c r="J1189">
        <f t="shared" si="18"/>
        <v>0</v>
      </c>
    </row>
    <row r="1190" spans="1:10" x14ac:dyDescent="0.25">
      <c r="A1190">
        <v>11398767</v>
      </c>
      <c r="B1190" s="1">
        <v>45707.455347222225</v>
      </c>
      <c r="C1190" t="s">
        <v>0</v>
      </c>
      <c r="D1190" t="str">
        <f>VLOOKUP(A1190,MERCADO!A:B,2,0)</f>
        <v>Servicos</v>
      </c>
      <c r="E1190" t="str">
        <f>_xlfn.XLOOKUP(A1190, ORIGEM!A:A, ORIGEM!B:B)</f>
        <v>Facebook</v>
      </c>
      <c r="F1190" t="str">
        <f>_xlfn.XLOOKUP(A1190, ORIGEM!A:A, ORIGEM!C:C)</f>
        <v>facebook - cpc</v>
      </c>
      <c r="G1190" t="str">
        <f>_xlfn.XLOOKUP(A1190, LOCAL!A:A, LOCAL!B:B)</f>
        <v>São Paulo - SP</v>
      </c>
      <c r="H1190" t="str">
        <f>_xlfn.XLOOKUP(A1190, PORTE!A:A, PORTE!B:B)</f>
        <v>0</v>
      </c>
      <c r="I1190" t="str">
        <f>_xlfn.XLOOKUP(A1190, OBJETIVO!A:A, OBJETIVO!B:B)</f>
        <v>Geração de leads b2b</v>
      </c>
      <c r="J1190">
        <f t="shared" si="18"/>
        <v>0</v>
      </c>
    </row>
    <row r="1191" spans="1:10" x14ac:dyDescent="0.25">
      <c r="A1191">
        <v>11399132</v>
      </c>
      <c r="B1191" s="1">
        <v>45707.467662037037</v>
      </c>
      <c r="C1191" t="s">
        <v>0</v>
      </c>
      <c r="D1191" t="str">
        <f>VLOOKUP(A1191,MERCADO!A:B,2,0)</f>
        <v>Servicos</v>
      </c>
      <c r="E1191" t="str">
        <f>_xlfn.XLOOKUP(A1191, ORIGEM!A:A, ORIGEM!B:B)</f>
        <v>Facebook</v>
      </c>
      <c r="F1191" t="str">
        <f>_xlfn.XLOOKUP(A1191, ORIGEM!A:A, ORIGEM!C:C)</f>
        <v>facebook - cpc</v>
      </c>
      <c r="G1191" t="str">
        <f>_xlfn.XLOOKUP(A1191, LOCAL!A:A, LOCAL!B:B)</f>
        <v>Curitiba - PR</v>
      </c>
      <c r="H1191" t="str">
        <f>_xlfn.XLOOKUP(A1191, PORTE!A:A, PORTE!B:B)</f>
        <v>1-10</v>
      </c>
      <c r="I1191" t="str">
        <f>_xlfn.XLOOKUP(A1191, OBJETIVO!A:A, OBJETIVO!B:B)</f>
        <v>Geração de leads b2b</v>
      </c>
      <c r="J1191">
        <f t="shared" si="18"/>
        <v>0</v>
      </c>
    </row>
    <row r="1192" spans="1:10" x14ac:dyDescent="0.25">
      <c r="A1192">
        <v>11396122</v>
      </c>
      <c r="B1192" s="1">
        <v>45707.325208333335</v>
      </c>
      <c r="C1192" t="s">
        <v>0</v>
      </c>
      <c r="D1192" t="str">
        <f>VLOOKUP(A1192,MERCADO!A:B,2,0)</f>
        <v>Servicos</v>
      </c>
      <c r="E1192" t="str">
        <f>_xlfn.XLOOKUP(A1192, ORIGEM!A:A, ORIGEM!B:B)</f>
        <v>Facebook</v>
      </c>
      <c r="F1192" t="str">
        <f>_xlfn.XLOOKUP(A1192, ORIGEM!A:A, ORIGEM!C:C)</f>
        <v>facebook - cpc</v>
      </c>
      <c r="G1192" t="str">
        <f>_xlfn.XLOOKUP(A1192, LOCAL!A:A, LOCAL!B:B)</f>
        <v>Cuiabá - MT</v>
      </c>
      <c r="H1192" t="str">
        <f>_xlfn.XLOOKUP(A1192, PORTE!A:A, PORTE!B:B)</f>
        <v>1-10</v>
      </c>
      <c r="I1192" t="str">
        <f>_xlfn.XLOOKUP(A1192, OBJETIVO!A:A, OBJETIVO!B:B)</f>
        <v>Ações de marketing/vendas</v>
      </c>
      <c r="J1192">
        <f t="shared" si="18"/>
        <v>0</v>
      </c>
    </row>
    <row r="1193" spans="1:10" x14ac:dyDescent="0.25">
      <c r="A1193">
        <v>11394238</v>
      </c>
      <c r="B1193" s="1">
        <v>45706.752847222226</v>
      </c>
      <c r="C1193" t="s">
        <v>0</v>
      </c>
      <c r="D1193" t="str">
        <f>VLOOKUP(A1193,MERCADO!A:B,2,0)</f>
        <v>Servicos</v>
      </c>
      <c r="E1193" t="str">
        <f>_xlfn.XLOOKUP(A1193, ORIGEM!A:A, ORIGEM!B:B)</f>
        <v>Facebook</v>
      </c>
      <c r="F1193" t="str">
        <f>_xlfn.XLOOKUP(A1193, ORIGEM!A:A, ORIGEM!C:C)</f>
        <v>facebook - cpc</v>
      </c>
      <c r="G1193" t="str">
        <f>_xlfn.XLOOKUP(A1193, LOCAL!A:A, LOCAL!B:B)</f>
        <v>São Paulo - SP</v>
      </c>
      <c r="H1193" t="str">
        <f>_xlfn.XLOOKUP(A1193, PORTE!A:A, PORTE!B:B)</f>
        <v>11-50</v>
      </c>
      <c r="I1193" t="str">
        <f>_xlfn.XLOOKUP(A1193, OBJETIVO!A:A, OBJETIVO!B:B)</f>
        <v>Ações de marketing/vendas</v>
      </c>
      <c r="J1193">
        <f t="shared" si="18"/>
        <v>0</v>
      </c>
    </row>
    <row r="1194" spans="1:10" x14ac:dyDescent="0.25">
      <c r="A1194">
        <v>11382898</v>
      </c>
      <c r="B1194" s="1">
        <v>45706.278680555559</v>
      </c>
      <c r="C1194" t="s">
        <v>0</v>
      </c>
      <c r="D1194" t="str">
        <f>VLOOKUP(A1194,MERCADO!A:B,2,0)</f>
        <v>Servicos</v>
      </c>
      <c r="E1194" t="str">
        <f>_xlfn.XLOOKUP(A1194, ORIGEM!A:A, ORIGEM!B:B)</f>
        <v>Facebook</v>
      </c>
      <c r="F1194" t="str">
        <f>_xlfn.XLOOKUP(A1194, ORIGEM!A:A, ORIGEM!C:C)</f>
        <v>facebook - cpc</v>
      </c>
      <c r="G1194" t="str">
        <f>_xlfn.XLOOKUP(A1194, LOCAL!A:A, LOCAL!B:B)</f>
        <v>Aparecida de Goiania - GO</v>
      </c>
      <c r="H1194" t="str">
        <f>_xlfn.XLOOKUP(A1194, PORTE!A:A, PORTE!B:B)</f>
        <v>51-300</v>
      </c>
      <c r="I1194" t="str">
        <f>_xlfn.XLOOKUP(A1194, OBJETIVO!A:A, OBJETIVO!B:B)</f>
        <v>Outro</v>
      </c>
      <c r="J1194">
        <f t="shared" si="18"/>
        <v>0</v>
      </c>
    </row>
    <row r="1195" spans="1:10" x14ac:dyDescent="0.25">
      <c r="A1195">
        <v>11382846</v>
      </c>
      <c r="B1195" s="1">
        <v>45706.227106481485</v>
      </c>
      <c r="C1195" t="s">
        <v>0</v>
      </c>
      <c r="D1195" t="str">
        <f>VLOOKUP(A1195,MERCADO!A:B,2,0)</f>
        <v>Servicos</v>
      </c>
      <c r="E1195" t="str">
        <f>_xlfn.XLOOKUP(A1195, ORIGEM!A:A, ORIGEM!B:B)</f>
        <v>Facebook</v>
      </c>
      <c r="F1195" t="str">
        <f>_xlfn.XLOOKUP(A1195, ORIGEM!A:A, ORIGEM!C:C)</f>
        <v>facebook - cpc</v>
      </c>
      <c r="G1195" t="str">
        <f>_xlfn.XLOOKUP(A1195, LOCAL!A:A, LOCAL!B:B)</f>
        <v>Campinas - SP</v>
      </c>
      <c r="H1195" t="str">
        <f>_xlfn.XLOOKUP(A1195, PORTE!A:A, PORTE!B:B)</f>
        <v>1-10</v>
      </c>
      <c r="I1195" t="str">
        <f>_xlfn.XLOOKUP(A1195, OBJETIVO!A:A, OBJETIVO!B:B)</f>
        <v>Geração de leads b2b</v>
      </c>
      <c r="J1195">
        <f t="shared" si="18"/>
        <v>0</v>
      </c>
    </row>
    <row r="1196" spans="1:10" x14ac:dyDescent="0.25">
      <c r="A1196">
        <v>11378858</v>
      </c>
      <c r="B1196" s="1">
        <v>45705.639965277776</v>
      </c>
      <c r="C1196" t="s">
        <v>0</v>
      </c>
      <c r="D1196" t="str">
        <f>VLOOKUP(A1196,MERCADO!A:B,2,0)</f>
        <v>Servicos</v>
      </c>
      <c r="E1196" t="str">
        <f>_xlfn.XLOOKUP(A1196, ORIGEM!A:A, ORIGEM!B:B)</f>
        <v>Facebook</v>
      </c>
      <c r="F1196" t="str">
        <f>_xlfn.XLOOKUP(A1196, ORIGEM!A:A, ORIGEM!C:C)</f>
        <v>facebook - cpc</v>
      </c>
      <c r="G1196" t="str">
        <f>_xlfn.XLOOKUP(A1196, LOCAL!A:A, LOCAL!B:B)</f>
        <v>Sao Jose dos Quatro Marcos - MT</v>
      </c>
      <c r="H1196" t="str">
        <f>_xlfn.XLOOKUP(A1196, PORTE!A:A, PORTE!B:B)</f>
        <v>0</v>
      </c>
      <c r="I1196" t="str">
        <f>_xlfn.XLOOKUP(A1196, OBJETIVO!A:A, OBJETIVO!B:B)</f>
        <v>Abertura/Expansão</v>
      </c>
      <c r="J1196">
        <f t="shared" si="18"/>
        <v>0</v>
      </c>
    </row>
    <row r="1197" spans="1:10" x14ac:dyDescent="0.25">
      <c r="A1197">
        <v>11382113</v>
      </c>
      <c r="B1197" s="1">
        <v>45705.88082175926</v>
      </c>
      <c r="C1197" t="s">
        <v>0</v>
      </c>
      <c r="D1197" t="str">
        <f>VLOOKUP(A1197,MERCADO!A:B,2,0)</f>
        <v>Servicos</v>
      </c>
      <c r="E1197" t="str">
        <f>_xlfn.XLOOKUP(A1197, ORIGEM!A:A, ORIGEM!B:B)</f>
        <v>Facebook</v>
      </c>
      <c r="F1197" t="str">
        <f>_xlfn.XLOOKUP(A1197, ORIGEM!A:A, ORIGEM!C:C)</f>
        <v>facebook - cpc</v>
      </c>
      <c r="G1197" t="str">
        <f>_xlfn.XLOOKUP(A1197, LOCAL!A:A, LOCAL!B:B)</f>
        <v>São Bernardo do Campo - SP</v>
      </c>
      <c r="H1197" t="str">
        <f>_xlfn.XLOOKUP(A1197, PORTE!A:A, PORTE!B:B)</f>
        <v>1-10</v>
      </c>
      <c r="I1197" t="str">
        <f>_xlfn.XLOOKUP(A1197, OBJETIVO!A:A, OBJETIVO!B:B)</f>
        <v>Geração de leads b2b</v>
      </c>
      <c r="J1197">
        <f t="shared" si="18"/>
        <v>0</v>
      </c>
    </row>
    <row r="1198" spans="1:10" x14ac:dyDescent="0.25">
      <c r="A1198">
        <v>11382242</v>
      </c>
      <c r="B1198" s="1">
        <v>45705.910983796297</v>
      </c>
      <c r="C1198" t="s">
        <v>0</v>
      </c>
      <c r="D1198" t="str">
        <f>VLOOKUP(A1198,MERCADO!A:B,2,0)</f>
        <v>Servicos</v>
      </c>
      <c r="E1198" t="str">
        <f>_xlfn.XLOOKUP(A1198, ORIGEM!A:A, ORIGEM!B:B)</f>
        <v>Facebook</v>
      </c>
      <c r="F1198" t="str">
        <f>_xlfn.XLOOKUP(A1198, ORIGEM!A:A, ORIGEM!C:C)</f>
        <v>facebook - cpc</v>
      </c>
      <c r="G1198" t="str">
        <f>_xlfn.XLOOKUP(A1198, LOCAL!A:A, LOCAL!B:B)</f>
        <v>Parana - RN</v>
      </c>
      <c r="H1198" t="str">
        <f>_xlfn.XLOOKUP(A1198, PORTE!A:A, PORTE!B:B)</f>
        <v>0</v>
      </c>
      <c r="I1198" t="str">
        <f>_xlfn.XLOOKUP(A1198, OBJETIVO!A:A, OBJETIVO!B:B)</f>
        <v>Ações de marketing/vendas</v>
      </c>
      <c r="J1198">
        <f t="shared" si="18"/>
        <v>0</v>
      </c>
    </row>
    <row r="1199" spans="1:10" x14ac:dyDescent="0.25">
      <c r="A1199">
        <v>11359909</v>
      </c>
      <c r="B1199" s="1">
        <v>45704.364016203705</v>
      </c>
      <c r="C1199" t="s">
        <v>0</v>
      </c>
      <c r="D1199" t="str">
        <f>VLOOKUP(A1199,MERCADO!A:B,2,0)</f>
        <v>Servicos</v>
      </c>
      <c r="E1199" t="str">
        <f>_xlfn.XLOOKUP(A1199, ORIGEM!A:A, ORIGEM!B:B)</f>
        <v>Facebook</v>
      </c>
      <c r="F1199" t="str">
        <f>_xlfn.XLOOKUP(A1199, ORIGEM!A:A, ORIGEM!C:C)</f>
        <v>facebook - cpc</v>
      </c>
      <c r="G1199" t="str">
        <f>_xlfn.XLOOKUP(A1199, LOCAL!A:A, LOCAL!B:B)</f>
        <v>Natal - RN</v>
      </c>
      <c r="H1199" t="str">
        <f>_xlfn.XLOOKUP(A1199, PORTE!A:A, PORTE!B:B)</f>
        <v>0</v>
      </c>
      <c r="I1199" t="str">
        <f>_xlfn.XLOOKUP(A1199, OBJETIVO!A:A, OBJETIVO!B:B)</f>
        <v>Ações de marketing/vendas</v>
      </c>
      <c r="J1199">
        <f t="shared" si="18"/>
        <v>0</v>
      </c>
    </row>
    <row r="1200" spans="1:10" x14ac:dyDescent="0.25">
      <c r="A1200">
        <v>11358113</v>
      </c>
      <c r="B1200" s="1">
        <v>45703.815451388888</v>
      </c>
      <c r="C1200" t="s">
        <v>0</v>
      </c>
      <c r="D1200" t="str">
        <f>VLOOKUP(A1200,MERCADO!A:B,2,0)</f>
        <v>Servicos</v>
      </c>
      <c r="E1200" t="str">
        <f>_xlfn.XLOOKUP(A1200, ORIGEM!A:A, ORIGEM!B:B)</f>
        <v>Facebook</v>
      </c>
      <c r="F1200" t="str">
        <f>_xlfn.XLOOKUP(A1200, ORIGEM!A:A, ORIGEM!C:C)</f>
        <v>facebook - cpc</v>
      </c>
      <c r="G1200" t="str">
        <f>_xlfn.XLOOKUP(A1200, LOCAL!A:A, LOCAL!B:B)</f>
        <v>Coaraci - BA</v>
      </c>
      <c r="H1200" t="str">
        <f>_xlfn.XLOOKUP(A1200, PORTE!A:A, PORTE!B:B)</f>
        <v>0</v>
      </c>
      <c r="I1200" t="str">
        <f>_xlfn.XLOOKUP(A1200, OBJETIVO!A:A, OBJETIVO!B:B)</f>
        <v>Consultoria</v>
      </c>
      <c r="J1200">
        <f t="shared" si="18"/>
        <v>0</v>
      </c>
    </row>
    <row r="1201" spans="1:10" x14ac:dyDescent="0.25">
      <c r="A1201">
        <v>11347949</v>
      </c>
      <c r="B1201" s="1">
        <v>45702.861122685186</v>
      </c>
      <c r="C1201" t="s">
        <v>0</v>
      </c>
      <c r="D1201" t="str">
        <f>VLOOKUP(A1201,MERCADO!A:B,2,0)</f>
        <v>Servicos</v>
      </c>
      <c r="E1201" t="str">
        <f>_xlfn.XLOOKUP(A1201, ORIGEM!A:A, ORIGEM!B:B)</f>
        <v>Facebook</v>
      </c>
      <c r="F1201" t="str">
        <f>_xlfn.XLOOKUP(A1201, ORIGEM!A:A, ORIGEM!C:C)</f>
        <v>facebook - cpc</v>
      </c>
      <c r="G1201" t="str">
        <f>_xlfn.XLOOKUP(A1201, LOCAL!A:A, LOCAL!B:B)</f>
        <v>Sao Joao de Meriti - RJ</v>
      </c>
      <c r="H1201" t="str">
        <f>_xlfn.XLOOKUP(A1201, PORTE!A:A, PORTE!B:B)</f>
        <v>1-10</v>
      </c>
      <c r="I1201" t="str">
        <f>_xlfn.XLOOKUP(A1201, OBJETIVO!A:A, OBJETIVO!B:B)</f>
        <v>Ações de marketing/vendas</v>
      </c>
      <c r="J1201">
        <f t="shared" si="18"/>
        <v>0</v>
      </c>
    </row>
    <row r="1202" spans="1:10" x14ac:dyDescent="0.25">
      <c r="A1202">
        <v>11348439</v>
      </c>
      <c r="B1202" s="1">
        <v>45703.063425925924</v>
      </c>
      <c r="C1202" t="s">
        <v>0</v>
      </c>
      <c r="D1202" t="str">
        <f>VLOOKUP(A1202,MERCADO!A:B,2,0)</f>
        <v>Servicos</v>
      </c>
      <c r="E1202" t="str">
        <f>_xlfn.XLOOKUP(A1202, ORIGEM!A:A, ORIGEM!B:B)</f>
        <v>Facebook</v>
      </c>
      <c r="F1202" t="str">
        <f>_xlfn.XLOOKUP(A1202, ORIGEM!A:A, ORIGEM!C:C)</f>
        <v>facebook - cpc</v>
      </c>
      <c r="G1202" t="str">
        <f>_xlfn.XLOOKUP(A1202, LOCAL!A:A, LOCAL!B:B)</f>
        <v>Jundiaí - SP</v>
      </c>
      <c r="H1202" t="str">
        <f>_xlfn.XLOOKUP(A1202, PORTE!A:A, PORTE!B:B)</f>
        <v>1-10</v>
      </c>
      <c r="I1202" t="str">
        <f>_xlfn.XLOOKUP(A1202, OBJETIVO!A:A, OBJETIVO!B:B)</f>
        <v>Ações de marketing/vendas</v>
      </c>
      <c r="J1202">
        <f t="shared" si="18"/>
        <v>0</v>
      </c>
    </row>
    <row r="1203" spans="1:10" x14ac:dyDescent="0.25">
      <c r="A1203">
        <v>11375162</v>
      </c>
      <c r="B1203" s="1">
        <v>45705.476597222223</v>
      </c>
      <c r="C1203" t="s">
        <v>0</v>
      </c>
      <c r="D1203" t="str">
        <f>VLOOKUP(A1203,MERCADO!A:B,2,0)</f>
        <v>Servicos</v>
      </c>
      <c r="E1203" t="str">
        <f>_xlfn.XLOOKUP(A1203, ORIGEM!A:A, ORIGEM!B:B)</f>
        <v>Facebook</v>
      </c>
      <c r="F1203" t="str">
        <f>_xlfn.XLOOKUP(A1203, ORIGEM!A:A, ORIGEM!C:C)</f>
        <v>facebook - cpc</v>
      </c>
      <c r="G1203" t="str">
        <f>_xlfn.XLOOKUP(A1203, LOCAL!A:A, LOCAL!B:B)</f>
        <v>Campo Grande - MS</v>
      </c>
      <c r="H1203" t="str">
        <f>_xlfn.XLOOKUP(A1203, PORTE!A:A, PORTE!B:B)</f>
        <v>11-50</v>
      </c>
      <c r="I1203" t="str">
        <f>_xlfn.XLOOKUP(A1203, OBJETIVO!A:A, OBJETIVO!B:B)</f>
        <v>Outro</v>
      </c>
      <c r="J1203">
        <f t="shared" si="18"/>
        <v>0</v>
      </c>
    </row>
    <row r="1204" spans="1:10" x14ac:dyDescent="0.25">
      <c r="A1204">
        <v>11371200</v>
      </c>
      <c r="B1204" s="1">
        <v>45705.010393518518</v>
      </c>
      <c r="C1204" t="s">
        <v>0</v>
      </c>
      <c r="D1204" t="str">
        <f>VLOOKUP(A1204,MERCADO!A:B,2,0)</f>
        <v>Servicos</v>
      </c>
      <c r="E1204" t="str">
        <f>_xlfn.XLOOKUP(A1204, ORIGEM!A:A, ORIGEM!B:B)</f>
        <v>Facebook</v>
      </c>
      <c r="F1204" t="str">
        <f>_xlfn.XLOOKUP(A1204, ORIGEM!A:A, ORIGEM!C:C)</f>
        <v>facebook - cpc</v>
      </c>
      <c r="G1204" t="str">
        <f>_xlfn.XLOOKUP(A1204, LOCAL!A:A, LOCAL!B:B)</f>
        <v>Osasco - SP</v>
      </c>
      <c r="H1204" t="str">
        <f>_xlfn.XLOOKUP(A1204, PORTE!A:A, PORTE!B:B)</f>
        <v>1-10</v>
      </c>
      <c r="I1204" t="str">
        <f>_xlfn.XLOOKUP(A1204, OBJETIVO!A:A, OBJETIVO!B:B)</f>
        <v>Ações de marketing/vendas</v>
      </c>
      <c r="J1204">
        <f t="shared" si="18"/>
        <v>0</v>
      </c>
    </row>
    <row r="1205" spans="1:10" x14ac:dyDescent="0.25">
      <c r="A1205">
        <v>11371220</v>
      </c>
      <c r="B1205" s="1">
        <v>45705.020972222221</v>
      </c>
      <c r="C1205" t="s">
        <v>0</v>
      </c>
      <c r="D1205" t="str">
        <f>VLOOKUP(A1205,MERCADO!A:B,2,0)</f>
        <v>Servicos</v>
      </c>
      <c r="E1205" t="str">
        <f>_xlfn.XLOOKUP(A1205, ORIGEM!A:A, ORIGEM!B:B)</f>
        <v>Facebook</v>
      </c>
      <c r="F1205" t="str">
        <f>_xlfn.XLOOKUP(A1205, ORIGEM!A:A, ORIGEM!C:C)</f>
        <v>facebook - cpc</v>
      </c>
      <c r="G1205" t="str">
        <f>_xlfn.XLOOKUP(A1205, LOCAL!A:A, LOCAL!B:B)</f>
        <v>Rio de Janeiro - RJ</v>
      </c>
      <c r="H1205" t="str">
        <f>_xlfn.XLOOKUP(A1205, PORTE!A:A, PORTE!B:B)</f>
        <v>1-10</v>
      </c>
      <c r="I1205" t="str">
        <f>_xlfn.XLOOKUP(A1205, OBJETIVO!A:A, OBJETIVO!B:B)</f>
        <v>Outro</v>
      </c>
      <c r="J1205">
        <f t="shared" si="18"/>
        <v>0</v>
      </c>
    </row>
    <row r="1206" spans="1:10" x14ac:dyDescent="0.25">
      <c r="A1206">
        <v>11371133</v>
      </c>
      <c r="B1206" s="1">
        <v>45704.971550925926</v>
      </c>
      <c r="C1206" t="s">
        <v>0</v>
      </c>
      <c r="D1206" t="str">
        <f>VLOOKUP(A1206,MERCADO!A:B,2,0)</f>
        <v>Servicos</v>
      </c>
      <c r="E1206" t="str">
        <f>_xlfn.XLOOKUP(A1206, ORIGEM!A:A, ORIGEM!B:B)</f>
        <v>Facebook</v>
      </c>
      <c r="F1206" t="str">
        <f>_xlfn.XLOOKUP(A1206, ORIGEM!A:A, ORIGEM!C:C)</f>
        <v>facebook - cpc</v>
      </c>
      <c r="G1206" t="str">
        <f>_xlfn.XLOOKUP(A1206, LOCAL!A:A, LOCAL!B:B)</f>
        <v>Campo Grande - MS</v>
      </c>
      <c r="H1206" t="str">
        <f>_xlfn.XLOOKUP(A1206, PORTE!A:A, PORTE!B:B)</f>
        <v>0</v>
      </c>
      <c r="I1206" t="str">
        <f>_xlfn.XLOOKUP(A1206, OBJETIVO!A:A, OBJETIVO!B:B)</f>
        <v>Ações de marketing/vendas</v>
      </c>
      <c r="J1206">
        <f t="shared" si="18"/>
        <v>0</v>
      </c>
    </row>
    <row r="1207" spans="1:10" x14ac:dyDescent="0.25">
      <c r="A1207">
        <v>11370871</v>
      </c>
      <c r="B1207" s="1">
        <v>45704.894965277781</v>
      </c>
      <c r="C1207" t="s">
        <v>0</v>
      </c>
      <c r="D1207" t="str">
        <f>VLOOKUP(A1207,MERCADO!A:B,2,0)</f>
        <v>Servicos</v>
      </c>
      <c r="E1207" t="str">
        <f>_xlfn.XLOOKUP(A1207, ORIGEM!A:A, ORIGEM!B:B)</f>
        <v>Facebook</v>
      </c>
      <c r="F1207" t="str">
        <f>_xlfn.XLOOKUP(A1207, ORIGEM!A:A, ORIGEM!C:C)</f>
        <v>facebook - cpc</v>
      </c>
      <c r="G1207" t="str">
        <f>_xlfn.XLOOKUP(A1207, LOCAL!A:A, LOCAL!B:B)</f>
        <v>Guarulhos - SP</v>
      </c>
      <c r="H1207" t="str">
        <f>_xlfn.XLOOKUP(A1207, PORTE!A:A, PORTE!B:B)</f>
        <v>0</v>
      </c>
      <c r="I1207" t="str">
        <f>_xlfn.XLOOKUP(A1207, OBJETIVO!A:A, OBJETIVO!B:B)</f>
        <v>Abertura/Expansão</v>
      </c>
      <c r="J1207">
        <f t="shared" si="18"/>
        <v>0</v>
      </c>
    </row>
    <row r="1208" spans="1:10" x14ac:dyDescent="0.25">
      <c r="A1208">
        <v>11941024</v>
      </c>
      <c r="B1208" s="1">
        <v>45758.498773148145</v>
      </c>
      <c r="C1208" t="s">
        <v>0</v>
      </c>
      <c r="D1208" t="str">
        <f>VLOOKUP(A1208,MERCADO!A:B,2,0)</f>
        <v>Servicos</v>
      </c>
      <c r="E1208" t="str">
        <f>_xlfn.XLOOKUP(A1208, ORIGEM!A:A, ORIGEM!B:B)</f>
        <v>Linkedin</v>
      </c>
      <c r="F1208" t="str">
        <f>_xlfn.XLOOKUP(A1208, ORIGEM!A:A, ORIGEM!C:C)</f>
        <v>linkedin - cpc</v>
      </c>
      <c r="G1208" t="str">
        <f>_xlfn.XLOOKUP(A1208, LOCAL!A:A, LOCAL!B:B)</f>
        <v>Natal - RN</v>
      </c>
      <c r="H1208" t="str">
        <f>_xlfn.XLOOKUP(A1208, PORTE!A:A, PORTE!B:B)</f>
        <v>0</v>
      </c>
      <c r="I1208" t="str">
        <f>_xlfn.XLOOKUP(A1208, OBJETIVO!A:A, OBJETIVO!B:B)</f>
        <v>Outro</v>
      </c>
      <c r="J1208">
        <f t="shared" si="18"/>
        <v>0</v>
      </c>
    </row>
    <row r="1209" spans="1:10" x14ac:dyDescent="0.25">
      <c r="A1209">
        <v>11577236</v>
      </c>
      <c r="B1209" s="1">
        <v>45724.792858796296</v>
      </c>
      <c r="C1209" t="s">
        <v>0</v>
      </c>
      <c r="D1209" t="str">
        <f>VLOOKUP(A1209,MERCADO!A:B,2,0)</f>
        <v>Varejo</v>
      </c>
      <c r="E1209" t="str">
        <f>_xlfn.XLOOKUP(A1209, ORIGEM!A:A, ORIGEM!B:B)</f>
        <v>Facebook</v>
      </c>
      <c r="F1209" t="str">
        <f>_xlfn.XLOOKUP(A1209, ORIGEM!A:A, ORIGEM!C:C)</f>
        <v>facebook - cpc</v>
      </c>
      <c r="G1209" t="str">
        <f>_xlfn.XLOOKUP(A1209, LOCAL!A:A, LOCAL!B:B)</f>
        <v>Paulo Afonso - BA</v>
      </c>
      <c r="H1209" t="str">
        <f>_xlfn.XLOOKUP(A1209, PORTE!A:A, PORTE!B:B)</f>
        <v>0</v>
      </c>
      <c r="I1209" t="str">
        <f>_xlfn.XLOOKUP(A1209, OBJETIVO!A:A, OBJETIVO!B:B)</f>
        <v>Outro</v>
      </c>
      <c r="J1209">
        <f t="shared" si="18"/>
        <v>0</v>
      </c>
    </row>
    <row r="1210" spans="1:10" x14ac:dyDescent="0.25">
      <c r="A1210">
        <v>11578205</v>
      </c>
      <c r="B1210" s="1">
        <v>45724.994201388887</v>
      </c>
      <c r="C1210" t="s">
        <v>0</v>
      </c>
      <c r="D1210" t="str">
        <f>VLOOKUP(A1210,MERCADO!A:B,2,0)</f>
        <v>Varejo</v>
      </c>
      <c r="E1210" t="str">
        <f>_xlfn.XLOOKUP(A1210, ORIGEM!A:A, ORIGEM!B:B)</f>
        <v>Facebook</v>
      </c>
      <c r="F1210" t="str">
        <f>_xlfn.XLOOKUP(A1210, ORIGEM!A:A, ORIGEM!C:C)</f>
        <v>facebook - cpc</v>
      </c>
      <c r="G1210" t="str">
        <f>_xlfn.XLOOKUP(A1210, LOCAL!A:A, LOCAL!B:B)</f>
        <v>Embu das Artes - SP</v>
      </c>
      <c r="H1210" t="str">
        <f>_xlfn.XLOOKUP(A1210, PORTE!A:A, PORTE!B:B)</f>
        <v>0</v>
      </c>
      <c r="I1210" t="str">
        <f>_xlfn.XLOOKUP(A1210, OBJETIVO!A:A, OBJETIVO!B:B)</f>
        <v>Ações de marketing/vendas</v>
      </c>
      <c r="J1210">
        <f t="shared" si="18"/>
        <v>0</v>
      </c>
    </row>
    <row r="1211" spans="1:10" x14ac:dyDescent="0.25">
      <c r="A1211">
        <v>11657292</v>
      </c>
      <c r="B1211" s="1">
        <v>45732.56621527778</v>
      </c>
      <c r="C1211" t="s">
        <v>0</v>
      </c>
      <c r="D1211" t="str">
        <f>VLOOKUP(A1211,MERCADO!A:B,2,0)</f>
        <v>Varejo</v>
      </c>
      <c r="E1211" t="str">
        <f>_xlfn.XLOOKUP(A1211, ORIGEM!A:A, ORIGEM!B:B)</f>
        <v>Google</v>
      </c>
      <c r="F1211">
        <f>_xlfn.XLOOKUP(A1211, ORIGEM!A:A, ORIGEM!C:C)</f>
        <v>0</v>
      </c>
      <c r="G1211" t="str">
        <f>_xlfn.XLOOKUP(A1211, LOCAL!A:A, LOCAL!B:B)</f>
        <v>-</v>
      </c>
      <c r="H1211" t="str">
        <f>_xlfn.XLOOKUP(A1211, PORTE!A:A, PORTE!B:B)</f>
        <v>1-10</v>
      </c>
      <c r="I1211" t="str">
        <f>_xlfn.XLOOKUP(A1211, OBJETIVO!A:A, OBJETIVO!B:B)</f>
        <v>Outro</v>
      </c>
      <c r="J1211">
        <f t="shared" si="18"/>
        <v>0</v>
      </c>
    </row>
    <row r="1212" spans="1:10" x14ac:dyDescent="0.25">
      <c r="A1212">
        <v>11826426</v>
      </c>
      <c r="B1212" s="1">
        <v>45746.738206018519</v>
      </c>
      <c r="C1212" t="s">
        <v>0</v>
      </c>
      <c r="D1212" t="str">
        <f>VLOOKUP(A1212,MERCADO!A:B,2,0)</f>
        <v>Varejo</v>
      </c>
      <c r="E1212" t="str">
        <f>_xlfn.XLOOKUP(A1212, ORIGEM!A:A, ORIGEM!B:B)</f>
        <v>Google</v>
      </c>
      <c r="F1212">
        <f>_xlfn.XLOOKUP(A1212, ORIGEM!A:A, ORIGEM!C:C)</f>
        <v>0</v>
      </c>
      <c r="G1212" t="str">
        <f>_xlfn.XLOOKUP(A1212, LOCAL!A:A, LOCAL!B:B)</f>
        <v>-</v>
      </c>
      <c r="H1212" t="str">
        <f>_xlfn.XLOOKUP(A1212, PORTE!A:A, PORTE!B:B)</f>
        <v>11-50</v>
      </c>
      <c r="I1212" t="str">
        <f>_xlfn.XLOOKUP(A1212, OBJETIVO!A:A, OBJETIVO!B:B)</f>
        <v>Abertura/Expansão</v>
      </c>
      <c r="J1212">
        <f t="shared" si="18"/>
        <v>0</v>
      </c>
    </row>
    <row r="1213" spans="1:10" x14ac:dyDescent="0.25">
      <c r="A1213">
        <v>11543455</v>
      </c>
      <c r="B1213" s="1">
        <v>45720.917708333334</v>
      </c>
      <c r="C1213" t="s">
        <v>0</v>
      </c>
      <c r="D1213" t="str">
        <f>VLOOKUP(A1213,MERCADO!A:B,2,0)</f>
        <v>Varejo</v>
      </c>
      <c r="E1213" t="str">
        <f>_xlfn.XLOOKUP(A1213, ORIGEM!A:A, ORIGEM!B:B)</f>
        <v>Facebook</v>
      </c>
      <c r="F1213" t="str">
        <f>_xlfn.XLOOKUP(A1213, ORIGEM!A:A, ORIGEM!C:C)</f>
        <v>facebook - cpc</v>
      </c>
      <c r="G1213" t="str">
        <f>_xlfn.XLOOKUP(A1213, LOCAL!A:A, LOCAL!B:B)</f>
        <v>Recife - PE</v>
      </c>
      <c r="H1213" t="str">
        <f>_xlfn.XLOOKUP(A1213, PORTE!A:A, PORTE!B:B)</f>
        <v>51-300</v>
      </c>
      <c r="I1213" t="str">
        <f>_xlfn.XLOOKUP(A1213, OBJETIVO!A:A, OBJETIVO!B:B)</f>
        <v>Outro</v>
      </c>
      <c r="J1213">
        <f t="shared" si="18"/>
        <v>0</v>
      </c>
    </row>
    <row r="1214" spans="1:10" x14ac:dyDescent="0.25">
      <c r="A1214">
        <v>11407479</v>
      </c>
      <c r="B1214" s="1">
        <v>45708.597662037035</v>
      </c>
      <c r="C1214" t="s">
        <v>0</v>
      </c>
      <c r="D1214" t="str">
        <f>VLOOKUP(A1214,MERCADO!A:B,2,0)</f>
        <v>Varejo</v>
      </c>
      <c r="E1214" t="str">
        <f>_xlfn.XLOOKUP(A1214, ORIGEM!A:A, ORIGEM!B:B)</f>
        <v>Facebook</v>
      </c>
      <c r="F1214" t="str">
        <f>_xlfn.XLOOKUP(A1214, ORIGEM!A:A, ORIGEM!C:C)</f>
        <v>facebook - cpc</v>
      </c>
      <c r="G1214" t="str">
        <f>_xlfn.XLOOKUP(A1214, LOCAL!A:A, LOCAL!B:B)</f>
        <v>Varginha - MG</v>
      </c>
      <c r="H1214" t="str">
        <f>_xlfn.XLOOKUP(A1214, PORTE!A:A, PORTE!B:B)</f>
        <v>0</v>
      </c>
      <c r="I1214" t="str">
        <f>_xlfn.XLOOKUP(A1214, OBJETIVO!A:A, OBJETIVO!B:B)</f>
        <v>Geração de leads b2b</v>
      </c>
      <c r="J1214">
        <f t="shared" si="18"/>
        <v>0</v>
      </c>
    </row>
    <row r="1215" spans="1:10" x14ac:dyDescent="0.25">
      <c r="A1215">
        <v>11550494</v>
      </c>
      <c r="B1215" s="1">
        <v>45721.463564814818</v>
      </c>
      <c r="C1215" t="s">
        <v>0</v>
      </c>
      <c r="D1215" t="str">
        <f>VLOOKUP(A1215,MERCADO!A:B,2,0)</f>
        <v>Varejo</v>
      </c>
      <c r="E1215" t="str">
        <f>_xlfn.XLOOKUP(A1215, ORIGEM!A:A, ORIGEM!B:B)</f>
        <v>Facebook</v>
      </c>
      <c r="F1215" t="str">
        <f>_xlfn.XLOOKUP(A1215, ORIGEM!A:A, ORIGEM!C:C)</f>
        <v>facebook - cpc</v>
      </c>
      <c r="G1215" t="str">
        <f>_xlfn.XLOOKUP(A1215, LOCAL!A:A, LOCAL!B:B)</f>
        <v>Goiânia - GO</v>
      </c>
      <c r="H1215" t="str">
        <f>_xlfn.XLOOKUP(A1215, PORTE!A:A, PORTE!B:B)</f>
        <v>11-50</v>
      </c>
      <c r="I1215" t="str">
        <f>_xlfn.XLOOKUP(A1215, OBJETIVO!A:A, OBJETIVO!B:B)</f>
        <v>Planejamento estratégico</v>
      </c>
      <c r="J1215">
        <f t="shared" si="18"/>
        <v>0</v>
      </c>
    </row>
    <row r="1216" spans="1:10" x14ac:dyDescent="0.25">
      <c r="A1216">
        <v>11544084</v>
      </c>
      <c r="B1216" s="1">
        <v>45721.25271990741</v>
      </c>
      <c r="C1216" t="s">
        <v>0</v>
      </c>
      <c r="D1216" t="str">
        <f>VLOOKUP(A1216,MERCADO!A:B,2,0)</f>
        <v>Varejo</v>
      </c>
      <c r="E1216" t="str">
        <f>_xlfn.XLOOKUP(A1216, ORIGEM!A:A, ORIGEM!B:B)</f>
        <v>Facebook</v>
      </c>
      <c r="F1216" t="str">
        <f>_xlfn.XLOOKUP(A1216, ORIGEM!A:A, ORIGEM!C:C)</f>
        <v>facebook - cpc</v>
      </c>
      <c r="G1216" t="str">
        <f>_xlfn.XLOOKUP(A1216, LOCAL!A:A, LOCAL!B:B)</f>
        <v>Fortaleza - CE</v>
      </c>
      <c r="H1216" t="str">
        <f>_xlfn.XLOOKUP(A1216, PORTE!A:A, PORTE!B:B)</f>
        <v>0</v>
      </c>
      <c r="I1216" t="str">
        <f>_xlfn.XLOOKUP(A1216, OBJETIVO!A:A, OBJETIVO!B:B)</f>
        <v>Geração de leads b2b</v>
      </c>
      <c r="J1216">
        <f t="shared" si="18"/>
        <v>0</v>
      </c>
    </row>
    <row r="1217" spans="1:10" x14ac:dyDescent="0.25">
      <c r="A1217">
        <v>11982710</v>
      </c>
      <c r="B1217" s="1">
        <v>45761.446898148148</v>
      </c>
      <c r="C1217" t="s">
        <v>0</v>
      </c>
      <c r="D1217" t="str">
        <f>VLOOKUP(A1217,MERCADO!A:B,2,0)</f>
        <v>Servicos</v>
      </c>
      <c r="E1217" t="str">
        <f>_xlfn.XLOOKUP(A1217, ORIGEM!A:A, ORIGEM!B:B)</f>
        <v>Google</v>
      </c>
      <c r="F1217" t="str">
        <f>_xlfn.XLOOKUP(A1217, ORIGEM!A:A, ORIGEM!C:C)</f>
        <v>google - cpc</v>
      </c>
      <c r="G1217" t="str">
        <f>_xlfn.XLOOKUP(A1217, LOCAL!A:A, LOCAL!B:B)</f>
        <v>Ponta Grossa - PR</v>
      </c>
      <c r="H1217" t="str">
        <f>_xlfn.XLOOKUP(A1217, PORTE!A:A, PORTE!B:B)</f>
        <v>1-10</v>
      </c>
      <c r="I1217" t="str">
        <f>_xlfn.XLOOKUP(A1217, OBJETIVO!A:A, OBJETIVO!B:B)</f>
        <v>Planejamento estratégico</v>
      </c>
      <c r="J1217">
        <f t="shared" si="18"/>
        <v>0</v>
      </c>
    </row>
    <row r="1218" spans="1:10" x14ac:dyDescent="0.25">
      <c r="A1218">
        <v>11976488</v>
      </c>
      <c r="B1218" s="1">
        <v>45760.860671296294</v>
      </c>
      <c r="C1218" t="s">
        <v>0</v>
      </c>
      <c r="D1218" t="str">
        <f>VLOOKUP(A1218,MERCADO!A:B,2,0)</f>
        <v>Servicos</v>
      </c>
      <c r="E1218" t="str">
        <f>_xlfn.XLOOKUP(A1218, ORIGEM!A:A, ORIGEM!B:B)</f>
        <v>Google</v>
      </c>
      <c r="F1218" t="str">
        <f>_xlfn.XLOOKUP(A1218, ORIGEM!A:A, ORIGEM!C:C)</f>
        <v>google - cpc</v>
      </c>
      <c r="G1218" t="str">
        <f>_xlfn.XLOOKUP(A1218, LOCAL!A:A, LOCAL!B:B)</f>
        <v>Rio de Janeiro - RJ</v>
      </c>
      <c r="H1218" t="str">
        <f>_xlfn.XLOOKUP(A1218, PORTE!A:A, PORTE!B:B)</f>
        <v>0</v>
      </c>
      <c r="I1218" t="str">
        <f>_xlfn.XLOOKUP(A1218, OBJETIVO!A:A, OBJETIVO!B:B)</f>
        <v>Geração de leads b2b</v>
      </c>
      <c r="J1218">
        <f t="shared" si="18"/>
        <v>0</v>
      </c>
    </row>
    <row r="1219" spans="1:10" x14ac:dyDescent="0.25">
      <c r="A1219">
        <v>11931087</v>
      </c>
      <c r="B1219" s="1">
        <v>45756.583449074074</v>
      </c>
      <c r="C1219" t="s">
        <v>0</v>
      </c>
      <c r="D1219" t="str">
        <f>VLOOKUP(A1219,MERCADO!A:B,2,0)</f>
        <v>Servicos</v>
      </c>
      <c r="E1219" t="str">
        <f>_xlfn.XLOOKUP(A1219, ORIGEM!A:A, ORIGEM!B:B)</f>
        <v>Google</v>
      </c>
      <c r="F1219" t="str">
        <f>_xlfn.XLOOKUP(A1219, ORIGEM!A:A, ORIGEM!C:C)</f>
        <v>google - cpc</v>
      </c>
      <c r="G1219" t="str">
        <f>_xlfn.XLOOKUP(A1219, LOCAL!A:A, LOCAL!B:B)</f>
        <v>Rio de Janeiro - RJ</v>
      </c>
      <c r="H1219" t="str">
        <f>_xlfn.XLOOKUP(A1219, PORTE!A:A, PORTE!B:B)</f>
        <v>1-10</v>
      </c>
      <c r="I1219" t="str">
        <f>_xlfn.XLOOKUP(A1219, OBJETIVO!A:A, OBJETIVO!B:B)</f>
        <v>Abertura/Expansão</v>
      </c>
      <c r="J1219">
        <f t="shared" ref="J1219:J1282" si="19">IF(C1219="SIM",1,0)</f>
        <v>0</v>
      </c>
    </row>
    <row r="1220" spans="1:10" x14ac:dyDescent="0.25">
      <c r="A1220">
        <v>12004346</v>
      </c>
      <c r="B1220" s="1">
        <v>45762.670428240737</v>
      </c>
      <c r="C1220" t="s">
        <v>0</v>
      </c>
      <c r="D1220" t="str">
        <f>VLOOKUP(A1220,MERCADO!A:B,2,0)</f>
        <v>Servicos</v>
      </c>
      <c r="E1220" t="str">
        <f>_xlfn.XLOOKUP(A1220, ORIGEM!A:A, ORIGEM!B:B)</f>
        <v>Google</v>
      </c>
      <c r="F1220" t="str">
        <f>_xlfn.XLOOKUP(A1220, ORIGEM!A:A, ORIGEM!C:C)</f>
        <v>google - cpc</v>
      </c>
      <c r="G1220" t="str">
        <f>_xlfn.XLOOKUP(A1220, LOCAL!A:A, LOCAL!B:B)</f>
        <v>Rio de Janeiro - RJ</v>
      </c>
      <c r="H1220" t="str">
        <f>_xlfn.XLOOKUP(A1220, PORTE!A:A, PORTE!B:B)</f>
        <v>301-1000</v>
      </c>
      <c r="I1220" t="str">
        <f>_xlfn.XLOOKUP(A1220, OBJETIVO!A:A, OBJETIVO!B:B)</f>
        <v>Outro</v>
      </c>
      <c r="J1220">
        <f t="shared" si="19"/>
        <v>0</v>
      </c>
    </row>
    <row r="1221" spans="1:10" x14ac:dyDescent="0.25">
      <c r="A1221">
        <v>12018137</v>
      </c>
      <c r="B1221" s="1">
        <v>45763.710717592592</v>
      </c>
      <c r="C1221" t="s">
        <v>0</v>
      </c>
      <c r="D1221" t="str">
        <f>VLOOKUP(A1221,MERCADO!A:B,2,0)</f>
        <v>Servicos</v>
      </c>
      <c r="E1221" t="str">
        <f>_xlfn.XLOOKUP(A1221, ORIGEM!A:A, ORIGEM!B:B)</f>
        <v>Google</v>
      </c>
      <c r="F1221" t="str">
        <f>_xlfn.XLOOKUP(A1221, ORIGEM!A:A, ORIGEM!C:C)</f>
        <v>google - cpc</v>
      </c>
      <c r="G1221" t="str">
        <f>_xlfn.XLOOKUP(A1221, LOCAL!A:A, LOCAL!B:B)</f>
        <v>São Paulo - SP</v>
      </c>
      <c r="H1221" t="str">
        <f>_xlfn.XLOOKUP(A1221, PORTE!A:A, PORTE!B:B)</f>
        <v>+ 1000</v>
      </c>
      <c r="I1221" t="str">
        <f>_xlfn.XLOOKUP(A1221, OBJETIVO!A:A, OBJETIVO!B:B)</f>
        <v>Planejamento estratégico</v>
      </c>
      <c r="J1221">
        <f t="shared" si="19"/>
        <v>0</v>
      </c>
    </row>
    <row r="1222" spans="1:10" x14ac:dyDescent="0.25">
      <c r="A1222">
        <v>12018983</v>
      </c>
      <c r="B1222" s="1">
        <v>45763.742534722223</v>
      </c>
      <c r="C1222" t="s">
        <v>0</v>
      </c>
      <c r="D1222" t="str">
        <f>VLOOKUP(A1222,MERCADO!A:B,2,0)</f>
        <v>Servicos</v>
      </c>
      <c r="E1222" t="str">
        <f>_xlfn.XLOOKUP(A1222, ORIGEM!A:A, ORIGEM!B:B)</f>
        <v>Google</v>
      </c>
      <c r="F1222" t="str">
        <f>_xlfn.XLOOKUP(A1222, ORIGEM!A:A, ORIGEM!C:C)</f>
        <v>google - cpc</v>
      </c>
      <c r="G1222" t="str">
        <f>_xlfn.XLOOKUP(A1222, LOCAL!A:A, LOCAL!B:B)</f>
        <v>Porto Alegre - RS</v>
      </c>
      <c r="H1222" t="str">
        <f>_xlfn.XLOOKUP(A1222, PORTE!A:A, PORTE!B:B)</f>
        <v>1-10</v>
      </c>
      <c r="I1222" t="str">
        <f>_xlfn.XLOOKUP(A1222, OBJETIVO!A:A, OBJETIVO!B:B)</f>
        <v>Ações de marketing/vendas</v>
      </c>
      <c r="J1222">
        <f t="shared" si="19"/>
        <v>0</v>
      </c>
    </row>
    <row r="1223" spans="1:10" x14ac:dyDescent="0.25">
      <c r="A1223">
        <v>12020431</v>
      </c>
      <c r="B1223" s="1">
        <v>45763.988946759258</v>
      </c>
      <c r="C1223" t="s">
        <v>0</v>
      </c>
      <c r="D1223" t="str">
        <f>VLOOKUP(A1223,MERCADO!A:B,2,0)</f>
        <v>Servicos</v>
      </c>
      <c r="E1223" t="str">
        <f>_xlfn.XLOOKUP(A1223, ORIGEM!A:A, ORIGEM!B:B)</f>
        <v>Google</v>
      </c>
      <c r="F1223" t="str">
        <f>_xlfn.XLOOKUP(A1223, ORIGEM!A:A, ORIGEM!C:C)</f>
        <v>google - cpc</v>
      </c>
      <c r="G1223" t="str">
        <f>_xlfn.XLOOKUP(A1223, LOCAL!A:A, LOCAL!B:B)</f>
        <v>Jardinopolis - SP</v>
      </c>
      <c r="H1223" t="str">
        <f>_xlfn.XLOOKUP(A1223, PORTE!A:A, PORTE!B:B)</f>
        <v>1-10</v>
      </c>
      <c r="I1223" t="str">
        <f>_xlfn.XLOOKUP(A1223, OBJETIVO!A:A, OBJETIVO!B:B)</f>
        <v>Ações de marketing/vendas</v>
      </c>
      <c r="J1223">
        <f t="shared" si="19"/>
        <v>0</v>
      </c>
    </row>
    <row r="1224" spans="1:10" x14ac:dyDescent="0.25">
      <c r="A1224">
        <v>11881041</v>
      </c>
      <c r="B1224" s="1">
        <v>45753.521319444444</v>
      </c>
      <c r="C1224" t="s">
        <v>0</v>
      </c>
      <c r="D1224" t="str">
        <f>VLOOKUP(A1224,MERCADO!A:B,2,0)</f>
        <v>Servicos</v>
      </c>
      <c r="E1224" t="str">
        <f>_xlfn.XLOOKUP(A1224, ORIGEM!A:A, ORIGEM!B:B)</f>
        <v>Google</v>
      </c>
      <c r="F1224" t="str">
        <f>_xlfn.XLOOKUP(A1224, ORIGEM!A:A, ORIGEM!C:C)</f>
        <v>google - cpc</v>
      </c>
      <c r="G1224" t="str">
        <f>_xlfn.XLOOKUP(A1224, LOCAL!A:A, LOCAL!B:B)</f>
        <v>São Paulo - SP</v>
      </c>
      <c r="H1224" t="str">
        <f>_xlfn.XLOOKUP(A1224, PORTE!A:A, PORTE!B:B)</f>
        <v>1-10</v>
      </c>
      <c r="I1224" t="str">
        <f>_xlfn.XLOOKUP(A1224, OBJETIVO!A:A, OBJETIVO!B:B)</f>
        <v>Ações de marketing/vendas</v>
      </c>
      <c r="J1224">
        <f t="shared" si="19"/>
        <v>0</v>
      </c>
    </row>
    <row r="1225" spans="1:10" x14ac:dyDescent="0.25">
      <c r="A1225">
        <v>11871687</v>
      </c>
      <c r="B1225" s="1">
        <v>45752.718831018516</v>
      </c>
      <c r="C1225" t="s">
        <v>0</v>
      </c>
      <c r="D1225" t="str">
        <f>VLOOKUP(A1225,MERCADO!A:B,2,0)</f>
        <v>Servicos</v>
      </c>
      <c r="E1225" t="str">
        <f>_xlfn.XLOOKUP(A1225, ORIGEM!A:A, ORIGEM!B:B)</f>
        <v>Google</v>
      </c>
      <c r="F1225" t="str">
        <f>_xlfn.XLOOKUP(A1225, ORIGEM!A:A, ORIGEM!C:C)</f>
        <v>google - cpc</v>
      </c>
      <c r="G1225" t="str">
        <f>_xlfn.XLOOKUP(A1225, LOCAL!A:A, LOCAL!B:B)</f>
        <v>Niterói - RJ</v>
      </c>
      <c r="H1225" t="str">
        <f>_xlfn.XLOOKUP(A1225, PORTE!A:A, PORTE!B:B)</f>
        <v>51-300</v>
      </c>
      <c r="I1225" t="str">
        <f>_xlfn.XLOOKUP(A1225, OBJETIVO!A:A, OBJETIVO!B:B)</f>
        <v>Outro</v>
      </c>
      <c r="J1225">
        <f t="shared" si="19"/>
        <v>0</v>
      </c>
    </row>
    <row r="1226" spans="1:10" x14ac:dyDescent="0.25">
      <c r="A1226">
        <v>11875334</v>
      </c>
      <c r="B1226" s="1">
        <v>45753.362870370373</v>
      </c>
      <c r="C1226" t="s">
        <v>0</v>
      </c>
      <c r="D1226" t="str">
        <f>VLOOKUP(A1226,MERCADO!A:B,2,0)</f>
        <v>Servicos</v>
      </c>
      <c r="E1226" t="str">
        <f>_xlfn.XLOOKUP(A1226, ORIGEM!A:A, ORIGEM!B:B)</f>
        <v>Google</v>
      </c>
      <c r="F1226" t="str">
        <f>_xlfn.XLOOKUP(A1226, ORIGEM!A:A, ORIGEM!C:C)</f>
        <v>google - cpc</v>
      </c>
      <c r="G1226" t="str">
        <f>_xlfn.XLOOKUP(A1226, LOCAL!A:A, LOCAL!B:B)</f>
        <v>Catalao - GO</v>
      </c>
      <c r="H1226" t="str">
        <f>_xlfn.XLOOKUP(A1226, PORTE!A:A, PORTE!B:B)</f>
        <v>11-50</v>
      </c>
      <c r="I1226" t="str">
        <f>_xlfn.XLOOKUP(A1226, OBJETIVO!A:A, OBJETIVO!B:B)</f>
        <v>Planejamento estratégico</v>
      </c>
      <c r="J1226">
        <f t="shared" si="19"/>
        <v>0</v>
      </c>
    </row>
    <row r="1227" spans="1:10" x14ac:dyDescent="0.25">
      <c r="A1227">
        <v>11867063</v>
      </c>
      <c r="B1227" s="1">
        <v>45752.526770833334</v>
      </c>
      <c r="C1227" t="s">
        <v>0</v>
      </c>
      <c r="D1227" t="str">
        <f>VLOOKUP(A1227,MERCADO!A:B,2,0)</f>
        <v>Servicos</v>
      </c>
      <c r="E1227" t="str">
        <f>_xlfn.XLOOKUP(A1227, ORIGEM!A:A, ORIGEM!B:B)</f>
        <v>Google</v>
      </c>
      <c r="F1227" t="str">
        <f>_xlfn.XLOOKUP(A1227, ORIGEM!A:A, ORIGEM!C:C)</f>
        <v>google - cpc</v>
      </c>
      <c r="G1227" t="str">
        <f>_xlfn.XLOOKUP(A1227, LOCAL!A:A, LOCAL!B:B)</f>
        <v>Coaraci - BA</v>
      </c>
      <c r="H1227" t="str">
        <f>_xlfn.XLOOKUP(A1227, PORTE!A:A, PORTE!B:B)</f>
        <v>1-10</v>
      </c>
      <c r="I1227" t="str">
        <f>_xlfn.XLOOKUP(A1227, OBJETIVO!A:A, OBJETIVO!B:B)</f>
        <v>Abertura/Expansão</v>
      </c>
      <c r="J1227">
        <f t="shared" si="19"/>
        <v>0</v>
      </c>
    </row>
    <row r="1228" spans="1:10" x14ac:dyDescent="0.25">
      <c r="A1228">
        <v>11856564</v>
      </c>
      <c r="B1228" s="1">
        <v>45750.131168981483</v>
      </c>
      <c r="C1228" t="s">
        <v>0</v>
      </c>
      <c r="D1228" t="str">
        <f>VLOOKUP(A1228,MERCADO!A:B,2,0)</f>
        <v>Servicos</v>
      </c>
      <c r="E1228" t="str">
        <f>_xlfn.XLOOKUP(A1228, ORIGEM!A:A, ORIGEM!B:B)</f>
        <v>Google</v>
      </c>
      <c r="F1228" t="str">
        <f>_xlfn.XLOOKUP(A1228, ORIGEM!A:A, ORIGEM!C:C)</f>
        <v>google - cpc</v>
      </c>
      <c r="G1228" t="str">
        <f>_xlfn.XLOOKUP(A1228, LOCAL!A:A, LOCAL!B:B)</f>
        <v>São Carlos - SP</v>
      </c>
      <c r="H1228" t="str">
        <f>_xlfn.XLOOKUP(A1228, PORTE!A:A, PORTE!B:B)</f>
        <v>11-50</v>
      </c>
      <c r="I1228" t="str">
        <f>_xlfn.XLOOKUP(A1228, OBJETIVO!A:A, OBJETIVO!B:B)</f>
        <v>Planejamento estratégico</v>
      </c>
      <c r="J1228">
        <f t="shared" si="19"/>
        <v>0</v>
      </c>
    </row>
    <row r="1229" spans="1:10" x14ac:dyDescent="0.25">
      <c r="A1229">
        <v>11854163</v>
      </c>
      <c r="B1229" s="1">
        <v>45749.631620370368</v>
      </c>
      <c r="C1229" t="s">
        <v>0</v>
      </c>
      <c r="D1229" t="str">
        <f>VLOOKUP(A1229,MERCADO!A:B,2,0)</f>
        <v>Servicos</v>
      </c>
      <c r="E1229" t="str">
        <f>_xlfn.XLOOKUP(A1229, ORIGEM!A:A, ORIGEM!B:B)</f>
        <v>Google</v>
      </c>
      <c r="F1229" t="str">
        <f>_xlfn.XLOOKUP(A1229, ORIGEM!A:A, ORIGEM!C:C)</f>
        <v>google - cpc</v>
      </c>
      <c r="G1229" t="str">
        <f>_xlfn.XLOOKUP(A1229, LOCAL!A:A, LOCAL!B:B)</f>
        <v>Porto Alegre - RS</v>
      </c>
      <c r="H1229" t="str">
        <f>_xlfn.XLOOKUP(A1229, PORTE!A:A, PORTE!B:B)</f>
        <v>51-300</v>
      </c>
      <c r="I1229" t="str">
        <f>_xlfn.XLOOKUP(A1229, OBJETIVO!A:A, OBJETIVO!B:B)</f>
        <v>Geração de leads b2b</v>
      </c>
      <c r="J1229">
        <f t="shared" si="19"/>
        <v>0</v>
      </c>
    </row>
    <row r="1230" spans="1:10" x14ac:dyDescent="0.25">
      <c r="A1230">
        <v>11855844</v>
      </c>
      <c r="B1230" s="1">
        <v>45749.859895833331</v>
      </c>
      <c r="C1230" t="s">
        <v>0</v>
      </c>
      <c r="D1230" t="str">
        <f>VLOOKUP(A1230,MERCADO!A:B,2,0)</f>
        <v>Servicos</v>
      </c>
      <c r="E1230" t="str">
        <f>_xlfn.XLOOKUP(A1230, ORIGEM!A:A, ORIGEM!B:B)</f>
        <v>Google</v>
      </c>
      <c r="F1230" t="str">
        <f>_xlfn.XLOOKUP(A1230, ORIGEM!A:A, ORIGEM!C:C)</f>
        <v>google - cpc</v>
      </c>
      <c r="G1230" t="str">
        <f>_xlfn.XLOOKUP(A1230, LOCAL!A:A, LOCAL!B:B)</f>
        <v>Guarapuava - PR</v>
      </c>
      <c r="H1230" t="str">
        <f>_xlfn.XLOOKUP(A1230, PORTE!A:A, PORTE!B:B)</f>
        <v>1-10</v>
      </c>
      <c r="I1230" t="str">
        <f>_xlfn.XLOOKUP(A1230, OBJETIVO!A:A, OBJETIVO!B:B)</f>
        <v>Planejamento estratégico</v>
      </c>
      <c r="J1230">
        <f t="shared" si="19"/>
        <v>0</v>
      </c>
    </row>
    <row r="1231" spans="1:10" x14ac:dyDescent="0.25">
      <c r="A1231">
        <v>11847974</v>
      </c>
      <c r="B1231" s="1">
        <v>45748.673449074071</v>
      </c>
      <c r="C1231" t="s">
        <v>0</v>
      </c>
      <c r="D1231" t="str">
        <f>VLOOKUP(A1231,MERCADO!A:B,2,0)</f>
        <v>Servicos</v>
      </c>
      <c r="E1231" t="str">
        <f>_xlfn.XLOOKUP(A1231, ORIGEM!A:A, ORIGEM!B:B)</f>
        <v>Google</v>
      </c>
      <c r="F1231" t="str">
        <f>_xlfn.XLOOKUP(A1231, ORIGEM!A:A, ORIGEM!C:C)</f>
        <v>google - cpc</v>
      </c>
      <c r="G1231" t="str">
        <f>_xlfn.XLOOKUP(A1231, LOCAL!A:A, LOCAL!B:B)</f>
        <v>Curitiba - PR</v>
      </c>
      <c r="H1231" t="str">
        <f>_xlfn.XLOOKUP(A1231, PORTE!A:A, PORTE!B:B)</f>
        <v>0</v>
      </c>
      <c r="I1231" t="str">
        <f>_xlfn.XLOOKUP(A1231, OBJETIVO!A:A, OBJETIVO!B:B)</f>
        <v>Abertura/Expansão</v>
      </c>
      <c r="J1231">
        <f t="shared" si="19"/>
        <v>0</v>
      </c>
    </row>
    <row r="1232" spans="1:10" x14ac:dyDescent="0.25">
      <c r="A1232">
        <v>11858379</v>
      </c>
      <c r="B1232" s="1">
        <v>45750.77684027778</v>
      </c>
      <c r="C1232" t="s">
        <v>0</v>
      </c>
      <c r="D1232" t="str">
        <f>VLOOKUP(A1232,MERCADO!A:B,2,0)</f>
        <v>Servicos</v>
      </c>
      <c r="E1232" t="str">
        <f>_xlfn.XLOOKUP(A1232, ORIGEM!A:A, ORIGEM!B:B)</f>
        <v>Google</v>
      </c>
      <c r="F1232" t="str">
        <f>_xlfn.XLOOKUP(A1232, ORIGEM!A:A, ORIGEM!C:C)</f>
        <v>google - cpc</v>
      </c>
      <c r="G1232" t="str">
        <f>_xlfn.XLOOKUP(A1232, LOCAL!A:A, LOCAL!B:B)</f>
        <v>Recife - PE</v>
      </c>
      <c r="H1232" t="str">
        <f>_xlfn.XLOOKUP(A1232, PORTE!A:A, PORTE!B:B)</f>
        <v>1-10</v>
      </c>
      <c r="I1232" t="str">
        <f>_xlfn.XLOOKUP(A1232, OBJETIVO!A:A, OBJETIVO!B:B)</f>
        <v>Geração de leads b2b</v>
      </c>
      <c r="J1232">
        <f t="shared" si="19"/>
        <v>0</v>
      </c>
    </row>
    <row r="1233" spans="1:10" x14ac:dyDescent="0.25">
      <c r="A1233">
        <v>11859733</v>
      </c>
      <c r="B1233" s="1">
        <v>45751.485937500001</v>
      </c>
      <c r="C1233" t="s">
        <v>0</v>
      </c>
      <c r="D1233" t="str">
        <f>VLOOKUP(A1233,MERCADO!A:B,2,0)</f>
        <v>Servicos</v>
      </c>
      <c r="E1233" t="str">
        <f>_xlfn.XLOOKUP(A1233, ORIGEM!A:A, ORIGEM!B:B)</f>
        <v>Google</v>
      </c>
      <c r="F1233" t="str">
        <f>_xlfn.XLOOKUP(A1233, ORIGEM!A:A, ORIGEM!C:C)</f>
        <v>google - cpc</v>
      </c>
      <c r="G1233" t="str">
        <f>_xlfn.XLOOKUP(A1233, LOCAL!A:A, LOCAL!B:B)</f>
        <v>Rio de Janeiro - RJ</v>
      </c>
      <c r="H1233" t="str">
        <f>_xlfn.XLOOKUP(A1233, PORTE!A:A, PORTE!B:B)</f>
        <v>1-10</v>
      </c>
      <c r="I1233" t="str">
        <f>_xlfn.XLOOKUP(A1233, OBJETIVO!A:A, OBJETIVO!B:B)</f>
        <v>Abertura/Expansão</v>
      </c>
      <c r="J1233">
        <f t="shared" si="19"/>
        <v>0</v>
      </c>
    </row>
    <row r="1234" spans="1:10" x14ac:dyDescent="0.25">
      <c r="A1234">
        <v>11860061</v>
      </c>
      <c r="B1234" s="1">
        <v>45751.613275462965</v>
      </c>
      <c r="C1234" t="s">
        <v>0</v>
      </c>
      <c r="D1234" t="str">
        <f>VLOOKUP(A1234,MERCADO!A:B,2,0)</f>
        <v>Servicos</v>
      </c>
      <c r="E1234" t="str">
        <f>_xlfn.XLOOKUP(A1234, ORIGEM!A:A, ORIGEM!B:B)</f>
        <v>Google</v>
      </c>
      <c r="F1234" t="str">
        <f>_xlfn.XLOOKUP(A1234, ORIGEM!A:A, ORIGEM!C:C)</f>
        <v>google - cpc</v>
      </c>
      <c r="G1234" t="str">
        <f>_xlfn.XLOOKUP(A1234, LOCAL!A:A, LOCAL!B:B)</f>
        <v>Santo André - SP</v>
      </c>
      <c r="H1234" t="str">
        <f>_xlfn.XLOOKUP(A1234, PORTE!A:A, PORTE!B:B)</f>
        <v>1-10</v>
      </c>
      <c r="I1234" t="str">
        <f>_xlfn.XLOOKUP(A1234, OBJETIVO!A:A, OBJETIVO!B:B)</f>
        <v>Outro</v>
      </c>
      <c r="J1234">
        <f t="shared" si="19"/>
        <v>0</v>
      </c>
    </row>
    <row r="1235" spans="1:10" x14ac:dyDescent="0.25">
      <c r="A1235">
        <v>11940984</v>
      </c>
      <c r="B1235" s="1">
        <v>45758.487870370373</v>
      </c>
      <c r="C1235" t="s">
        <v>0</v>
      </c>
      <c r="D1235" t="str">
        <f>VLOOKUP(A1235,MERCADO!A:B,2,0)</f>
        <v>Servicos</v>
      </c>
      <c r="E1235" t="str">
        <f>_xlfn.XLOOKUP(A1235, ORIGEM!A:A, ORIGEM!B:B)</f>
        <v>Google</v>
      </c>
      <c r="F1235" t="str">
        <f>_xlfn.XLOOKUP(A1235, ORIGEM!A:A, ORIGEM!C:C)</f>
        <v>google - cpc</v>
      </c>
      <c r="G1235" t="str">
        <f>_xlfn.XLOOKUP(A1235, LOCAL!A:A, LOCAL!B:B)</f>
        <v>Porto Alegre - RS</v>
      </c>
      <c r="H1235" t="str">
        <f>_xlfn.XLOOKUP(A1235, PORTE!A:A, PORTE!B:B)</f>
        <v>11-50</v>
      </c>
      <c r="I1235" t="str">
        <f>_xlfn.XLOOKUP(A1235, OBJETIVO!A:A, OBJETIVO!B:B)</f>
        <v>Planejamento estratégico</v>
      </c>
      <c r="J1235">
        <f t="shared" si="19"/>
        <v>0</v>
      </c>
    </row>
    <row r="1236" spans="1:10" x14ac:dyDescent="0.25">
      <c r="A1236">
        <v>11969014</v>
      </c>
      <c r="B1236" s="1">
        <v>45760.601273148146</v>
      </c>
      <c r="C1236" t="s">
        <v>0</v>
      </c>
      <c r="D1236" t="str">
        <f>VLOOKUP(A1236,MERCADO!A:B,2,0)</f>
        <v>Servicos</v>
      </c>
      <c r="E1236" t="str">
        <f>_xlfn.XLOOKUP(A1236, ORIGEM!A:A, ORIGEM!B:B)</f>
        <v>Google</v>
      </c>
      <c r="F1236" t="str">
        <f>_xlfn.XLOOKUP(A1236, ORIGEM!A:A, ORIGEM!C:C)</f>
        <v>google - cpc</v>
      </c>
      <c r="G1236" t="str">
        <f>_xlfn.XLOOKUP(A1236, LOCAL!A:A, LOCAL!B:B)</f>
        <v>Rio Branco - AC</v>
      </c>
      <c r="H1236" t="str">
        <f>_xlfn.XLOOKUP(A1236, PORTE!A:A, PORTE!B:B)</f>
        <v>0</v>
      </c>
      <c r="I1236" t="str">
        <f>_xlfn.XLOOKUP(A1236, OBJETIVO!A:A, OBJETIVO!B:B)</f>
        <v>Planejamento estratégico</v>
      </c>
      <c r="J1236">
        <f t="shared" si="19"/>
        <v>0</v>
      </c>
    </row>
    <row r="1237" spans="1:10" x14ac:dyDescent="0.25">
      <c r="A1237">
        <v>11935021</v>
      </c>
      <c r="B1237" s="1">
        <v>45756.725046296298</v>
      </c>
      <c r="C1237" t="s">
        <v>0</v>
      </c>
      <c r="D1237" t="str">
        <f>VLOOKUP(A1237,MERCADO!A:B,2,0)</f>
        <v>Servicos</v>
      </c>
      <c r="E1237" t="str">
        <f>_xlfn.XLOOKUP(A1237, ORIGEM!A:A, ORIGEM!B:B)</f>
        <v>Google</v>
      </c>
      <c r="F1237" t="str">
        <f>_xlfn.XLOOKUP(A1237, ORIGEM!A:A, ORIGEM!C:C)</f>
        <v>google - cpc</v>
      </c>
      <c r="G1237" t="str">
        <f>_xlfn.XLOOKUP(A1237, LOCAL!A:A, LOCAL!B:B)</f>
        <v>Candoi - PR</v>
      </c>
      <c r="H1237" t="str">
        <f>_xlfn.XLOOKUP(A1237, PORTE!A:A, PORTE!B:B)</f>
        <v>0</v>
      </c>
      <c r="I1237" t="str">
        <f>_xlfn.XLOOKUP(A1237, OBJETIVO!A:A, OBJETIVO!B:B)</f>
        <v>Abertura/Expansão</v>
      </c>
      <c r="J1237">
        <f t="shared" si="19"/>
        <v>0</v>
      </c>
    </row>
    <row r="1238" spans="1:10" x14ac:dyDescent="0.25">
      <c r="A1238">
        <v>11890485</v>
      </c>
      <c r="B1238" s="1">
        <v>45753.715590277781</v>
      </c>
      <c r="C1238" t="s">
        <v>0</v>
      </c>
      <c r="D1238" t="str">
        <f>VLOOKUP(A1238,MERCADO!A:B,2,0)</f>
        <v>Servicos</v>
      </c>
      <c r="E1238" t="str">
        <f>_xlfn.XLOOKUP(A1238, ORIGEM!A:A, ORIGEM!B:B)</f>
        <v>Google</v>
      </c>
      <c r="F1238" t="str">
        <f>_xlfn.XLOOKUP(A1238, ORIGEM!A:A, ORIGEM!C:C)</f>
        <v>google - cpc</v>
      </c>
      <c r="G1238" t="str">
        <f>_xlfn.XLOOKUP(A1238, LOCAL!A:A, LOCAL!B:B)</f>
        <v>Itaborai - RJ</v>
      </c>
      <c r="H1238" t="str">
        <f>_xlfn.XLOOKUP(A1238, PORTE!A:A, PORTE!B:B)</f>
        <v>0</v>
      </c>
      <c r="I1238" t="str">
        <f>_xlfn.XLOOKUP(A1238, OBJETIVO!A:A, OBJETIVO!B:B)</f>
        <v>Ações de marketing/vendas</v>
      </c>
      <c r="J1238">
        <f t="shared" si="19"/>
        <v>0</v>
      </c>
    </row>
    <row r="1239" spans="1:10" x14ac:dyDescent="0.25">
      <c r="A1239">
        <v>11896728</v>
      </c>
      <c r="B1239" s="1">
        <v>45754.459930555553</v>
      </c>
      <c r="C1239" t="s">
        <v>0</v>
      </c>
      <c r="D1239" t="str">
        <f>VLOOKUP(A1239,MERCADO!A:B,2,0)</f>
        <v>Servicos</v>
      </c>
      <c r="E1239" t="str">
        <f>_xlfn.XLOOKUP(A1239, ORIGEM!A:A, ORIGEM!B:B)</f>
        <v>Google</v>
      </c>
      <c r="F1239" t="str">
        <f>_xlfn.XLOOKUP(A1239, ORIGEM!A:A, ORIGEM!C:C)</f>
        <v>google - cpc</v>
      </c>
      <c r="G1239" t="str">
        <f>_xlfn.XLOOKUP(A1239, LOCAL!A:A, LOCAL!B:B)</f>
        <v>Curitiba - PR</v>
      </c>
      <c r="H1239" t="str">
        <f>_xlfn.XLOOKUP(A1239, PORTE!A:A, PORTE!B:B)</f>
        <v>1-10</v>
      </c>
      <c r="I1239" t="str">
        <f>_xlfn.XLOOKUP(A1239, OBJETIVO!A:A, OBJETIVO!B:B)</f>
        <v>Planejamento estratégico</v>
      </c>
      <c r="J1239">
        <f t="shared" si="19"/>
        <v>0</v>
      </c>
    </row>
    <row r="1240" spans="1:10" x14ac:dyDescent="0.25">
      <c r="A1240">
        <v>10622111</v>
      </c>
      <c r="B1240" s="1">
        <v>45631.72515046296</v>
      </c>
      <c r="C1240" t="s">
        <v>0</v>
      </c>
      <c r="D1240" t="str">
        <f>VLOOKUP(A1240,MERCADO!A:B,2,0)</f>
        <v>Servicos</v>
      </c>
      <c r="E1240" t="str">
        <f>_xlfn.XLOOKUP(A1240, ORIGEM!A:A, ORIGEM!B:B)</f>
        <v>Google</v>
      </c>
      <c r="F1240" t="str">
        <f>_xlfn.XLOOKUP(A1240, ORIGEM!A:A, ORIGEM!C:C)</f>
        <v>google - cpc</v>
      </c>
      <c r="G1240" t="str">
        <f>_xlfn.XLOOKUP(A1240, LOCAL!A:A, LOCAL!B:B)</f>
        <v>São Paulo - SP</v>
      </c>
      <c r="H1240" t="str">
        <f>_xlfn.XLOOKUP(A1240, PORTE!A:A, PORTE!B:B)</f>
        <v>1-10</v>
      </c>
      <c r="I1240" t="str">
        <f>_xlfn.XLOOKUP(A1240, OBJETIVO!A:A, OBJETIVO!B:B)</f>
        <v>Abertura/Expansão</v>
      </c>
      <c r="J1240">
        <f t="shared" si="19"/>
        <v>0</v>
      </c>
    </row>
    <row r="1241" spans="1:10" x14ac:dyDescent="0.25">
      <c r="A1241">
        <v>10622978</v>
      </c>
      <c r="B1241" s="1">
        <v>45632.366087962961</v>
      </c>
      <c r="C1241" t="s">
        <v>0</v>
      </c>
      <c r="D1241" t="str">
        <f>VLOOKUP(A1241,MERCADO!A:B,2,0)</f>
        <v>Servicos</v>
      </c>
      <c r="E1241" t="str">
        <f>_xlfn.XLOOKUP(A1241, ORIGEM!A:A, ORIGEM!B:B)</f>
        <v>Google</v>
      </c>
      <c r="F1241" t="str">
        <f>_xlfn.XLOOKUP(A1241, ORIGEM!A:A, ORIGEM!C:C)</f>
        <v>google - cpc</v>
      </c>
      <c r="G1241" t="str">
        <f>_xlfn.XLOOKUP(A1241, LOCAL!A:A, LOCAL!B:B)</f>
        <v>Aracaju - SE</v>
      </c>
      <c r="H1241" t="str">
        <f>_xlfn.XLOOKUP(A1241, PORTE!A:A, PORTE!B:B)</f>
        <v>0</v>
      </c>
      <c r="I1241" t="str">
        <f>_xlfn.XLOOKUP(A1241, OBJETIVO!A:A, OBJETIVO!B:B)</f>
        <v>Ações de marketing/vendas</v>
      </c>
      <c r="J1241">
        <f t="shared" si="19"/>
        <v>0</v>
      </c>
    </row>
    <row r="1242" spans="1:10" x14ac:dyDescent="0.25">
      <c r="A1242">
        <v>11278889</v>
      </c>
      <c r="B1242" s="1">
        <v>45696.488634259258</v>
      </c>
      <c r="C1242" t="s">
        <v>0</v>
      </c>
      <c r="D1242" t="str">
        <f>VLOOKUP(A1242,MERCADO!A:B,2,0)</f>
        <v>Servicos</v>
      </c>
      <c r="E1242" t="str">
        <f>_xlfn.XLOOKUP(A1242, ORIGEM!A:A, ORIGEM!B:B)</f>
        <v>Orgânico</v>
      </c>
      <c r="F1242">
        <f>_xlfn.XLOOKUP(A1242, ORIGEM!A:A, ORIGEM!C:C)</f>
        <v>0</v>
      </c>
      <c r="G1242" t="str">
        <f>_xlfn.XLOOKUP(A1242, LOCAL!A:A, LOCAL!B:B)</f>
        <v>Belo Horizonte, MG</v>
      </c>
      <c r="H1242" t="str">
        <f>_xlfn.XLOOKUP(A1242, PORTE!A:A, PORTE!B:B)</f>
        <v>1-10</v>
      </c>
      <c r="I1242" t="str">
        <f>_xlfn.XLOOKUP(A1242, OBJETIVO!A:A, OBJETIVO!B:B)</f>
        <v>Abertura/Expansão</v>
      </c>
      <c r="J1242">
        <f t="shared" si="19"/>
        <v>0</v>
      </c>
    </row>
    <row r="1243" spans="1:10" x14ac:dyDescent="0.25">
      <c r="A1243">
        <v>10624293</v>
      </c>
      <c r="B1243" s="1">
        <v>45632.842824074076</v>
      </c>
      <c r="C1243" t="s">
        <v>0</v>
      </c>
      <c r="D1243" t="str">
        <f>VLOOKUP(A1243,MERCADO!A:B,2,0)</f>
        <v>Servicos</v>
      </c>
      <c r="E1243" t="str">
        <f>_xlfn.XLOOKUP(A1243, ORIGEM!A:A, ORIGEM!B:B)</f>
        <v>Orgânico</v>
      </c>
      <c r="F1243">
        <f>_xlfn.XLOOKUP(A1243, ORIGEM!A:A, ORIGEM!C:C)</f>
        <v>0</v>
      </c>
      <c r="G1243" t="str">
        <f>_xlfn.XLOOKUP(A1243, LOCAL!A:A, LOCAL!B:B)</f>
        <v>Goiânia - GO</v>
      </c>
      <c r="H1243" t="str">
        <f>_xlfn.XLOOKUP(A1243, PORTE!A:A, PORTE!B:B)</f>
        <v>0</v>
      </c>
      <c r="I1243" t="str">
        <f>_xlfn.XLOOKUP(A1243, OBJETIVO!A:A, OBJETIVO!B:B)</f>
        <v>Outro</v>
      </c>
      <c r="J1243">
        <f t="shared" si="19"/>
        <v>0</v>
      </c>
    </row>
    <row r="1244" spans="1:10" x14ac:dyDescent="0.25">
      <c r="A1244">
        <v>10784165</v>
      </c>
      <c r="B1244" s="1">
        <v>45647.401006944441</v>
      </c>
      <c r="C1244" t="s">
        <v>0</v>
      </c>
      <c r="D1244" t="str">
        <f>VLOOKUP(A1244,MERCADO!A:B,2,0)</f>
        <v>Servicos</v>
      </c>
      <c r="E1244" t="str">
        <f>_xlfn.XLOOKUP(A1244, ORIGEM!A:A, ORIGEM!B:B)</f>
        <v>Orgânico</v>
      </c>
      <c r="F1244">
        <f>_xlfn.XLOOKUP(A1244, ORIGEM!A:A, ORIGEM!C:C)</f>
        <v>0</v>
      </c>
      <c r="G1244" t="str">
        <f>_xlfn.XLOOKUP(A1244, LOCAL!A:A, LOCAL!B:B)</f>
        <v>São José do Rio Preto, SP</v>
      </c>
      <c r="H1244" t="str">
        <f>_xlfn.XLOOKUP(A1244, PORTE!A:A, PORTE!B:B)</f>
        <v>1-10</v>
      </c>
      <c r="I1244" t="str">
        <f>_xlfn.XLOOKUP(A1244, OBJETIVO!A:A, OBJETIVO!B:B)</f>
        <v>Planejamento estratégico</v>
      </c>
      <c r="J1244">
        <f t="shared" si="19"/>
        <v>0</v>
      </c>
    </row>
    <row r="1245" spans="1:10" x14ac:dyDescent="0.25">
      <c r="A1245">
        <v>10826344</v>
      </c>
      <c r="B1245" s="1">
        <v>45654.757523148146</v>
      </c>
      <c r="C1245" t="s">
        <v>0</v>
      </c>
      <c r="D1245" t="str">
        <f>VLOOKUP(A1245,MERCADO!A:B,2,0)</f>
        <v>Servicos</v>
      </c>
      <c r="E1245" t="str">
        <f>_xlfn.XLOOKUP(A1245, ORIGEM!A:A, ORIGEM!B:B)</f>
        <v>Orgânico</v>
      </c>
      <c r="F1245">
        <f>_xlfn.XLOOKUP(A1245, ORIGEM!A:A, ORIGEM!C:C)</f>
        <v>0</v>
      </c>
      <c r="G1245" t="str">
        <f>_xlfn.XLOOKUP(A1245, LOCAL!A:A, LOCAL!B:B)</f>
        <v>Belo Horizonte, MG</v>
      </c>
      <c r="H1245" t="str">
        <f>_xlfn.XLOOKUP(A1245, PORTE!A:A, PORTE!B:B)</f>
        <v>1-10</v>
      </c>
      <c r="I1245" t="str">
        <f>_xlfn.XLOOKUP(A1245, OBJETIVO!A:A, OBJETIVO!B:B)</f>
        <v>Abertura/Expansão</v>
      </c>
      <c r="J1245">
        <f t="shared" si="19"/>
        <v>0</v>
      </c>
    </row>
    <row r="1246" spans="1:10" x14ac:dyDescent="0.25">
      <c r="A1246">
        <v>10891671</v>
      </c>
      <c r="B1246" s="1">
        <v>45663.679236111115</v>
      </c>
      <c r="C1246" t="s">
        <v>0</v>
      </c>
      <c r="D1246" t="str">
        <f>VLOOKUP(A1246,MERCADO!A:B,2,0)</f>
        <v>Servicos</v>
      </c>
      <c r="E1246" t="str">
        <f>_xlfn.XLOOKUP(A1246, ORIGEM!A:A, ORIGEM!B:B)</f>
        <v>Orgânico</v>
      </c>
      <c r="F1246">
        <f>_xlfn.XLOOKUP(A1246, ORIGEM!A:A, ORIGEM!C:C)</f>
        <v>0</v>
      </c>
      <c r="G1246" t="str">
        <f>_xlfn.XLOOKUP(A1246, LOCAL!A:A, LOCAL!B:B)</f>
        <v>São Paulo, SP</v>
      </c>
      <c r="H1246" t="str">
        <f>_xlfn.XLOOKUP(A1246, PORTE!A:A, PORTE!B:B)</f>
        <v>0</v>
      </c>
      <c r="I1246" t="str">
        <f>_xlfn.XLOOKUP(A1246, OBJETIVO!A:A, OBJETIVO!B:B)</f>
        <v>Abertura/Expansão</v>
      </c>
      <c r="J1246">
        <f t="shared" si="19"/>
        <v>0</v>
      </c>
    </row>
    <row r="1247" spans="1:10" x14ac:dyDescent="0.25">
      <c r="A1247">
        <v>10771717</v>
      </c>
      <c r="B1247" s="1">
        <v>45644.469108796293</v>
      </c>
      <c r="C1247" t="s">
        <v>0</v>
      </c>
      <c r="D1247" t="str">
        <f>VLOOKUP(A1247,MERCADO!A:B,2,0)</f>
        <v>Servicos</v>
      </c>
      <c r="E1247" t="str">
        <f>_xlfn.XLOOKUP(A1247, ORIGEM!A:A, ORIGEM!B:B)</f>
        <v>Orgânico</v>
      </c>
      <c r="F1247">
        <f>_xlfn.XLOOKUP(A1247, ORIGEM!A:A, ORIGEM!C:C)</f>
        <v>0</v>
      </c>
      <c r="G1247" t="str">
        <f>_xlfn.XLOOKUP(A1247, LOCAL!A:A, LOCAL!B:B)</f>
        <v>-</v>
      </c>
      <c r="H1247" t="str">
        <f>_xlfn.XLOOKUP(A1247, PORTE!A:A, PORTE!B:B)</f>
        <v>1-10</v>
      </c>
      <c r="I1247" t="str">
        <f>_xlfn.XLOOKUP(A1247, OBJETIVO!A:A, OBJETIVO!B:B)</f>
        <v>Abertura/Expansão</v>
      </c>
      <c r="J1247">
        <f t="shared" si="19"/>
        <v>0</v>
      </c>
    </row>
    <row r="1248" spans="1:10" x14ac:dyDescent="0.25">
      <c r="A1248">
        <v>10856961</v>
      </c>
      <c r="B1248" s="1">
        <v>45661.421840277777</v>
      </c>
      <c r="C1248" t="s">
        <v>0</v>
      </c>
      <c r="D1248" t="str">
        <f>VLOOKUP(A1248,MERCADO!A:B,2,0)</f>
        <v>Servicos</v>
      </c>
      <c r="E1248" t="str">
        <f>_xlfn.XLOOKUP(A1248, ORIGEM!A:A, ORIGEM!B:B)</f>
        <v>Orgânico</v>
      </c>
      <c r="F1248">
        <f>_xlfn.XLOOKUP(A1248, ORIGEM!A:A, ORIGEM!C:C)</f>
        <v>0</v>
      </c>
      <c r="G1248" t="str">
        <f>_xlfn.XLOOKUP(A1248, LOCAL!A:A, LOCAL!B:B)</f>
        <v>Canela - RS</v>
      </c>
      <c r="H1248" t="str">
        <f>_xlfn.XLOOKUP(A1248, PORTE!A:A, PORTE!B:B)</f>
        <v>1-10</v>
      </c>
      <c r="I1248" t="str">
        <f>_xlfn.XLOOKUP(A1248, OBJETIVO!A:A, OBJETIVO!B:B)</f>
        <v>Abertura/Expansão</v>
      </c>
      <c r="J1248">
        <f t="shared" si="19"/>
        <v>0</v>
      </c>
    </row>
    <row r="1249" spans="1:10" x14ac:dyDescent="0.25">
      <c r="A1249">
        <v>10809399</v>
      </c>
      <c r="B1249" s="1">
        <v>45649.610347222224</v>
      </c>
      <c r="C1249" t="s">
        <v>0</v>
      </c>
      <c r="D1249" t="str">
        <f>VLOOKUP(A1249,MERCADO!A:B,2,0)</f>
        <v>Servicos</v>
      </c>
      <c r="E1249" t="str">
        <f>_xlfn.XLOOKUP(A1249, ORIGEM!A:A, ORIGEM!B:B)</f>
        <v>Orgânico</v>
      </c>
      <c r="F1249">
        <f>_xlfn.XLOOKUP(A1249, ORIGEM!A:A, ORIGEM!C:C)</f>
        <v>0</v>
      </c>
      <c r="G1249" t="str">
        <f>_xlfn.XLOOKUP(A1249, LOCAL!A:A, LOCAL!B:B)</f>
        <v>-</v>
      </c>
      <c r="H1249" t="str">
        <f>_xlfn.XLOOKUP(A1249, PORTE!A:A, PORTE!B:B)</f>
        <v>1-10</v>
      </c>
      <c r="I1249" t="str">
        <f>_xlfn.XLOOKUP(A1249, OBJETIVO!A:A, OBJETIVO!B:B)</f>
        <v>Abertura/Expansão</v>
      </c>
      <c r="J1249">
        <f t="shared" si="19"/>
        <v>0</v>
      </c>
    </row>
    <row r="1250" spans="1:10" x14ac:dyDescent="0.25">
      <c r="A1250">
        <v>10930570</v>
      </c>
      <c r="B1250" s="1">
        <v>45668.485138888886</v>
      </c>
      <c r="C1250" t="s">
        <v>0</v>
      </c>
      <c r="D1250" t="str">
        <f>VLOOKUP(A1250,MERCADO!A:B,2,0)</f>
        <v>Servicos</v>
      </c>
      <c r="E1250" t="str">
        <f>_xlfn.XLOOKUP(A1250, ORIGEM!A:A, ORIGEM!B:B)</f>
        <v>Orgânico</v>
      </c>
      <c r="F1250">
        <f>_xlfn.XLOOKUP(A1250, ORIGEM!A:A, ORIGEM!C:C)</f>
        <v>0</v>
      </c>
      <c r="G1250" t="str">
        <f>_xlfn.XLOOKUP(A1250, LOCAL!A:A, LOCAL!B:B)</f>
        <v>Brasília - DF</v>
      </c>
      <c r="H1250" t="str">
        <f>_xlfn.XLOOKUP(A1250, PORTE!A:A, PORTE!B:B)</f>
        <v>1-10</v>
      </c>
      <c r="I1250">
        <f>_xlfn.XLOOKUP(A1250, OBJETIVO!A:A, OBJETIVO!B:B)</f>
        <v>0</v>
      </c>
      <c r="J1250">
        <f t="shared" si="19"/>
        <v>0</v>
      </c>
    </row>
    <row r="1251" spans="1:10" x14ac:dyDescent="0.25">
      <c r="A1251">
        <v>11330058</v>
      </c>
      <c r="B1251" s="1">
        <v>45699.726377314815</v>
      </c>
      <c r="C1251" t="s">
        <v>0</v>
      </c>
      <c r="D1251" t="str">
        <f>VLOOKUP(A1251,MERCADO!A:B,2,0)</f>
        <v>Servicos</v>
      </c>
      <c r="E1251" t="str">
        <f>_xlfn.XLOOKUP(A1251, ORIGEM!A:A, ORIGEM!B:B)</f>
        <v>Orgânico</v>
      </c>
      <c r="F1251">
        <f>_xlfn.XLOOKUP(A1251, ORIGEM!A:A, ORIGEM!C:C)</f>
        <v>0</v>
      </c>
      <c r="G1251" t="str">
        <f>_xlfn.XLOOKUP(A1251, LOCAL!A:A, LOCAL!B:B)</f>
        <v>Rio de Janeiro, RJ</v>
      </c>
      <c r="H1251" t="str">
        <f>_xlfn.XLOOKUP(A1251, PORTE!A:A, PORTE!B:B)</f>
        <v>1-10</v>
      </c>
      <c r="I1251" t="str">
        <f>_xlfn.XLOOKUP(A1251, OBJETIVO!A:A, OBJETIVO!B:B)</f>
        <v>Abertura/Expansão</v>
      </c>
      <c r="J1251">
        <f t="shared" si="19"/>
        <v>0</v>
      </c>
    </row>
    <row r="1252" spans="1:10" x14ac:dyDescent="0.25">
      <c r="A1252">
        <v>11335476</v>
      </c>
      <c r="B1252" s="1">
        <v>45700.467199074075</v>
      </c>
      <c r="C1252" t="s">
        <v>0</v>
      </c>
      <c r="D1252" t="str">
        <f>VLOOKUP(A1252,MERCADO!A:B,2,0)</f>
        <v>Servicos</v>
      </c>
      <c r="E1252" t="str">
        <f>_xlfn.XLOOKUP(A1252, ORIGEM!A:A, ORIGEM!B:B)</f>
        <v>Orgânico</v>
      </c>
      <c r="F1252">
        <f>_xlfn.XLOOKUP(A1252, ORIGEM!A:A, ORIGEM!C:C)</f>
        <v>0</v>
      </c>
      <c r="G1252" t="str">
        <f>_xlfn.XLOOKUP(A1252, LOCAL!A:A, LOCAL!B:B)</f>
        <v>Fortaleza - CE</v>
      </c>
      <c r="H1252" t="str">
        <f>_xlfn.XLOOKUP(A1252, PORTE!A:A, PORTE!B:B)</f>
        <v>0</v>
      </c>
      <c r="I1252" t="str">
        <f>_xlfn.XLOOKUP(A1252, OBJETIVO!A:A, OBJETIVO!B:B)</f>
        <v>Abertura/Expansão</v>
      </c>
      <c r="J1252">
        <f t="shared" si="19"/>
        <v>0</v>
      </c>
    </row>
    <row r="1253" spans="1:10" x14ac:dyDescent="0.25">
      <c r="A1253">
        <v>10858064</v>
      </c>
      <c r="B1253" s="1">
        <v>45661.452916666669</v>
      </c>
      <c r="C1253" t="s">
        <v>0</v>
      </c>
      <c r="D1253" t="str">
        <f>VLOOKUP(A1253,MERCADO!A:B,2,0)</f>
        <v>Servicos</v>
      </c>
      <c r="E1253" t="str">
        <f>_xlfn.XLOOKUP(A1253, ORIGEM!A:A, ORIGEM!B:B)</f>
        <v>Orgânico</v>
      </c>
      <c r="F1253">
        <f>_xlfn.XLOOKUP(A1253, ORIGEM!A:A, ORIGEM!C:C)</f>
        <v>0</v>
      </c>
      <c r="G1253" t="str">
        <f>_xlfn.XLOOKUP(A1253, LOCAL!A:A, LOCAL!B:B)</f>
        <v>Belo Horizonte - MG</v>
      </c>
      <c r="H1253" t="str">
        <f>_xlfn.XLOOKUP(A1253, PORTE!A:A, PORTE!B:B)</f>
        <v>+ 1000</v>
      </c>
      <c r="I1253" t="str">
        <f>_xlfn.XLOOKUP(A1253, OBJETIVO!A:A, OBJETIVO!B:B)</f>
        <v>Planejamento estratégico</v>
      </c>
      <c r="J1253">
        <f t="shared" si="19"/>
        <v>0</v>
      </c>
    </row>
    <row r="1254" spans="1:10" x14ac:dyDescent="0.25">
      <c r="A1254">
        <v>10589068</v>
      </c>
      <c r="B1254" s="1">
        <v>45628.512384259258</v>
      </c>
      <c r="C1254" t="s">
        <v>0</v>
      </c>
      <c r="D1254">
        <f>VLOOKUP(A1254,MERCADO!A:B,2,0)</f>
        <v>0</v>
      </c>
      <c r="E1254" t="str">
        <f>_xlfn.XLOOKUP(A1254, ORIGEM!A:A, ORIGEM!B:B)</f>
        <v>Orgânico</v>
      </c>
      <c r="F1254">
        <f>_xlfn.XLOOKUP(A1254, ORIGEM!A:A, ORIGEM!C:C)</f>
        <v>0</v>
      </c>
      <c r="G1254" t="str">
        <f>_xlfn.XLOOKUP(A1254, LOCAL!A:A, LOCAL!B:B)</f>
        <v>São Paulo - SP</v>
      </c>
      <c r="H1254" t="str">
        <f>_xlfn.XLOOKUP(A1254, PORTE!A:A, PORTE!B:B)</f>
        <v>1-10</v>
      </c>
      <c r="I1254" t="str">
        <f>_xlfn.XLOOKUP(A1254, OBJETIVO!A:A, OBJETIVO!B:B)</f>
        <v>Outro</v>
      </c>
      <c r="J1254">
        <f t="shared" si="19"/>
        <v>0</v>
      </c>
    </row>
    <row r="1255" spans="1:10" x14ac:dyDescent="0.25">
      <c r="A1255">
        <v>10911101</v>
      </c>
      <c r="B1255" s="1">
        <v>45665.441620370373</v>
      </c>
      <c r="C1255" t="s">
        <v>0</v>
      </c>
      <c r="D1255" t="str">
        <f>VLOOKUP(A1255,MERCADO!A:B,2,0)</f>
        <v>Servicos</v>
      </c>
      <c r="E1255" t="str">
        <f>_xlfn.XLOOKUP(A1255, ORIGEM!A:A, ORIGEM!B:B)</f>
        <v>Inbound Marketing</v>
      </c>
      <c r="F1255">
        <f>_xlfn.XLOOKUP(A1255, ORIGEM!A:A, ORIGEM!C:C)</f>
        <v>0</v>
      </c>
      <c r="G1255" t="str">
        <f>_xlfn.XLOOKUP(A1255, LOCAL!A:A, LOCAL!B:B)</f>
        <v>Salvador - BA</v>
      </c>
      <c r="H1255" t="str">
        <f>_xlfn.XLOOKUP(A1255, PORTE!A:A, PORTE!B:B)</f>
        <v>1-10</v>
      </c>
      <c r="I1255" t="str">
        <f>_xlfn.XLOOKUP(A1255, OBJETIVO!A:A, OBJETIVO!B:B)</f>
        <v>Geração de leads b2b</v>
      </c>
      <c r="J1255">
        <f t="shared" si="19"/>
        <v>0</v>
      </c>
    </row>
    <row r="1256" spans="1:10" x14ac:dyDescent="0.25">
      <c r="A1256">
        <v>10580104</v>
      </c>
      <c r="B1256" s="1">
        <v>45627.71429398148</v>
      </c>
      <c r="C1256" t="s">
        <v>0</v>
      </c>
      <c r="D1256" t="str">
        <f>VLOOKUP(A1256,MERCADO!A:B,2,0)</f>
        <v>Empreendedor</v>
      </c>
      <c r="E1256" t="str">
        <f>_xlfn.XLOOKUP(A1256, ORIGEM!A:A, ORIGEM!B:B)</f>
        <v>Orgânico</v>
      </c>
      <c r="F1256">
        <f>_xlfn.XLOOKUP(A1256, ORIGEM!A:A, ORIGEM!C:C)</f>
        <v>0</v>
      </c>
      <c r="G1256" t="str">
        <f>_xlfn.XLOOKUP(A1256, LOCAL!A:A, LOCAL!B:B)</f>
        <v>Viamão - RS</v>
      </c>
      <c r="H1256" t="str">
        <f>_xlfn.XLOOKUP(A1256, PORTE!A:A, PORTE!B:B)</f>
        <v>0</v>
      </c>
      <c r="I1256" t="str">
        <f>_xlfn.XLOOKUP(A1256, OBJETIVO!A:A, OBJETIVO!B:B)</f>
        <v>Outro</v>
      </c>
      <c r="J1256">
        <f t="shared" si="19"/>
        <v>0</v>
      </c>
    </row>
    <row r="1257" spans="1:10" x14ac:dyDescent="0.25">
      <c r="A1257">
        <v>10814812</v>
      </c>
      <c r="B1257" s="1">
        <v>45651.459930555553</v>
      </c>
      <c r="C1257" t="s">
        <v>0</v>
      </c>
      <c r="D1257" t="str">
        <f>VLOOKUP(A1257,MERCADO!A:B,2,0)</f>
        <v>Empreendedor</v>
      </c>
      <c r="E1257" t="str">
        <f>_xlfn.XLOOKUP(A1257, ORIGEM!A:A, ORIGEM!B:B)</f>
        <v>Orgânico</v>
      </c>
      <c r="F1257">
        <f>_xlfn.XLOOKUP(A1257, ORIGEM!A:A, ORIGEM!C:C)</f>
        <v>0</v>
      </c>
      <c r="G1257" t="str">
        <f>_xlfn.XLOOKUP(A1257, LOCAL!A:A, LOCAL!B:B)</f>
        <v>Várzea Grande - MT</v>
      </c>
      <c r="H1257" t="str">
        <f>_xlfn.XLOOKUP(A1257, PORTE!A:A, PORTE!B:B)</f>
        <v>1-10</v>
      </c>
      <c r="I1257" t="str">
        <f>_xlfn.XLOOKUP(A1257, OBJETIVO!A:A, OBJETIVO!B:B)</f>
        <v>Outro</v>
      </c>
      <c r="J1257">
        <f t="shared" si="19"/>
        <v>0</v>
      </c>
    </row>
    <row r="1258" spans="1:10" x14ac:dyDescent="0.25">
      <c r="A1258">
        <v>11574752</v>
      </c>
      <c r="B1258" s="1">
        <v>45724.722719907404</v>
      </c>
      <c r="C1258" t="s">
        <v>0</v>
      </c>
      <c r="D1258" t="str">
        <f>VLOOKUP(A1258,MERCADO!A:B,2,0)</f>
        <v>Empreendedor</v>
      </c>
      <c r="E1258" t="str">
        <f>_xlfn.XLOOKUP(A1258, ORIGEM!A:A, ORIGEM!B:B)</f>
        <v>Facebook</v>
      </c>
      <c r="F1258" t="str">
        <f>_xlfn.XLOOKUP(A1258, ORIGEM!A:A, ORIGEM!C:C)</f>
        <v>facebook - cpc</v>
      </c>
      <c r="G1258" t="str">
        <f>_xlfn.XLOOKUP(A1258, LOCAL!A:A, LOCAL!B:B)</f>
        <v>Brasília - DF</v>
      </c>
      <c r="H1258" t="str">
        <f>_xlfn.XLOOKUP(A1258, PORTE!A:A, PORTE!B:B)</f>
        <v>1-10</v>
      </c>
      <c r="I1258" t="str">
        <f>_xlfn.XLOOKUP(A1258, OBJETIVO!A:A, OBJETIVO!B:B)</f>
        <v>Planejamento estratégico</v>
      </c>
      <c r="J1258">
        <f t="shared" si="19"/>
        <v>0</v>
      </c>
    </row>
    <row r="1259" spans="1:10" x14ac:dyDescent="0.25">
      <c r="A1259">
        <v>11559500</v>
      </c>
      <c r="B1259" s="1">
        <v>45722.777303240742</v>
      </c>
      <c r="C1259" t="s">
        <v>0</v>
      </c>
      <c r="D1259" t="str">
        <f>VLOOKUP(A1259,MERCADO!A:B,2,0)</f>
        <v>Empreendedor</v>
      </c>
      <c r="E1259" t="str">
        <f>_xlfn.XLOOKUP(A1259, ORIGEM!A:A, ORIGEM!B:B)</f>
        <v>Facebook</v>
      </c>
      <c r="F1259" t="str">
        <f>_xlfn.XLOOKUP(A1259, ORIGEM!A:A, ORIGEM!C:C)</f>
        <v>facebook - cpc</v>
      </c>
      <c r="G1259" t="str">
        <f>_xlfn.XLOOKUP(A1259, LOCAL!A:A, LOCAL!B:B)</f>
        <v>Natal - RN</v>
      </c>
      <c r="H1259" t="str">
        <f>_xlfn.XLOOKUP(A1259, PORTE!A:A, PORTE!B:B)</f>
        <v>1-10</v>
      </c>
      <c r="I1259" t="str">
        <f>_xlfn.XLOOKUP(A1259, OBJETIVO!A:A, OBJETIVO!B:B)</f>
        <v>Geração de leads b2b</v>
      </c>
      <c r="J1259">
        <f t="shared" si="19"/>
        <v>0</v>
      </c>
    </row>
    <row r="1260" spans="1:10" x14ac:dyDescent="0.25">
      <c r="A1260">
        <v>10751276</v>
      </c>
      <c r="B1260" s="1">
        <v>45643.360844907409</v>
      </c>
      <c r="C1260" t="s">
        <v>0</v>
      </c>
      <c r="D1260" t="str">
        <f>VLOOKUP(A1260,MERCADO!A:B,2,0)</f>
        <v>Empreendedor</v>
      </c>
      <c r="E1260" t="str">
        <f>_xlfn.XLOOKUP(A1260, ORIGEM!A:A, ORIGEM!B:B)</f>
        <v>Orgânico</v>
      </c>
      <c r="F1260">
        <f>_xlfn.XLOOKUP(A1260, ORIGEM!A:A, ORIGEM!C:C)</f>
        <v>0</v>
      </c>
      <c r="G1260" t="str">
        <f>_xlfn.XLOOKUP(A1260, LOCAL!A:A, LOCAL!B:B)</f>
        <v>Lagarto - SE</v>
      </c>
      <c r="H1260" t="str">
        <f>_xlfn.XLOOKUP(A1260, PORTE!A:A, PORTE!B:B)</f>
        <v>0</v>
      </c>
      <c r="I1260" t="str">
        <f>_xlfn.XLOOKUP(A1260, OBJETIVO!A:A, OBJETIVO!B:B)</f>
        <v>Outro</v>
      </c>
      <c r="J1260">
        <f t="shared" si="19"/>
        <v>0</v>
      </c>
    </row>
    <row r="1261" spans="1:10" x14ac:dyDescent="0.25">
      <c r="A1261">
        <v>10752917</v>
      </c>
      <c r="B1261" s="1">
        <v>45643.417951388888</v>
      </c>
      <c r="C1261" t="s">
        <v>0</v>
      </c>
      <c r="D1261" t="str">
        <f>VLOOKUP(A1261,MERCADO!A:B,2,0)</f>
        <v>Empreendedor</v>
      </c>
      <c r="E1261" t="str">
        <f>_xlfn.XLOOKUP(A1261, ORIGEM!A:A, ORIGEM!B:B)</f>
        <v>Orgânico</v>
      </c>
      <c r="F1261">
        <f>_xlfn.XLOOKUP(A1261, ORIGEM!A:A, ORIGEM!C:C)</f>
        <v>0</v>
      </c>
      <c r="G1261" t="str">
        <f>_xlfn.XLOOKUP(A1261, LOCAL!A:A, LOCAL!B:B)</f>
        <v>Aguas de Lindoia - SP</v>
      </c>
      <c r="H1261" t="str">
        <f>_xlfn.XLOOKUP(A1261, PORTE!A:A, PORTE!B:B)</f>
        <v>0</v>
      </c>
      <c r="I1261" t="str">
        <f>_xlfn.XLOOKUP(A1261, OBJETIVO!A:A, OBJETIVO!B:B)</f>
        <v>Consultoria</v>
      </c>
      <c r="J1261">
        <f t="shared" si="19"/>
        <v>0</v>
      </c>
    </row>
    <row r="1262" spans="1:10" x14ac:dyDescent="0.25">
      <c r="A1262">
        <v>10757947</v>
      </c>
      <c r="B1262" s="1">
        <v>45643.563159722224</v>
      </c>
      <c r="C1262" t="s">
        <v>0</v>
      </c>
      <c r="D1262" t="str">
        <f>VLOOKUP(A1262,MERCADO!A:B,2,0)</f>
        <v>Empreendedor</v>
      </c>
      <c r="E1262" t="str">
        <f>_xlfn.XLOOKUP(A1262, ORIGEM!A:A, ORIGEM!B:B)</f>
        <v>Orgânico</v>
      </c>
      <c r="F1262">
        <f>_xlfn.XLOOKUP(A1262, ORIGEM!A:A, ORIGEM!C:C)</f>
        <v>0</v>
      </c>
      <c r="G1262" t="str">
        <f>_xlfn.XLOOKUP(A1262, LOCAL!A:A, LOCAL!B:B)</f>
        <v>Niterói - RJ</v>
      </c>
      <c r="H1262" t="str">
        <f>_xlfn.XLOOKUP(A1262, PORTE!A:A, PORTE!B:B)</f>
        <v>0</v>
      </c>
      <c r="I1262" t="str">
        <f>_xlfn.XLOOKUP(A1262, OBJETIVO!A:A, OBJETIVO!B:B)</f>
        <v>Planejamento estratégico</v>
      </c>
      <c r="J1262">
        <f t="shared" si="19"/>
        <v>0</v>
      </c>
    </row>
    <row r="1263" spans="1:10" x14ac:dyDescent="0.25">
      <c r="A1263">
        <v>10781274</v>
      </c>
      <c r="B1263" s="1">
        <v>45646.194097222222</v>
      </c>
      <c r="C1263" t="s">
        <v>0</v>
      </c>
      <c r="D1263" t="str">
        <f>VLOOKUP(A1263,MERCADO!A:B,2,0)</f>
        <v>Empreendedor</v>
      </c>
      <c r="E1263" t="str">
        <f>_xlfn.XLOOKUP(A1263, ORIGEM!A:A, ORIGEM!B:B)</f>
        <v>Orgânico</v>
      </c>
      <c r="F1263">
        <f>_xlfn.XLOOKUP(A1263, ORIGEM!A:A, ORIGEM!C:C)</f>
        <v>0</v>
      </c>
      <c r="G1263" t="str">
        <f>_xlfn.XLOOKUP(A1263, LOCAL!A:A, LOCAL!B:B)</f>
        <v>Tiangua - CE</v>
      </c>
      <c r="H1263" t="str">
        <f>_xlfn.XLOOKUP(A1263, PORTE!A:A, PORTE!B:B)</f>
        <v>0</v>
      </c>
      <c r="I1263" t="str">
        <f>_xlfn.XLOOKUP(A1263, OBJETIVO!A:A, OBJETIVO!B:B)</f>
        <v>Abertura/Expansão</v>
      </c>
      <c r="J1263">
        <f t="shared" si="19"/>
        <v>0</v>
      </c>
    </row>
    <row r="1264" spans="1:10" x14ac:dyDescent="0.25">
      <c r="A1264">
        <v>10781643</v>
      </c>
      <c r="B1264" s="1">
        <v>45646.48238425926</v>
      </c>
      <c r="C1264" t="s">
        <v>0</v>
      </c>
      <c r="D1264" t="str">
        <f>VLOOKUP(A1264,MERCADO!A:B,2,0)</f>
        <v>Empreendedor</v>
      </c>
      <c r="E1264" t="str">
        <f>_xlfn.XLOOKUP(A1264, ORIGEM!A:A, ORIGEM!B:B)</f>
        <v>Orgânico</v>
      </c>
      <c r="F1264">
        <f>_xlfn.XLOOKUP(A1264, ORIGEM!A:A, ORIGEM!C:C)</f>
        <v>0</v>
      </c>
      <c r="G1264" t="str">
        <f>_xlfn.XLOOKUP(A1264, LOCAL!A:A, LOCAL!B:B)</f>
        <v>Pai Pedro - MG</v>
      </c>
      <c r="H1264" t="str">
        <f>_xlfn.XLOOKUP(A1264, PORTE!A:A, PORTE!B:B)</f>
        <v>0</v>
      </c>
      <c r="I1264" t="str">
        <f>_xlfn.XLOOKUP(A1264, OBJETIVO!A:A, OBJETIVO!B:B)</f>
        <v>Outro</v>
      </c>
      <c r="J1264">
        <f t="shared" si="19"/>
        <v>0</v>
      </c>
    </row>
    <row r="1265" spans="1:10" x14ac:dyDescent="0.25">
      <c r="A1265">
        <v>10782861</v>
      </c>
      <c r="B1265" s="1">
        <v>45647.080879629626</v>
      </c>
      <c r="C1265" t="s">
        <v>0</v>
      </c>
      <c r="D1265" t="str">
        <f>VLOOKUP(A1265,MERCADO!A:B,2,0)</f>
        <v>Empreendedor</v>
      </c>
      <c r="E1265" t="str">
        <f>_xlfn.XLOOKUP(A1265, ORIGEM!A:A, ORIGEM!B:B)</f>
        <v>Orgânico</v>
      </c>
      <c r="F1265">
        <f>_xlfn.XLOOKUP(A1265, ORIGEM!A:A, ORIGEM!C:C)</f>
        <v>0</v>
      </c>
      <c r="G1265" t="str">
        <f>_xlfn.XLOOKUP(A1265, LOCAL!A:A, LOCAL!B:B)</f>
        <v>Rio de Janeiro - RJ</v>
      </c>
      <c r="H1265" t="str">
        <f>_xlfn.XLOOKUP(A1265, PORTE!A:A, PORTE!B:B)</f>
        <v>0</v>
      </c>
      <c r="I1265" t="str">
        <f>_xlfn.XLOOKUP(A1265, OBJETIVO!A:A, OBJETIVO!B:B)</f>
        <v>Outro</v>
      </c>
      <c r="J1265">
        <f t="shared" si="19"/>
        <v>0</v>
      </c>
    </row>
    <row r="1266" spans="1:10" x14ac:dyDescent="0.25">
      <c r="A1266">
        <v>10786926</v>
      </c>
      <c r="B1266" s="1">
        <v>45647.554745370369</v>
      </c>
      <c r="C1266" t="s">
        <v>0</v>
      </c>
      <c r="D1266" t="str">
        <f>VLOOKUP(A1266,MERCADO!A:B,2,0)</f>
        <v>Empreendedor</v>
      </c>
      <c r="E1266" t="str">
        <f>_xlfn.XLOOKUP(A1266, ORIGEM!A:A, ORIGEM!B:B)</f>
        <v>Orgânico</v>
      </c>
      <c r="F1266">
        <f>_xlfn.XLOOKUP(A1266, ORIGEM!A:A, ORIGEM!C:C)</f>
        <v>0</v>
      </c>
      <c r="G1266" t="str">
        <f>_xlfn.XLOOKUP(A1266, LOCAL!A:A, LOCAL!B:B)</f>
        <v>Angra dos Reis - RJ</v>
      </c>
      <c r="H1266" t="str">
        <f>_xlfn.XLOOKUP(A1266, PORTE!A:A, PORTE!B:B)</f>
        <v>0</v>
      </c>
      <c r="I1266" t="str">
        <f>_xlfn.XLOOKUP(A1266, OBJETIVO!A:A, OBJETIVO!B:B)</f>
        <v>Abertura/Expansão</v>
      </c>
      <c r="J1266">
        <f t="shared" si="19"/>
        <v>0</v>
      </c>
    </row>
    <row r="1267" spans="1:10" x14ac:dyDescent="0.25">
      <c r="A1267">
        <v>10722252</v>
      </c>
      <c r="B1267" s="1">
        <v>45640.720949074072</v>
      </c>
      <c r="C1267" t="s">
        <v>0</v>
      </c>
      <c r="D1267" t="str">
        <f>VLOOKUP(A1267,MERCADO!A:B,2,0)</f>
        <v>Empreendedor</v>
      </c>
      <c r="E1267" t="str">
        <f>_xlfn.XLOOKUP(A1267, ORIGEM!A:A, ORIGEM!B:B)</f>
        <v>Orgânico</v>
      </c>
      <c r="F1267">
        <f>_xlfn.XLOOKUP(A1267, ORIGEM!A:A, ORIGEM!C:C)</f>
        <v>0</v>
      </c>
      <c r="G1267" t="str">
        <f>_xlfn.XLOOKUP(A1267, LOCAL!A:A, LOCAL!B:B)</f>
        <v>Campos dos Goytacazes - RJ</v>
      </c>
      <c r="H1267" t="str">
        <f>_xlfn.XLOOKUP(A1267, PORTE!A:A, PORTE!B:B)</f>
        <v>0</v>
      </c>
      <c r="I1267" t="str">
        <f>_xlfn.XLOOKUP(A1267, OBJETIVO!A:A, OBJETIVO!B:B)</f>
        <v>Outro</v>
      </c>
      <c r="J1267">
        <f t="shared" si="19"/>
        <v>0</v>
      </c>
    </row>
    <row r="1268" spans="1:10" x14ac:dyDescent="0.25">
      <c r="A1268">
        <v>10723815</v>
      </c>
      <c r="B1268" s="1">
        <v>45640.7731712963</v>
      </c>
      <c r="C1268" t="s">
        <v>0</v>
      </c>
      <c r="D1268" t="str">
        <f>VLOOKUP(A1268,MERCADO!A:B,2,0)</f>
        <v>Empreendedor</v>
      </c>
      <c r="E1268" t="str">
        <f>_xlfn.XLOOKUP(A1268, ORIGEM!A:A, ORIGEM!B:B)</f>
        <v>Orgânico</v>
      </c>
      <c r="F1268">
        <f>_xlfn.XLOOKUP(A1268, ORIGEM!A:A, ORIGEM!C:C)</f>
        <v>0</v>
      </c>
      <c r="G1268" t="str">
        <f>_xlfn.XLOOKUP(A1268, LOCAL!A:A, LOCAL!B:B)</f>
        <v>Belém - PA</v>
      </c>
      <c r="H1268" t="str">
        <f>_xlfn.XLOOKUP(A1268, PORTE!A:A, PORTE!B:B)</f>
        <v>0</v>
      </c>
      <c r="I1268" t="str">
        <f>_xlfn.XLOOKUP(A1268, OBJETIVO!A:A, OBJETIVO!B:B)</f>
        <v>Outro</v>
      </c>
      <c r="J1268">
        <f t="shared" si="19"/>
        <v>0</v>
      </c>
    </row>
    <row r="1269" spans="1:10" x14ac:dyDescent="0.25">
      <c r="A1269">
        <v>10719809</v>
      </c>
      <c r="B1269" s="1">
        <v>45640.661759259259</v>
      </c>
      <c r="C1269" t="s">
        <v>0</v>
      </c>
      <c r="D1269" t="str">
        <f>VLOOKUP(A1269,MERCADO!A:B,2,0)</f>
        <v>Empreendedor</v>
      </c>
      <c r="E1269" t="str">
        <f>_xlfn.XLOOKUP(A1269, ORIGEM!A:A, ORIGEM!B:B)</f>
        <v>Orgânico</v>
      </c>
      <c r="F1269">
        <f>_xlfn.XLOOKUP(A1269, ORIGEM!A:A, ORIGEM!C:C)</f>
        <v>0</v>
      </c>
      <c r="G1269" t="str">
        <f>_xlfn.XLOOKUP(A1269, LOCAL!A:A, LOCAL!B:B)</f>
        <v>Florianópolis - SC</v>
      </c>
      <c r="H1269" t="str">
        <f>_xlfn.XLOOKUP(A1269, PORTE!A:A, PORTE!B:B)</f>
        <v>1-10</v>
      </c>
      <c r="I1269" t="str">
        <f>_xlfn.XLOOKUP(A1269, OBJETIVO!A:A, OBJETIVO!B:B)</f>
        <v>Abertura/Expansão</v>
      </c>
      <c r="J1269">
        <f t="shared" si="19"/>
        <v>0</v>
      </c>
    </row>
    <row r="1270" spans="1:10" x14ac:dyDescent="0.25">
      <c r="A1270">
        <v>12019900</v>
      </c>
      <c r="B1270" s="1">
        <v>45763.820833333331</v>
      </c>
      <c r="C1270" t="s">
        <v>0</v>
      </c>
      <c r="D1270" t="str">
        <f>VLOOKUP(A1270,MERCADO!A:B,2,0)</f>
        <v>Empreendedor</v>
      </c>
      <c r="E1270" t="str">
        <f>_xlfn.XLOOKUP(A1270, ORIGEM!A:A, ORIGEM!B:B)</f>
        <v>Orgânico</v>
      </c>
      <c r="F1270">
        <f>_xlfn.XLOOKUP(A1270, ORIGEM!A:A, ORIGEM!C:C)</f>
        <v>0</v>
      </c>
      <c r="G1270" t="str">
        <f>_xlfn.XLOOKUP(A1270, LOCAL!A:A, LOCAL!B:B)</f>
        <v>Nova Iguaçu - RJ</v>
      </c>
      <c r="H1270" t="str">
        <f>_xlfn.XLOOKUP(A1270, PORTE!A:A, PORTE!B:B)</f>
        <v>0</v>
      </c>
      <c r="I1270" t="str">
        <f>_xlfn.XLOOKUP(A1270, OBJETIVO!A:A, OBJETIVO!B:B)</f>
        <v>Abertura/Expansão</v>
      </c>
      <c r="J1270">
        <f t="shared" si="19"/>
        <v>0</v>
      </c>
    </row>
    <row r="1271" spans="1:10" x14ac:dyDescent="0.25">
      <c r="A1271">
        <v>11960138</v>
      </c>
      <c r="B1271" s="1">
        <v>45760.018379629626</v>
      </c>
      <c r="C1271" t="s">
        <v>0</v>
      </c>
      <c r="D1271" t="str">
        <f>VLOOKUP(A1271,MERCADO!A:B,2,0)</f>
        <v>Empreendedor</v>
      </c>
      <c r="E1271" t="str">
        <f>_xlfn.XLOOKUP(A1271, ORIGEM!A:A, ORIGEM!B:B)</f>
        <v>Orgânico</v>
      </c>
      <c r="F1271">
        <f>_xlfn.XLOOKUP(A1271, ORIGEM!A:A, ORIGEM!C:C)</f>
        <v>0</v>
      </c>
      <c r="G1271" t="str">
        <f>_xlfn.XLOOKUP(A1271, LOCAL!A:A, LOCAL!B:B)</f>
        <v>Taboao da Serra - SP</v>
      </c>
      <c r="H1271" t="str">
        <f>_xlfn.XLOOKUP(A1271, PORTE!A:A, PORTE!B:B)</f>
        <v>0</v>
      </c>
      <c r="I1271" t="str">
        <f>_xlfn.XLOOKUP(A1271, OBJETIVO!A:A, OBJETIVO!B:B)</f>
        <v>Planejamento estratégico</v>
      </c>
      <c r="J1271">
        <f t="shared" si="19"/>
        <v>0</v>
      </c>
    </row>
    <row r="1272" spans="1:10" x14ac:dyDescent="0.25">
      <c r="A1272">
        <v>10732335</v>
      </c>
      <c r="B1272" s="1">
        <v>45641.651932870373</v>
      </c>
      <c r="C1272" t="s">
        <v>0</v>
      </c>
      <c r="D1272" t="str">
        <f>VLOOKUP(A1272,MERCADO!A:B,2,0)</f>
        <v>Empreendedor</v>
      </c>
      <c r="E1272" t="str">
        <f>_xlfn.XLOOKUP(A1272, ORIGEM!A:A, ORIGEM!B:B)</f>
        <v>Orgânico</v>
      </c>
      <c r="F1272">
        <f>_xlfn.XLOOKUP(A1272, ORIGEM!A:A, ORIGEM!C:C)</f>
        <v>0</v>
      </c>
      <c r="G1272" t="str">
        <f>_xlfn.XLOOKUP(A1272, LOCAL!A:A, LOCAL!B:B)</f>
        <v>Feira de Santana - BA</v>
      </c>
      <c r="H1272" t="str">
        <f>_xlfn.XLOOKUP(A1272, PORTE!A:A, PORTE!B:B)</f>
        <v>0</v>
      </c>
      <c r="I1272" t="str">
        <f>_xlfn.XLOOKUP(A1272, OBJETIVO!A:A, OBJETIVO!B:B)</f>
        <v>Abertura/Expansão</v>
      </c>
      <c r="J1272">
        <f t="shared" si="19"/>
        <v>0</v>
      </c>
    </row>
    <row r="1273" spans="1:10" x14ac:dyDescent="0.25">
      <c r="A1273">
        <v>10737764</v>
      </c>
      <c r="B1273" s="1">
        <v>45642.041759259257</v>
      </c>
      <c r="C1273" t="s">
        <v>0</v>
      </c>
      <c r="D1273" t="str">
        <f>VLOOKUP(A1273,MERCADO!A:B,2,0)</f>
        <v>Empreendedor</v>
      </c>
      <c r="E1273" t="str">
        <f>_xlfn.XLOOKUP(A1273, ORIGEM!A:A, ORIGEM!B:B)</f>
        <v>Orgânico</v>
      </c>
      <c r="F1273">
        <f>_xlfn.XLOOKUP(A1273, ORIGEM!A:A, ORIGEM!C:C)</f>
        <v>0</v>
      </c>
      <c r="G1273" t="str">
        <f>_xlfn.XLOOKUP(A1273, LOCAL!A:A, LOCAL!B:B)</f>
        <v>Rio Branco - AC</v>
      </c>
      <c r="H1273" t="str">
        <f>_xlfn.XLOOKUP(A1273, PORTE!A:A, PORTE!B:B)</f>
        <v>0</v>
      </c>
      <c r="I1273" t="str">
        <f>_xlfn.XLOOKUP(A1273, OBJETIVO!A:A, OBJETIVO!B:B)</f>
        <v>Outro</v>
      </c>
      <c r="J1273">
        <f t="shared" si="19"/>
        <v>0</v>
      </c>
    </row>
    <row r="1274" spans="1:10" x14ac:dyDescent="0.25">
      <c r="A1274">
        <v>10676307</v>
      </c>
      <c r="B1274" s="1">
        <v>45635.770335648151</v>
      </c>
      <c r="C1274" t="s">
        <v>0</v>
      </c>
      <c r="D1274" t="str">
        <f>VLOOKUP(A1274,MERCADO!A:B,2,0)</f>
        <v>Empreendedor</v>
      </c>
      <c r="E1274" t="str">
        <f>_xlfn.XLOOKUP(A1274, ORIGEM!A:A, ORIGEM!B:B)</f>
        <v>Orgânico</v>
      </c>
      <c r="F1274">
        <f>_xlfn.XLOOKUP(A1274, ORIGEM!A:A, ORIGEM!C:C)</f>
        <v>0</v>
      </c>
      <c r="G1274" t="str">
        <f>_xlfn.XLOOKUP(A1274, LOCAL!A:A, LOCAL!B:B)</f>
        <v>Curitiba - PR</v>
      </c>
      <c r="H1274" t="str">
        <f>_xlfn.XLOOKUP(A1274, PORTE!A:A, PORTE!B:B)</f>
        <v>1-10</v>
      </c>
      <c r="I1274" t="str">
        <f>_xlfn.XLOOKUP(A1274, OBJETIVO!A:A, OBJETIVO!B:B)</f>
        <v>Abertura/Expansão</v>
      </c>
      <c r="J1274">
        <f t="shared" si="19"/>
        <v>0</v>
      </c>
    </row>
    <row r="1275" spans="1:10" x14ac:dyDescent="0.25">
      <c r="A1275">
        <v>10695587</v>
      </c>
      <c r="B1275" s="1">
        <v>45637.501793981479</v>
      </c>
      <c r="C1275" t="s">
        <v>0</v>
      </c>
      <c r="D1275" t="str">
        <f>VLOOKUP(A1275,MERCADO!A:B,2,0)</f>
        <v>Empreendedor</v>
      </c>
      <c r="E1275" t="str">
        <f>_xlfn.XLOOKUP(A1275, ORIGEM!A:A, ORIGEM!B:B)</f>
        <v>Orgânico</v>
      </c>
      <c r="F1275">
        <f>_xlfn.XLOOKUP(A1275, ORIGEM!A:A, ORIGEM!C:C)</f>
        <v>0</v>
      </c>
      <c r="G1275" t="str">
        <f>_xlfn.XLOOKUP(A1275, LOCAL!A:A, LOCAL!B:B)</f>
        <v>Tefé - AM</v>
      </c>
      <c r="H1275" t="str">
        <f>_xlfn.XLOOKUP(A1275, PORTE!A:A, PORTE!B:B)</f>
        <v>0</v>
      </c>
      <c r="I1275" t="str">
        <f>_xlfn.XLOOKUP(A1275, OBJETIVO!A:A, OBJETIVO!B:B)</f>
        <v>Abertura/Expansão</v>
      </c>
      <c r="J1275">
        <f t="shared" si="19"/>
        <v>0</v>
      </c>
    </row>
    <row r="1276" spans="1:10" x14ac:dyDescent="0.25">
      <c r="A1276">
        <v>10700912</v>
      </c>
      <c r="B1276" s="1">
        <v>45637.776435185187</v>
      </c>
      <c r="C1276" t="s">
        <v>0</v>
      </c>
      <c r="D1276" t="str">
        <f>VLOOKUP(A1276,MERCADO!A:B,2,0)</f>
        <v>Empreendedor</v>
      </c>
      <c r="E1276" t="str">
        <f>_xlfn.XLOOKUP(A1276, ORIGEM!A:A, ORIGEM!B:B)</f>
        <v>Orgânico</v>
      </c>
      <c r="F1276">
        <f>_xlfn.XLOOKUP(A1276, ORIGEM!A:A, ORIGEM!C:C)</f>
        <v>0</v>
      </c>
      <c r="G1276" t="str">
        <f>_xlfn.XLOOKUP(A1276, LOCAL!A:A, LOCAL!B:B)</f>
        <v>Brasília - DF</v>
      </c>
      <c r="H1276" t="str">
        <f>_xlfn.XLOOKUP(A1276, PORTE!A:A, PORTE!B:B)</f>
        <v>0</v>
      </c>
      <c r="I1276" t="str">
        <f>_xlfn.XLOOKUP(A1276, OBJETIVO!A:A, OBJETIVO!B:B)</f>
        <v>Outro</v>
      </c>
      <c r="J1276">
        <f t="shared" si="19"/>
        <v>0</v>
      </c>
    </row>
    <row r="1277" spans="1:10" x14ac:dyDescent="0.25">
      <c r="A1277">
        <v>10676861</v>
      </c>
      <c r="B1277" s="1">
        <v>45635.903148148151</v>
      </c>
      <c r="C1277" t="s">
        <v>0</v>
      </c>
      <c r="D1277" t="str">
        <f>VLOOKUP(A1277,MERCADO!A:B,2,0)</f>
        <v>Empreendedor</v>
      </c>
      <c r="E1277" t="str">
        <f>_xlfn.XLOOKUP(A1277, ORIGEM!A:A, ORIGEM!B:B)</f>
        <v>Orgânico</v>
      </c>
      <c r="F1277">
        <f>_xlfn.XLOOKUP(A1277, ORIGEM!A:A, ORIGEM!C:C)</f>
        <v>0</v>
      </c>
      <c r="G1277" t="str">
        <f>_xlfn.XLOOKUP(A1277, LOCAL!A:A, LOCAL!B:B)</f>
        <v>São Bernardo do Campo - SP</v>
      </c>
      <c r="H1277" t="str">
        <f>_xlfn.XLOOKUP(A1277, PORTE!A:A, PORTE!B:B)</f>
        <v>1-10</v>
      </c>
      <c r="I1277" t="str">
        <f>_xlfn.XLOOKUP(A1277, OBJETIVO!A:A, OBJETIVO!B:B)</f>
        <v>Abertura/Expansão</v>
      </c>
      <c r="J1277">
        <f t="shared" si="19"/>
        <v>0</v>
      </c>
    </row>
    <row r="1278" spans="1:10" x14ac:dyDescent="0.25">
      <c r="A1278">
        <v>10847743</v>
      </c>
      <c r="B1278" s="1">
        <v>45657.560127314813</v>
      </c>
      <c r="C1278" t="s">
        <v>0</v>
      </c>
      <c r="D1278" t="str">
        <f>VLOOKUP(A1278,MERCADO!A:B,2,0)</f>
        <v>Empreendedor</v>
      </c>
      <c r="E1278" t="str">
        <f>_xlfn.XLOOKUP(A1278, ORIGEM!A:A, ORIGEM!B:B)</f>
        <v>Orgânico</v>
      </c>
      <c r="F1278">
        <f>_xlfn.XLOOKUP(A1278, ORIGEM!A:A, ORIGEM!C:C)</f>
        <v>0</v>
      </c>
      <c r="G1278" t="str">
        <f>_xlfn.XLOOKUP(A1278, LOCAL!A:A, LOCAL!B:B)</f>
        <v>Araguaína - TO</v>
      </c>
      <c r="H1278" t="str">
        <f>_xlfn.XLOOKUP(A1278, PORTE!A:A, PORTE!B:B)</f>
        <v>51-300</v>
      </c>
      <c r="I1278" t="str">
        <f>_xlfn.XLOOKUP(A1278, OBJETIVO!A:A, OBJETIVO!B:B)</f>
        <v>Abertura/Expansão</v>
      </c>
      <c r="J1278">
        <f t="shared" si="19"/>
        <v>0</v>
      </c>
    </row>
    <row r="1279" spans="1:10" x14ac:dyDescent="0.25">
      <c r="A1279">
        <v>10853573</v>
      </c>
      <c r="B1279" s="1">
        <v>45660.853761574072</v>
      </c>
      <c r="C1279" t="s">
        <v>0</v>
      </c>
      <c r="D1279" t="str">
        <f>VLOOKUP(A1279,MERCADO!A:B,2,0)</f>
        <v>Empreendedor</v>
      </c>
      <c r="E1279" t="str">
        <f>_xlfn.XLOOKUP(A1279, ORIGEM!A:A, ORIGEM!B:B)</f>
        <v>Orgânico</v>
      </c>
      <c r="F1279">
        <f>_xlfn.XLOOKUP(A1279, ORIGEM!A:A, ORIGEM!C:C)</f>
        <v>0</v>
      </c>
      <c r="G1279" t="str">
        <f>_xlfn.XLOOKUP(A1279, LOCAL!A:A, LOCAL!B:B)</f>
        <v>Recife - PE</v>
      </c>
      <c r="H1279" t="str">
        <f>_xlfn.XLOOKUP(A1279, PORTE!A:A, PORTE!B:B)</f>
        <v>0</v>
      </c>
      <c r="I1279" t="str">
        <f>_xlfn.XLOOKUP(A1279, OBJETIVO!A:A, OBJETIVO!B:B)</f>
        <v>Outro</v>
      </c>
      <c r="J1279">
        <f t="shared" si="19"/>
        <v>0</v>
      </c>
    </row>
    <row r="1280" spans="1:10" x14ac:dyDescent="0.25">
      <c r="A1280">
        <v>10875908</v>
      </c>
      <c r="B1280" s="1">
        <v>45662.581990740742</v>
      </c>
      <c r="C1280" t="s">
        <v>0</v>
      </c>
      <c r="D1280" t="str">
        <f>VLOOKUP(A1280,MERCADO!A:B,2,0)</f>
        <v>Empreendedor</v>
      </c>
      <c r="E1280" t="str">
        <f>_xlfn.XLOOKUP(A1280, ORIGEM!A:A, ORIGEM!B:B)</f>
        <v>Orgânico</v>
      </c>
      <c r="F1280">
        <f>_xlfn.XLOOKUP(A1280, ORIGEM!A:A, ORIGEM!C:C)</f>
        <v>0</v>
      </c>
      <c r="G1280" t="str">
        <f>_xlfn.XLOOKUP(A1280, LOCAL!A:A, LOCAL!B:B)</f>
        <v>Tamboré - SP</v>
      </c>
      <c r="H1280" t="str">
        <f>_xlfn.XLOOKUP(A1280, PORTE!A:A, PORTE!B:B)</f>
        <v>0</v>
      </c>
      <c r="I1280" t="str">
        <f>_xlfn.XLOOKUP(A1280, OBJETIVO!A:A, OBJETIVO!B:B)</f>
        <v>Abertura/Expansão</v>
      </c>
      <c r="J1280">
        <f t="shared" si="19"/>
        <v>0</v>
      </c>
    </row>
    <row r="1281" spans="1:10" x14ac:dyDescent="0.25">
      <c r="A1281">
        <v>10869984</v>
      </c>
      <c r="B1281" s="1">
        <v>45662.062013888892</v>
      </c>
      <c r="C1281" t="s">
        <v>0</v>
      </c>
      <c r="D1281" t="str">
        <f>VLOOKUP(A1281,MERCADO!A:B,2,0)</f>
        <v>Empreendedor</v>
      </c>
      <c r="E1281" t="str">
        <f>_xlfn.XLOOKUP(A1281, ORIGEM!A:A, ORIGEM!B:B)</f>
        <v>Orgânico</v>
      </c>
      <c r="F1281">
        <f>_xlfn.XLOOKUP(A1281, ORIGEM!A:A, ORIGEM!C:C)</f>
        <v>0</v>
      </c>
      <c r="G1281" t="str">
        <f>_xlfn.XLOOKUP(A1281, LOCAL!A:A, LOCAL!B:B)</f>
        <v>Campo Grande - MS</v>
      </c>
      <c r="H1281" t="str">
        <f>_xlfn.XLOOKUP(A1281, PORTE!A:A, PORTE!B:B)</f>
        <v>0</v>
      </c>
      <c r="I1281" t="str">
        <f>_xlfn.XLOOKUP(A1281, OBJETIVO!A:A, OBJETIVO!B:B)</f>
        <v>Abertura/Expansão</v>
      </c>
      <c r="J1281">
        <f t="shared" si="19"/>
        <v>0</v>
      </c>
    </row>
    <row r="1282" spans="1:10" x14ac:dyDescent="0.25">
      <c r="A1282">
        <v>10867135</v>
      </c>
      <c r="B1282" s="1">
        <v>45661.710046296299</v>
      </c>
      <c r="C1282" t="s">
        <v>0</v>
      </c>
      <c r="D1282" t="str">
        <f>VLOOKUP(A1282,MERCADO!A:B,2,0)</f>
        <v>Empreendedor</v>
      </c>
      <c r="E1282" t="str">
        <f>_xlfn.XLOOKUP(A1282, ORIGEM!A:A, ORIGEM!B:B)</f>
        <v>Orgânico</v>
      </c>
      <c r="F1282">
        <f>_xlfn.XLOOKUP(A1282, ORIGEM!A:A, ORIGEM!C:C)</f>
        <v>0</v>
      </c>
      <c r="G1282" t="str">
        <f>_xlfn.XLOOKUP(A1282, LOCAL!A:A, LOCAL!B:B)</f>
        <v>Tangará da Serra - MT</v>
      </c>
      <c r="H1282" t="str">
        <f>_xlfn.XLOOKUP(A1282, PORTE!A:A, PORTE!B:B)</f>
        <v>1-10</v>
      </c>
      <c r="I1282" t="str">
        <f>_xlfn.XLOOKUP(A1282, OBJETIVO!A:A, OBJETIVO!B:B)</f>
        <v>Consultoria</v>
      </c>
      <c r="J1282">
        <f t="shared" si="19"/>
        <v>0</v>
      </c>
    </row>
    <row r="1283" spans="1:10" x14ac:dyDescent="0.25">
      <c r="A1283">
        <v>10869376</v>
      </c>
      <c r="B1283" s="1">
        <v>45661.874490740738</v>
      </c>
      <c r="C1283" t="s">
        <v>0</v>
      </c>
      <c r="D1283" t="str">
        <f>VLOOKUP(A1283,MERCADO!A:B,2,0)</f>
        <v>Empreendedor</v>
      </c>
      <c r="E1283" t="str">
        <f>_xlfn.XLOOKUP(A1283, ORIGEM!A:A, ORIGEM!B:B)</f>
        <v>Orgânico</v>
      </c>
      <c r="F1283">
        <f>_xlfn.XLOOKUP(A1283, ORIGEM!A:A, ORIGEM!C:C)</f>
        <v>0</v>
      </c>
      <c r="G1283" t="str">
        <f>_xlfn.XLOOKUP(A1283, LOCAL!A:A, LOCAL!B:B)</f>
        <v>Uberlândia - MG</v>
      </c>
      <c r="H1283" t="str">
        <f>_xlfn.XLOOKUP(A1283, PORTE!A:A, PORTE!B:B)</f>
        <v>0</v>
      </c>
      <c r="I1283" t="str">
        <f>_xlfn.XLOOKUP(A1283, OBJETIVO!A:A, OBJETIVO!B:B)</f>
        <v>Outro</v>
      </c>
      <c r="J1283">
        <f t="shared" ref="J1283:J1346" si="20">IF(C1283="SIM",1,0)</f>
        <v>0</v>
      </c>
    </row>
    <row r="1284" spans="1:10" x14ac:dyDescent="0.25">
      <c r="A1284">
        <v>10900229</v>
      </c>
      <c r="B1284" s="1">
        <v>45664.5080787037</v>
      </c>
      <c r="C1284" t="s">
        <v>0</v>
      </c>
      <c r="D1284" t="str">
        <f>VLOOKUP(A1284,MERCADO!A:B,2,0)</f>
        <v>Empreendedor</v>
      </c>
      <c r="E1284" t="str">
        <f>_xlfn.XLOOKUP(A1284, ORIGEM!A:A, ORIGEM!B:B)</f>
        <v>Orgânico</v>
      </c>
      <c r="F1284">
        <f>_xlfn.XLOOKUP(A1284, ORIGEM!A:A, ORIGEM!C:C)</f>
        <v>0</v>
      </c>
      <c r="G1284" t="str">
        <f>_xlfn.XLOOKUP(A1284, LOCAL!A:A, LOCAL!B:B)</f>
        <v>Petrolina - PE</v>
      </c>
      <c r="H1284" t="str">
        <f>_xlfn.XLOOKUP(A1284, PORTE!A:A, PORTE!B:B)</f>
        <v>0</v>
      </c>
      <c r="I1284" t="str">
        <f>_xlfn.XLOOKUP(A1284, OBJETIVO!A:A, OBJETIVO!B:B)</f>
        <v>Outro</v>
      </c>
      <c r="J1284">
        <f t="shared" si="20"/>
        <v>0</v>
      </c>
    </row>
    <row r="1285" spans="1:10" x14ac:dyDescent="0.25">
      <c r="A1285">
        <v>10902238</v>
      </c>
      <c r="B1285" s="1">
        <v>45664.623148148145</v>
      </c>
      <c r="C1285" t="s">
        <v>0</v>
      </c>
      <c r="D1285" t="str">
        <f>VLOOKUP(A1285,MERCADO!A:B,2,0)</f>
        <v>Empreendedor</v>
      </c>
      <c r="E1285" t="str">
        <f>_xlfn.XLOOKUP(A1285, ORIGEM!A:A, ORIGEM!B:B)</f>
        <v>Orgânico</v>
      </c>
      <c r="F1285">
        <f>_xlfn.XLOOKUP(A1285, ORIGEM!A:A, ORIGEM!C:C)</f>
        <v>0</v>
      </c>
      <c r="G1285" t="str">
        <f>_xlfn.XLOOKUP(A1285, LOCAL!A:A, LOCAL!B:B)</f>
        <v>Aquiraz - CE</v>
      </c>
      <c r="H1285" t="str">
        <f>_xlfn.XLOOKUP(A1285, PORTE!A:A, PORTE!B:B)</f>
        <v>0</v>
      </c>
      <c r="I1285" t="str">
        <f>_xlfn.XLOOKUP(A1285, OBJETIVO!A:A, OBJETIVO!B:B)</f>
        <v>Abertura/Expansão</v>
      </c>
      <c r="J1285">
        <f t="shared" si="20"/>
        <v>0</v>
      </c>
    </row>
    <row r="1286" spans="1:10" x14ac:dyDescent="0.25">
      <c r="A1286">
        <v>10919312</v>
      </c>
      <c r="B1286" s="1">
        <v>45665.804050925923</v>
      </c>
      <c r="C1286" t="s">
        <v>0</v>
      </c>
      <c r="D1286" t="str">
        <f>VLOOKUP(A1286,MERCADO!A:B,2,0)</f>
        <v>Empreendedor</v>
      </c>
      <c r="E1286" t="str">
        <f>_xlfn.XLOOKUP(A1286, ORIGEM!A:A, ORIGEM!B:B)</f>
        <v>Orgânico</v>
      </c>
      <c r="F1286">
        <f>_xlfn.XLOOKUP(A1286, ORIGEM!A:A, ORIGEM!C:C)</f>
        <v>0</v>
      </c>
      <c r="G1286" t="str">
        <f>_xlfn.XLOOKUP(A1286, LOCAL!A:A, LOCAL!B:B)</f>
        <v>Natal - RN</v>
      </c>
      <c r="H1286" t="str">
        <f>_xlfn.XLOOKUP(A1286, PORTE!A:A, PORTE!B:B)</f>
        <v>0</v>
      </c>
      <c r="I1286" t="str">
        <f>_xlfn.XLOOKUP(A1286, OBJETIVO!A:A, OBJETIVO!B:B)</f>
        <v>Outro</v>
      </c>
      <c r="J1286">
        <f t="shared" si="20"/>
        <v>0</v>
      </c>
    </row>
    <row r="1287" spans="1:10" x14ac:dyDescent="0.25">
      <c r="A1287">
        <v>10919700</v>
      </c>
      <c r="B1287" s="1">
        <v>45665.914560185185</v>
      </c>
      <c r="C1287" t="s">
        <v>0</v>
      </c>
      <c r="D1287" t="str">
        <f>VLOOKUP(A1287,MERCADO!A:B,2,0)</f>
        <v>Empreendedor</v>
      </c>
      <c r="E1287" t="str">
        <f>_xlfn.XLOOKUP(A1287, ORIGEM!A:A, ORIGEM!B:B)</f>
        <v>Orgânico</v>
      </c>
      <c r="F1287">
        <f>_xlfn.XLOOKUP(A1287, ORIGEM!A:A, ORIGEM!C:C)</f>
        <v>0</v>
      </c>
      <c r="G1287" t="str">
        <f>_xlfn.XLOOKUP(A1287, LOCAL!A:A, LOCAL!B:B)</f>
        <v>São Paulo - SP</v>
      </c>
      <c r="H1287" t="str">
        <f>_xlfn.XLOOKUP(A1287, PORTE!A:A, PORTE!B:B)</f>
        <v>0</v>
      </c>
      <c r="I1287" t="str">
        <f>_xlfn.XLOOKUP(A1287, OBJETIVO!A:A, OBJETIVO!B:B)</f>
        <v>Ações de marketing/vendas</v>
      </c>
      <c r="J1287">
        <f t="shared" si="20"/>
        <v>0</v>
      </c>
    </row>
    <row r="1288" spans="1:10" x14ac:dyDescent="0.25">
      <c r="A1288">
        <v>10904393</v>
      </c>
      <c r="B1288" s="1">
        <v>45664.705914351849</v>
      </c>
      <c r="C1288" t="s">
        <v>0</v>
      </c>
      <c r="D1288" t="str">
        <f>VLOOKUP(A1288,MERCADO!A:B,2,0)</f>
        <v>Empreendedor</v>
      </c>
      <c r="E1288" t="str">
        <f>_xlfn.XLOOKUP(A1288, ORIGEM!A:A, ORIGEM!B:B)</f>
        <v>Orgânico</v>
      </c>
      <c r="F1288">
        <f>_xlfn.XLOOKUP(A1288, ORIGEM!A:A, ORIGEM!C:C)</f>
        <v>0</v>
      </c>
      <c r="G1288" t="str">
        <f>_xlfn.XLOOKUP(A1288, LOCAL!A:A, LOCAL!B:B)</f>
        <v>Fortaleza - CE</v>
      </c>
      <c r="H1288" t="str">
        <f>_xlfn.XLOOKUP(A1288, PORTE!A:A, PORTE!B:B)</f>
        <v>0</v>
      </c>
      <c r="I1288" t="str">
        <f>_xlfn.XLOOKUP(A1288, OBJETIVO!A:A, OBJETIVO!B:B)</f>
        <v>Abertura/Expansão</v>
      </c>
      <c r="J1288">
        <f t="shared" si="20"/>
        <v>0</v>
      </c>
    </row>
    <row r="1289" spans="1:10" x14ac:dyDescent="0.25">
      <c r="A1289">
        <v>10906514</v>
      </c>
      <c r="B1289" s="1">
        <v>45664.804201388892</v>
      </c>
      <c r="C1289" t="s">
        <v>0</v>
      </c>
      <c r="D1289" t="str">
        <f>VLOOKUP(A1289,MERCADO!A:B,2,0)</f>
        <v>Empreendedor</v>
      </c>
      <c r="E1289" t="str">
        <f>_xlfn.XLOOKUP(A1289, ORIGEM!A:A, ORIGEM!B:B)</f>
        <v>Orgânico</v>
      </c>
      <c r="F1289">
        <f>_xlfn.XLOOKUP(A1289, ORIGEM!A:A, ORIGEM!C:C)</f>
        <v>0</v>
      </c>
      <c r="G1289" t="str">
        <f>_xlfn.XLOOKUP(A1289, LOCAL!A:A, LOCAL!B:B)</f>
        <v>Goiânia - GO</v>
      </c>
      <c r="H1289" t="str">
        <f>_xlfn.XLOOKUP(A1289, PORTE!A:A, PORTE!B:B)</f>
        <v>0</v>
      </c>
      <c r="I1289" t="str">
        <f>_xlfn.XLOOKUP(A1289, OBJETIVO!A:A, OBJETIVO!B:B)</f>
        <v>Outro</v>
      </c>
      <c r="J1289">
        <f t="shared" si="20"/>
        <v>0</v>
      </c>
    </row>
    <row r="1290" spans="1:10" x14ac:dyDescent="0.25">
      <c r="A1290">
        <v>10907124</v>
      </c>
      <c r="B1290" s="1">
        <v>45664.945034722223</v>
      </c>
      <c r="C1290" t="s">
        <v>0</v>
      </c>
      <c r="D1290" t="str">
        <f>VLOOKUP(A1290,MERCADO!A:B,2,0)</f>
        <v>Empreendedor</v>
      </c>
      <c r="E1290" t="str">
        <f>_xlfn.XLOOKUP(A1290, ORIGEM!A:A, ORIGEM!B:B)</f>
        <v>Orgânico</v>
      </c>
      <c r="F1290">
        <f>_xlfn.XLOOKUP(A1290, ORIGEM!A:A, ORIGEM!C:C)</f>
        <v>0</v>
      </c>
      <c r="G1290" t="str">
        <f>_xlfn.XLOOKUP(A1290, LOCAL!A:A, LOCAL!B:B)</f>
        <v>Campo Grande - MS</v>
      </c>
      <c r="H1290" t="str">
        <f>_xlfn.XLOOKUP(A1290, PORTE!A:A, PORTE!B:B)</f>
        <v>0</v>
      </c>
      <c r="I1290" t="str">
        <f>_xlfn.XLOOKUP(A1290, OBJETIVO!A:A, OBJETIVO!B:B)</f>
        <v>Planejamento estratégico</v>
      </c>
      <c r="J1290">
        <f t="shared" si="20"/>
        <v>0</v>
      </c>
    </row>
    <row r="1291" spans="1:10" x14ac:dyDescent="0.25">
      <c r="A1291">
        <v>10892348</v>
      </c>
      <c r="B1291" s="1">
        <v>45663.705914351849</v>
      </c>
      <c r="C1291" t="s">
        <v>0</v>
      </c>
      <c r="D1291" t="str">
        <f>VLOOKUP(A1291,MERCADO!A:B,2,0)</f>
        <v>Empreendedor</v>
      </c>
      <c r="E1291" t="str">
        <f>_xlfn.XLOOKUP(A1291, ORIGEM!A:A, ORIGEM!B:B)</f>
        <v>Orgânico</v>
      </c>
      <c r="F1291">
        <f>_xlfn.XLOOKUP(A1291, ORIGEM!A:A, ORIGEM!C:C)</f>
        <v>0</v>
      </c>
      <c r="G1291" t="str">
        <f>_xlfn.XLOOKUP(A1291, LOCAL!A:A, LOCAL!B:B)</f>
        <v>-</v>
      </c>
      <c r="H1291">
        <f>_xlfn.XLOOKUP(A1291, PORTE!A:A, PORTE!B:B)</f>
        <v>0</v>
      </c>
      <c r="I1291">
        <f>_xlfn.XLOOKUP(A1291, OBJETIVO!A:A, OBJETIVO!B:B)</f>
        <v>0</v>
      </c>
      <c r="J1291">
        <f t="shared" si="20"/>
        <v>0</v>
      </c>
    </row>
    <row r="1292" spans="1:10" x14ac:dyDescent="0.25">
      <c r="A1292">
        <v>10881125</v>
      </c>
      <c r="B1292" s="1">
        <v>45662.831377314818</v>
      </c>
      <c r="C1292" t="s">
        <v>0</v>
      </c>
      <c r="D1292" t="str">
        <f>VLOOKUP(A1292,MERCADO!A:B,2,0)</f>
        <v>Empreendedor</v>
      </c>
      <c r="E1292" t="str">
        <f>_xlfn.XLOOKUP(A1292, ORIGEM!A:A, ORIGEM!B:B)</f>
        <v>Orgânico</v>
      </c>
      <c r="F1292">
        <f>_xlfn.XLOOKUP(A1292, ORIGEM!A:A, ORIGEM!C:C)</f>
        <v>0</v>
      </c>
      <c r="G1292" t="str">
        <f>_xlfn.XLOOKUP(A1292, LOCAL!A:A, LOCAL!B:B)</f>
        <v>Aparecida de Goiania - GO</v>
      </c>
      <c r="H1292" t="str">
        <f>_xlfn.XLOOKUP(A1292, PORTE!A:A, PORTE!B:B)</f>
        <v>0</v>
      </c>
      <c r="I1292" t="str">
        <f>_xlfn.XLOOKUP(A1292, OBJETIVO!A:A, OBJETIVO!B:B)</f>
        <v>Abertura/Expansão</v>
      </c>
      <c r="J1292">
        <f t="shared" si="20"/>
        <v>0</v>
      </c>
    </row>
    <row r="1293" spans="1:10" x14ac:dyDescent="0.25">
      <c r="A1293">
        <v>10881272</v>
      </c>
      <c r="B1293" s="1">
        <v>45662.868148148147</v>
      </c>
      <c r="C1293" t="s">
        <v>0</v>
      </c>
      <c r="D1293" t="str">
        <f>VLOOKUP(A1293,MERCADO!A:B,2,0)</f>
        <v>Empreendedor</v>
      </c>
      <c r="E1293" t="str">
        <f>_xlfn.XLOOKUP(A1293, ORIGEM!A:A, ORIGEM!B:B)</f>
        <v>Orgânico</v>
      </c>
      <c r="F1293">
        <f>_xlfn.XLOOKUP(A1293, ORIGEM!A:A, ORIGEM!C:C)</f>
        <v>0</v>
      </c>
      <c r="G1293" t="str">
        <f>_xlfn.XLOOKUP(A1293, LOCAL!A:A, LOCAL!B:B)</f>
        <v>São Luís - MA</v>
      </c>
      <c r="H1293" t="str">
        <f>_xlfn.XLOOKUP(A1293, PORTE!A:A, PORTE!B:B)</f>
        <v>1-10</v>
      </c>
      <c r="I1293" t="str">
        <f>_xlfn.XLOOKUP(A1293, OBJETIVO!A:A, OBJETIVO!B:B)</f>
        <v>Consultoria</v>
      </c>
      <c r="J1293">
        <f t="shared" si="20"/>
        <v>0</v>
      </c>
    </row>
    <row r="1294" spans="1:10" x14ac:dyDescent="0.25">
      <c r="A1294">
        <v>10881477</v>
      </c>
      <c r="B1294" s="1">
        <v>45662.920127314814</v>
      </c>
      <c r="C1294" t="s">
        <v>0</v>
      </c>
      <c r="D1294" t="str">
        <f>VLOOKUP(A1294,MERCADO!A:B,2,0)</f>
        <v>Empreendedor</v>
      </c>
      <c r="E1294" t="str">
        <f>_xlfn.XLOOKUP(A1294, ORIGEM!A:A, ORIGEM!B:B)</f>
        <v>Orgânico</v>
      </c>
      <c r="F1294">
        <f>_xlfn.XLOOKUP(A1294, ORIGEM!A:A, ORIGEM!C:C)</f>
        <v>0</v>
      </c>
      <c r="G1294" t="str">
        <f>_xlfn.XLOOKUP(A1294, LOCAL!A:A, LOCAL!B:B)</f>
        <v>Ribeirão Preto - SP</v>
      </c>
      <c r="H1294" t="str">
        <f>_xlfn.XLOOKUP(A1294, PORTE!A:A, PORTE!B:B)</f>
        <v>0</v>
      </c>
      <c r="I1294" t="str">
        <f>_xlfn.XLOOKUP(A1294, OBJETIVO!A:A, OBJETIVO!B:B)</f>
        <v>Abertura/Expansão</v>
      </c>
      <c r="J1294">
        <f t="shared" si="20"/>
        <v>0</v>
      </c>
    </row>
    <row r="1295" spans="1:10" x14ac:dyDescent="0.25">
      <c r="A1295">
        <v>10890788</v>
      </c>
      <c r="B1295" s="1">
        <v>45663.635335648149</v>
      </c>
      <c r="C1295" t="s">
        <v>0</v>
      </c>
      <c r="D1295" t="str">
        <f>VLOOKUP(A1295,MERCADO!A:B,2,0)</f>
        <v>Empreendedor</v>
      </c>
      <c r="E1295" t="str">
        <f>_xlfn.XLOOKUP(A1295, ORIGEM!A:A, ORIGEM!B:B)</f>
        <v>Orgânico</v>
      </c>
      <c r="F1295">
        <f>_xlfn.XLOOKUP(A1295, ORIGEM!A:A, ORIGEM!C:C)</f>
        <v>0</v>
      </c>
      <c r="G1295" t="str">
        <f>_xlfn.XLOOKUP(A1295, LOCAL!A:A, LOCAL!B:B)</f>
        <v>Belo Horizonte - MG</v>
      </c>
      <c r="H1295" t="str">
        <f>_xlfn.XLOOKUP(A1295, PORTE!A:A, PORTE!B:B)</f>
        <v>0</v>
      </c>
      <c r="I1295" t="str">
        <f>_xlfn.XLOOKUP(A1295, OBJETIVO!A:A, OBJETIVO!B:B)</f>
        <v>Outro</v>
      </c>
      <c r="J1295">
        <f t="shared" si="20"/>
        <v>0</v>
      </c>
    </row>
    <row r="1296" spans="1:10" x14ac:dyDescent="0.25">
      <c r="A1296">
        <v>10891217</v>
      </c>
      <c r="B1296" s="1">
        <v>45663.657337962963</v>
      </c>
      <c r="C1296" t="s">
        <v>0</v>
      </c>
      <c r="D1296" t="str">
        <f>VLOOKUP(A1296,MERCADO!A:B,2,0)</f>
        <v>Empreendedor</v>
      </c>
      <c r="E1296" t="str">
        <f>_xlfn.XLOOKUP(A1296, ORIGEM!A:A, ORIGEM!B:B)</f>
        <v>Orgânico</v>
      </c>
      <c r="F1296">
        <f>_xlfn.XLOOKUP(A1296, ORIGEM!A:A, ORIGEM!C:C)</f>
        <v>0</v>
      </c>
      <c r="G1296" t="str">
        <f>_xlfn.XLOOKUP(A1296, LOCAL!A:A, LOCAL!B:B)</f>
        <v>Mossoro - RN</v>
      </c>
      <c r="H1296" t="str">
        <f>_xlfn.XLOOKUP(A1296, PORTE!A:A, PORTE!B:B)</f>
        <v>0</v>
      </c>
      <c r="I1296" t="str">
        <f>_xlfn.XLOOKUP(A1296, OBJETIVO!A:A, OBJETIVO!B:B)</f>
        <v>Outro</v>
      </c>
      <c r="J1296">
        <f t="shared" si="20"/>
        <v>0</v>
      </c>
    </row>
    <row r="1297" spans="1:10" x14ac:dyDescent="0.25">
      <c r="A1297">
        <v>10818889</v>
      </c>
      <c r="B1297" s="1">
        <v>45653.54478009259</v>
      </c>
      <c r="C1297" t="s">
        <v>0</v>
      </c>
      <c r="D1297" t="str">
        <f>VLOOKUP(A1297,MERCADO!A:B,2,0)</f>
        <v>Empreendedor</v>
      </c>
      <c r="E1297" t="str">
        <f>_xlfn.XLOOKUP(A1297, ORIGEM!A:A, ORIGEM!B:B)</f>
        <v>Orgânico</v>
      </c>
      <c r="F1297">
        <f>_xlfn.XLOOKUP(A1297, ORIGEM!A:A, ORIGEM!C:C)</f>
        <v>0</v>
      </c>
      <c r="G1297" t="str">
        <f>_xlfn.XLOOKUP(A1297, LOCAL!A:A, LOCAL!B:B)</f>
        <v>Lagoa - PB</v>
      </c>
      <c r="H1297" t="str">
        <f>_xlfn.XLOOKUP(A1297, PORTE!A:A, PORTE!B:B)</f>
        <v>0</v>
      </c>
      <c r="I1297" t="str">
        <f>_xlfn.XLOOKUP(A1297, OBJETIVO!A:A, OBJETIVO!B:B)</f>
        <v>Consultoria</v>
      </c>
      <c r="J1297">
        <f t="shared" si="20"/>
        <v>0</v>
      </c>
    </row>
    <row r="1298" spans="1:10" x14ac:dyDescent="0.25">
      <c r="A1298">
        <v>10819264</v>
      </c>
      <c r="B1298" s="1">
        <v>45653.727569444447</v>
      </c>
      <c r="C1298" t="s">
        <v>0</v>
      </c>
      <c r="D1298" t="str">
        <f>VLOOKUP(A1298,MERCADO!A:B,2,0)</f>
        <v>Empreendedor</v>
      </c>
      <c r="E1298" t="str">
        <f>_xlfn.XLOOKUP(A1298, ORIGEM!A:A, ORIGEM!B:B)</f>
        <v>Orgânico</v>
      </c>
      <c r="F1298">
        <f>_xlfn.XLOOKUP(A1298, ORIGEM!A:A, ORIGEM!C:C)</f>
        <v>0</v>
      </c>
      <c r="G1298" t="str">
        <f>_xlfn.XLOOKUP(A1298, LOCAL!A:A, LOCAL!B:B)</f>
        <v>Campinas - SP</v>
      </c>
      <c r="H1298" t="str">
        <f>_xlfn.XLOOKUP(A1298, PORTE!A:A, PORTE!B:B)</f>
        <v>0</v>
      </c>
      <c r="I1298" t="str">
        <f>_xlfn.XLOOKUP(A1298, OBJETIVO!A:A, OBJETIVO!B:B)</f>
        <v>Outro</v>
      </c>
      <c r="J1298">
        <f t="shared" si="20"/>
        <v>0</v>
      </c>
    </row>
    <row r="1299" spans="1:10" x14ac:dyDescent="0.25">
      <c r="A1299">
        <v>10835018</v>
      </c>
      <c r="B1299" s="1">
        <v>45655.866157407407</v>
      </c>
      <c r="C1299" t="s">
        <v>0</v>
      </c>
      <c r="D1299" t="str">
        <f>VLOOKUP(A1299,MERCADO!A:B,2,0)</f>
        <v>Empreendedor</v>
      </c>
      <c r="E1299" t="str">
        <f>_xlfn.XLOOKUP(A1299, ORIGEM!A:A, ORIGEM!B:B)</f>
        <v>Orgânico</v>
      </c>
      <c r="F1299">
        <f>_xlfn.XLOOKUP(A1299, ORIGEM!A:A, ORIGEM!C:C)</f>
        <v>0</v>
      </c>
      <c r="G1299" t="str">
        <f>_xlfn.XLOOKUP(A1299, LOCAL!A:A, LOCAL!B:B)</f>
        <v>Barra dos Coqueiros - SE</v>
      </c>
      <c r="H1299" t="str">
        <f>_xlfn.XLOOKUP(A1299, PORTE!A:A, PORTE!B:B)</f>
        <v>11-50</v>
      </c>
      <c r="I1299" t="str">
        <f>_xlfn.XLOOKUP(A1299, OBJETIVO!A:A, OBJETIVO!B:B)</f>
        <v>Consultoria</v>
      </c>
      <c r="J1299">
        <f t="shared" si="20"/>
        <v>0</v>
      </c>
    </row>
    <row r="1300" spans="1:10" x14ac:dyDescent="0.25">
      <c r="A1300">
        <v>10835272</v>
      </c>
      <c r="B1300" s="1">
        <v>45655.986354166664</v>
      </c>
      <c r="C1300" t="s">
        <v>0</v>
      </c>
      <c r="D1300" t="str">
        <f>VLOOKUP(A1300,MERCADO!A:B,2,0)</f>
        <v>Empreendedor</v>
      </c>
      <c r="E1300" t="str">
        <f>_xlfn.XLOOKUP(A1300, ORIGEM!A:A, ORIGEM!B:B)</f>
        <v>Orgânico</v>
      </c>
      <c r="F1300">
        <f>_xlfn.XLOOKUP(A1300, ORIGEM!A:A, ORIGEM!C:C)</f>
        <v>0</v>
      </c>
      <c r="G1300" t="str">
        <f>_xlfn.XLOOKUP(A1300, LOCAL!A:A, LOCAL!B:B)</f>
        <v>São Paulo - SP</v>
      </c>
      <c r="H1300" t="str">
        <f>_xlfn.XLOOKUP(A1300, PORTE!A:A, PORTE!B:B)</f>
        <v>0</v>
      </c>
      <c r="I1300" t="str">
        <f>_xlfn.XLOOKUP(A1300, OBJETIVO!A:A, OBJETIVO!B:B)</f>
        <v>Abertura/Expansão</v>
      </c>
      <c r="J1300">
        <f t="shared" si="20"/>
        <v>0</v>
      </c>
    </row>
    <row r="1301" spans="1:10" x14ac:dyDescent="0.25">
      <c r="A1301">
        <v>10843941</v>
      </c>
      <c r="B1301" s="1">
        <v>45656.694027777776</v>
      </c>
      <c r="C1301" t="s">
        <v>0</v>
      </c>
      <c r="D1301" t="str">
        <f>VLOOKUP(A1301,MERCADO!A:B,2,0)</f>
        <v>Empreendedor</v>
      </c>
      <c r="E1301" t="str">
        <f>_xlfn.XLOOKUP(A1301, ORIGEM!A:A, ORIGEM!B:B)</f>
        <v>Orgânico</v>
      </c>
      <c r="F1301">
        <f>_xlfn.XLOOKUP(A1301, ORIGEM!A:A, ORIGEM!C:C)</f>
        <v>0</v>
      </c>
      <c r="G1301" t="str">
        <f>_xlfn.XLOOKUP(A1301, LOCAL!A:A, LOCAL!B:B)</f>
        <v>Barra da Estiva - BA</v>
      </c>
      <c r="H1301" t="str">
        <f>_xlfn.XLOOKUP(A1301, PORTE!A:A, PORTE!B:B)</f>
        <v>0</v>
      </c>
      <c r="I1301" t="str">
        <f>_xlfn.XLOOKUP(A1301, OBJETIVO!A:A, OBJETIVO!B:B)</f>
        <v>Outro</v>
      </c>
      <c r="J1301">
        <f t="shared" si="20"/>
        <v>0</v>
      </c>
    </row>
    <row r="1302" spans="1:10" x14ac:dyDescent="0.25">
      <c r="A1302">
        <v>10804250</v>
      </c>
      <c r="B1302" s="1">
        <v>45648.960659722223</v>
      </c>
      <c r="C1302" t="s">
        <v>0</v>
      </c>
      <c r="D1302" t="str">
        <f>VLOOKUP(A1302,MERCADO!A:B,2,0)</f>
        <v>Empreendedor</v>
      </c>
      <c r="E1302" t="str">
        <f>_xlfn.XLOOKUP(A1302, ORIGEM!A:A, ORIGEM!B:B)</f>
        <v>Orgânico</v>
      </c>
      <c r="F1302">
        <f>_xlfn.XLOOKUP(A1302, ORIGEM!A:A, ORIGEM!C:C)</f>
        <v>0</v>
      </c>
      <c r="G1302" t="str">
        <f>_xlfn.XLOOKUP(A1302, LOCAL!A:A, LOCAL!B:B)</f>
        <v>Belo Horizonte - MG</v>
      </c>
      <c r="H1302" t="str">
        <f>_xlfn.XLOOKUP(A1302, PORTE!A:A, PORTE!B:B)</f>
        <v>1-10</v>
      </c>
      <c r="I1302" t="str">
        <f>_xlfn.XLOOKUP(A1302, OBJETIVO!A:A, OBJETIVO!B:B)</f>
        <v>Ações de marketing/vendas</v>
      </c>
      <c r="J1302">
        <f t="shared" si="20"/>
        <v>0</v>
      </c>
    </row>
    <row r="1303" spans="1:10" x14ac:dyDescent="0.25">
      <c r="A1303">
        <v>11277930</v>
      </c>
      <c r="B1303" s="1">
        <v>45696.457997685182</v>
      </c>
      <c r="C1303" t="s">
        <v>0</v>
      </c>
      <c r="D1303" t="str">
        <f>VLOOKUP(A1303,MERCADO!A:B,2,0)</f>
        <v>Empreendedor</v>
      </c>
      <c r="E1303" t="str">
        <f>_xlfn.XLOOKUP(A1303, ORIGEM!A:A, ORIGEM!B:B)</f>
        <v>Inbound Marketing</v>
      </c>
      <c r="F1303">
        <f>_xlfn.XLOOKUP(A1303, ORIGEM!A:A, ORIGEM!C:C)</f>
        <v>0</v>
      </c>
      <c r="G1303" t="str">
        <f>_xlfn.XLOOKUP(A1303, LOCAL!A:A, LOCAL!B:B)</f>
        <v>-</v>
      </c>
      <c r="H1303">
        <f>_xlfn.XLOOKUP(A1303, PORTE!A:A, PORTE!B:B)</f>
        <v>0</v>
      </c>
      <c r="I1303">
        <f>_xlfn.XLOOKUP(A1303, OBJETIVO!A:A, OBJETIVO!B:B)</f>
        <v>0</v>
      </c>
      <c r="J1303">
        <f t="shared" si="20"/>
        <v>0</v>
      </c>
    </row>
    <row r="1304" spans="1:10" x14ac:dyDescent="0.25">
      <c r="A1304">
        <v>11363733</v>
      </c>
      <c r="B1304" s="1">
        <v>45704.560185185182</v>
      </c>
      <c r="C1304" t="s">
        <v>0</v>
      </c>
      <c r="D1304" t="str">
        <f>VLOOKUP(A1304,MERCADO!A:B,2,0)</f>
        <v>Empreendedor</v>
      </c>
      <c r="E1304" t="str">
        <f>_xlfn.XLOOKUP(A1304, ORIGEM!A:A, ORIGEM!B:B)</f>
        <v>Facebook</v>
      </c>
      <c r="F1304" t="str">
        <f>_xlfn.XLOOKUP(A1304, ORIGEM!A:A, ORIGEM!C:C)</f>
        <v>facebook - cpc</v>
      </c>
      <c r="G1304" t="str">
        <f>_xlfn.XLOOKUP(A1304, LOCAL!A:A, LOCAL!B:B)</f>
        <v>Curitiba - PR</v>
      </c>
      <c r="H1304" t="str">
        <f>_xlfn.XLOOKUP(A1304, PORTE!A:A, PORTE!B:B)</f>
        <v>0</v>
      </c>
      <c r="I1304" t="str">
        <f>_xlfn.XLOOKUP(A1304, OBJETIVO!A:A, OBJETIVO!B:B)</f>
        <v>Abertura/Expansão</v>
      </c>
      <c r="J1304">
        <f t="shared" si="20"/>
        <v>0</v>
      </c>
    </row>
    <row r="1305" spans="1:10" x14ac:dyDescent="0.25">
      <c r="A1305">
        <v>11378708</v>
      </c>
      <c r="B1305" s="1">
        <v>45705.63244212963</v>
      </c>
      <c r="C1305" t="s">
        <v>0</v>
      </c>
      <c r="D1305" t="str">
        <f>VLOOKUP(A1305,MERCADO!A:B,2,0)</f>
        <v>Empreendedor</v>
      </c>
      <c r="E1305" t="str">
        <f>_xlfn.XLOOKUP(A1305, ORIGEM!A:A, ORIGEM!B:B)</f>
        <v>Facebook</v>
      </c>
      <c r="F1305" t="str">
        <f>_xlfn.XLOOKUP(A1305, ORIGEM!A:A, ORIGEM!C:C)</f>
        <v>facebook - cpc</v>
      </c>
      <c r="G1305" t="str">
        <f>_xlfn.XLOOKUP(A1305, LOCAL!A:A, LOCAL!B:B)</f>
        <v>Cuiabá - MT</v>
      </c>
      <c r="H1305" t="str">
        <f>_xlfn.XLOOKUP(A1305, PORTE!A:A, PORTE!B:B)</f>
        <v>1-10</v>
      </c>
      <c r="I1305" t="str">
        <f>_xlfn.XLOOKUP(A1305, OBJETIVO!A:A, OBJETIVO!B:B)</f>
        <v>Consultoria</v>
      </c>
      <c r="J1305">
        <f t="shared" si="20"/>
        <v>0</v>
      </c>
    </row>
    <row r="1306" spans="1:10" x14ac:dyDescent="0.25">
      <c r="A1306">
        <v>11381737</v>
      </c>
      <c r="B1306" s="1">
        <v>45705.814085648148</v>
      </c>
      <c r="C1306" t="s">
        <v>0</v>
      </c>
      <c r="D1306" t="str">
        <f>VLOOKUP(A1306,MERCADO!A:B,2,0)</f>
        <v>Empreendedor</v>
      </c>
      <c r="E1306" t="str">
        <f>_xlfn.XLOOKUP(A1306, ORIGEM!A:A, ORIGEM!B:B)</f>
        <v>Facebook</v>
      </c>
      <c r="F1306" t="str">
        <f>_xlfn.XLOOKUP(A1306, ORIGEM!A:A, ORIGEM!C:C)</f>
        <v>facebook - cpc</v>
      </c>
      <c r="G1306" t="str">
        <f>_xlfn.XLOOKUP(A1306, LOCAL!A:A, LOCAL!B:B)</f>
        <v>Aracaju - SE</v>
      </c>
      <c r="H1306" t="str">
        <f>_xlfn.XLOOKUP(A1306, PORTE!A:A, PORTE!B:B)</f>
        <v>0</v>
      </c>
      <c r="I1306" t="str">
        <f>_xlfn.XLOOKUP(A1306, OBJETIVO!A:A, OBJETIVO!B:B)</f>
        <v>Ações de marketing/vendas</v>
      </c>
      <c r="J1306">
        <f t="shared" si="20"/>
        <v>0</v>
      </c>
    </row>
    <row r="1307" spans="1:10" x14ac:dyDescent="0.25">
      <c r="A1307">
        <v>11386198</v>
      </c>
      <c r="B1307" s="1">
        <v>45706.465717592589</v>
      </c>
      <c r="C1307" t="s">
        <v>0</v>
      </c>
      <c r="D1307" t="str">
        <f>VLOOKUP(A1307,MERCADO!A:B,2,0)</f>
        <v>Empreendedor</v>
      </c>
      <c r="E1307" t="str">
        <f>_xlfn.XLOOKUP(A1307, ORIGEM!A:A, ORIGEM!B:B)</f>
        <v>Facebook</v>
      </c>
      <c r="F1307" t="str">
        <f>_xlfn.XLOOKUP(A1307, ORIGEM!A:A, ORIGEM!C:C)</f>
        <v>facebook - cpc</v>
      </c>
      <c r="G1307" t="str">
        <f>_xlfn.XLOOKUP(A1307, LOCAL!A:A, LOCAL!B:B)</f>
        <v>Porto Alegre - RS</v>
      </c>
      <c r="H1307" t="str">
        <f>_xlfn.XLOOKUP(A1307, PORTE!A:A, PORTE!B:B)</f>
        <v>0</v>
      </c>
      <c r="I1307" t="str">
        <f>_xlfn.XLOOKUP(A1307, OBJETIVO!A:A, OBJETIVO!B:B)</f>
        <v>Abertura/Expansão</v>
      </c>
      <c r="J1307">
        <f t="shared" si="20"/>
        <v>0</v>
      </c>
    </row>
    <row r="1308" spans="1:10" x14ac:dyDescent="0.25">
      <c r="A1308">
        <v>11386957</v>
      </c>
      <c r="B1308" s="1">
        <v>45706.491631944446</v>
      </c>
      <c r="C1308" t="s">
        <v>0</v>
      </c>
      <c r="D1308" t="str">
        <f>VLOOKUP(A1308,MERCADO!A:B,2,0)</f>
        <v>Empreendedor</v>
      </c>
      <c r="E1308" t="str">
        <f>_xlfn.XLOOKUP(A1308, ORIGEM!A:A, ORIGEM!B:B)</f>
        <v>Facebook</v>
      </c>
      <c r="F1308" t="str">
        <f>_xlfn.XLOOKUP(A1308, ORIGEM!A:A, ORIGEM!C:C)</f>
        <v>facebook - cpc</v>
      </c>
      <c r="G1308" t="str">
        <f>_xlfn.XLOOKUP(A1308, LOCAL!A:A, LOCAL!B:B)</f>
        <v>Tres Pontas - MG</v>
      </c>
      <c r="H1308" t="str">
        <f>_xlfn.XLOOKUP(A1308, PORTE!A:A, PORTE!B:B)</f>
        <v>0</v>
      </c>
      <c r="I1308" t="str">
        <f>_xlfn.XLOOKUP(A1308, OBJETIVO!A:A, OBJETIVO!B:B)</f>
        <v>Ações de marketing/vendas</v>
      </c>
      <c r="J1308">
        <f t="shared" si="20"/>
        <v>0</v>
      </c>
    </row>
    <row r="1309" spans="1:10" x14ac:dyDescent="0.25">
      <c r="A1309">
        <v>11393433</v>
      </c>
      <c r="B1309" s="1">
        <v>45706.719699074078</v>
      </c>
      <c r="C1309" t="s">
        <v>0</v>
      </c>
      <c r="D1309" t="str">
        <f>VLOOKUP(A1309,MERCADO!A:B,2,0)</f>
        <v>Empreendedor</v>
      </c>
      <c r="E1309" t="str">
        <f>_xlfn.XLOOKUP(A1309, ORIGEM!A:A, ORIGEM!B:B)</f>
        <v>Facebook</v>
      </c>
      <c r="F1309" t="str">
        <f>_xlfn.XLOOKUP(A1309, ORIGEM!A:A, ORIGEM!C:C)</f>
        <v>facebook - cpc</v>
      </c>
      <c r="G1309" t="str">
        <f>_xlfn.XLOOKUP(A1309, LOCAL!A:A, LOCAL!B:B)</f>
        <v>Paulista - PE</v>
      </c>
      <c r="H1309" t="str">
        <f>_xlfn.XLOOKUP(A1309, PORTE!A:A, PORTE!B:B)</f>
        <v>0</v>
      </c>
      <c r="I1309" t="str">
        <f>_xlfn.XLOOKUP(A1309, OBJETIVO!A:A, OBJETIVO!B:B)</f>
        <v>Abertura/Expansão</v>
      </c>
      <c r="J1309">
        <f t="shared" si="20"/>
        <v>0</v>
      </c>
    </row>
    <row r="1310" spans="1:10" x14ac:dyDescent="0.25">
      <c r="A1310">
        <v>11394670</v>
      </c>
      <c r="B1310" s="1">
        <v>45706.796296296299</v>
      </c>
      <c r="C1310" t="s">
        <v>0</v>
      </c>
      <c r="D1310" t="str">
        <f>VLOOKUP(A1310,MERCADO!A:B,2,0)</f>
        <v>Empreendedor</v>
      </c>
      <c r="E1310" t="str">
        <f>_xlfn.XLOOKUP(A1310, ORIGEM!A:A, ORIGEM!B:B)</f>
        <v>Facebook</v>
      </c>
      <c r="F1310" t="str">
        <f>_xlfn.XLOOKUP(A1310, ORIGEM!A:A, ORIGEM!C:C)</f>
        <v>facebook - cpc</v>
      </c>
      <c r="G1310" t="str">
        <f>_xlfn.XLOOKUP(A1310, LOCAL!A:A, LOCAL!B:B)</f>
        <v>Fortaleza - CE</v>
      </c>
      <c r="H1310" t="str">
        <f>_xlfn.XLOOKUP(A1310, PORTE!A:A, PORTE!B:B)</f>
        <v>1-10</v>
      </c>
      <c r="I1310" t="str">
        <f>_xlfn.XLOOKUP(A1310, OBJETIVO!A:A, OBJETIVO!B:B)</f>
        <v>Ações de marketing/vendas</v>
      </c>
      <c r="J1310">
        <f t="shared" si="20"/>
        <v>0</v>
      </c>
    </row>
    <row r="1311" spans="1:10" x14ac:dyDescent="0.25">
      <c r="A1311">
        <v>11707158</v>
      </c>
      <c r="B1311" s="1">
        <v>45736.340520833335</v>
      </c>
      <c r="C1311" t="s">
        <v>0</v>
      </c>
      <c r="D1311" t="str">
        <f>VLOOKUP(A1311,MERCADO!A:B,2,0)</f>
        <v>Empreendedor</v>
      </c>
      <c r="E1311" t="str">
        <f>_xlfn.XLOOKUP(A1311, ORIGEM!A:A, ORIGEM!B:B)</f>
        <v>Google</v>
      </c>
      <c r="F1311" t="str">
        <f>_xlfn.XLOOKUP(A1311, ORIGEM!A:A, ORIGEM!C:C)</f>
        <v>google - cpc</v>
      </c>
      <c r="G1311" t="str">
        <f>_xlfn.XLOOKUP(A1311, LOCAL!A:A, LOCAL!B:B)</f>
        <v>Duque de Caxias - RJ</v>
      </c>
      <c r="H1311" t="str">
        <f>_xlfn.XLOOKUP(A1311, PORTE!A:A, PORTE!B:B)</f>
        <v>0</v>
      </c>
      <c r="I1311" t="str">
        <f>_xlfn.XLOOKUP(A1311, OBJETIVO!A:A, OBJETIVO!B:B)</f>
        <v>Abertura/Expansão</v>
      </c>
      <c r="J1311">
        <f t="shared" si="20"/>
        <v>0</v>
      </c>
    </row>
    <row r="1312" spans="1:10" x14ac:dyDescent="0.25">
      <c r="A1312">
        <v>11774152</v>
      </c>
      <c r="B1312" s="1">
        <v>45742.469340277778</v>
      </c>
      <c r="C1312" t="s">
        <v>0</v>
      </c>
      <c r="D1312" t="str">
        <f>VLOOKUP(A1312,MERCADO!A:B,2,0)</f>
        <v>Empreendedor</v>
      </c>
      <c r="E1312" t="str">
        <f>_xlfn.XLOOKUP(A1312, ORIGEM!A:A, ORIGEM!B:B)</f>
        <v>Google</v>
      </c>
      <c r="F1312" t="str">
        <f>_xlfn.XLOOKUP(A1312, ORIGEM!A:A, ORIGEM!C:C)</f>
        <v>google - cpc</v>
      </c>
      <c r="G1312" t="str">
        <f>_xlfn.XLOOKUP(A1312, LOCAL!A:A, LOCAL!B:B)</f>
        <v>Palmas - TO</v>
      </c>
      <c r="H1312" t="str">
        <f>_xlfn.XLOOKUP(A1312, PORTE!A:A, PORTE!B:B)</f>
        <v>1-10</v>
      </c>
      <c r="I1312" t="str">
        <f>_xlfn.XLOOKUP(A1312, OBJETIVO!A:A, OBJETIVO!B:B)</f>
        <v>Abertura/Expansão</v>
      </c>
      <c r="J1312">
        <f t="shared" si="20"/>
        <v>0</v>
      </c>
    </row>
    <row r="1313" spans="1:10" x14ac:dyDescent="0.25">
      <c r="A1313">
        <v>11782560</v>
      </c>
      <c r="B1313" s="1">
        <v>45742.681932870371</v>
      </c>
      <c r="C1313" t="s">
        <v>0</v>
      </c>
      <c r="D1313" t="str">
        <f>VLOOKUP(A1313,MERCADO!A:B,2,0)</f>
        <v>Empreendedor</v>
      </c>
      <c r="E1313" t="str">
        <f>_xlfn.XLOOKUP(A1313, ORIGEM!A:A, ORIGEM!B:B)</f>
        <v>Google</v>
      </c>
      <c r="F1313" t="str">
        <f>_xlfn.XLOOKUP(A1313, ORIGEM!A:A, ORIGEM!C:C)</f>
        <v>google - cpc</v>
      </c>
      <c r="G1313" t="str">
        <f>_xlfn.XLOOKUP(A1313, LOCAL!A:A, LOCAL!B:B)</f>
        <v>Goiânia - GO</v>
      </c>
      <c r="H1313" t="str">
        <f>_xlfn.XLOOKUP(A1313, PORTE!A:A, PORTE!B:B)</f>
        <v>0</v>
      </c>
      <c r="I1313" t="str">
        <f>_xlfn.XLOOKUP(A1313, OBJETIVO!A:A, OBJETIVO!B:B)</f>
        <v>Abertura/Expansão</v>
      </c>
      <c r="J1313">
        <f t="shared" si="20"/>
        <v>0</v>
      </c>
    </row>
    <row r="1314" spans="1:10" x14ac:dyDescent="0.25">
      <c r="A1314">
        <v>11743832</v>
      </c>
      <c r="B1314" s="1">
        <v>45740.541261574072</v>
      </c>
      <c r="C1314" t="s">
        <v>0</v>
      </c>
      <c r="D1314" t="str">
        <f>VLOOKUP(A1314,MERCADO!A:B,2,0)</f>
        <v>Empreendedor</v>
      </c>
      <c r="E1314" t="str">
        <f>_xlfn.XLOOKUP(A1314, ORIGEM!A:A, ORIGEM!B:B)</f>
        <v>Google</v>
      </c>
      <c r="F1314" t="str">
        <f>_xlfn.XLOOKUP(A1314, ORIGEM!A:A, ORIGEM!C:C)</f>
        <v>google - cpc</v>
      </c>
      <c r="G1314" t="str">
        <f>_xlfn.XLOOKUP(A1314, LOCAL!A:A, LOCAL!B:B)</f>
        <v>Indaiatuba - SP</v>
      </c>
      <c r="H1314" t="str">
        <f>_xlfn.XLOOKUP(A1314, PORTE!A:A, PORTE!B:B)</f>
        <v>1-10</v>
      </c>
      <c r="I1314" t="str">
        <f>_xlfn.XLOOKUP(A1314, OBJETIVO!A:A, OBJETIVO!B:B)</f>
        <v>Geração de leads b2b</v>
      </c>
      <c r="J1314">
        <f t="shared" si="20"/>
        <v>0</v>
      </c>
    </row>
    <row r="1315" spans="1:10" x14ac:dyDescent="0.25">
      <c r="A1315">
        <v>11769641</v>
      </c>
      <c r="B1315" s="1">
        <v>45741.934212962966</v>
      </c>
      <c r="C1315" t="s">
        <v>0</v>
      </c>
      <c r="D1315" t="str">
        <f>VLOOKUP(A1315,MERCADO!A:B,2,0)</f>
        <v>Empreendedor</v>
      </c>
      <c r="E1315" t="str">
        <f>_xlfn.XLOOKUP(A1315, ORIGEM!A:A, ORIGEM!B:B)</f>
        <v>Google</v>
      </c>
      <c r="F1315" t="str">
        <f>_xlfn.XLOOKUP(A1315, ORIGEM!A:A, ORIGEM!C:C)</f>
        <v>google - cpc</v>
      </c>
      <c r="G1315" t="str">
        <f>_xlfn.XLOOKUP(A1315, LOCAL!A:A, LOCAL!B:B)</f>
        <v>Cruz das Almas - BA</v>
      </c>
      <c r="H1315" t="str">
        <f>_xlfn.XLOOKUP(A1315, PORTE!A:A, PORTE!B:B)</f>
        <v>+ 1000</v>
      </c>
      <c r="I1315" t="str">
        <f>_xlfn.XLOOKUP(A1315, OBJETIVO!A:A, OBJETIVO!B:B)</f>
        <v>Outro</v>
      </c>
      <c r="J1315">
        <f t="shared" si="20"/>
        <v>0</v>
      </c>
    </row>
    <row r="1316" spans="1:10" x14ac:dyDescent="0.25">
      <c r="A1316">
        <v>11751698</v>
      </c>
      <c r="B1316" s="1">
        <v>45740.807592592595</v>
      </c>
      <c r="C1316" t="s">
        <v>0</v>
      </c>
      <c r="D1316" t="str">
        <f>VLOOKUP(A1316,MERCADO!A:B,2,0)</f>
        <v>Empreendedor</v>
      </c>
      <c r="E1316" t="str">
        <f>_xlfn.XLOOKUP(A1316, ORIGEM!A:A, ORIGEM!B:B)</f>
        <v>Google</v>
      </c>
      <c r="F1316" t="str">
        <f>_xlfn.XLOOKUP(A1316, ORIGEM!A:A, ORIGEM!C:C)</f>
        <v>google - cpc</v>
      </c>
      <c r="G1316" t="str">
        <f>_xlfn.XLOOKUP(A1316, LOCAL!A:A, LOCAL!B:B)</f>
        <v>Rio de Janeiro - RJ</v>
      </c>
      <c r="H1316" t="str">
        <f>_xlfn.XLOOKUP(A1316, PORTE!A:A, PORTE!B:B)</f>
        <v>1-10</v>
      </c>
      <c r="I1316" t="str">
        <f>_xlfn.XLOOKUP(A1316, OBJETIVO!A:A, OBJETIVO!B:B)</f>
        <v>Planejamento estratégico</v>
      </c>
      <c r="J1316">
        <f t="shared" si="20"/>
        <v>0</v>
      </c>
    </row>
    <row r="1317" spans="1:10" x14ac:dyDescent="0.25">
      <c r="A1317">
        <v>11790582</v>
      </c>
      <c r="B1317" s="1">
        <v>45744.601099537038</v>
      </c>
      <c r="C1317" t="s">
        <v>0</v>
      </c>
      <c r="D1317" t="str">
        <f>VLOOKUP(A1317,MERCADO!A:B,2,0)</f>
        <v>Empreendedor</v>
      </c>
      <c r="E1317" t="str">
        <f>_xlfn.XLOOKUP(A1317, ORIGEM!A:A, ORIGEM!B:B)</f>
        <v>Google</v>
      </c>
      <c r="F1317" t="str">
        <f>_xlfn.XLOOKUP(A1317, ORIGEM!A:A, ORIGEM!C:C)</f>
        <v>google - cpc</v>
      </c>
      <c r="G1317" t="str">
        <f>_xlfn.XLOOKUP(A1317, LOCAL!A:A, LOCAL!B:B)</f>
        <v>Rio de Janeiro - RJ</v>
      </c>
      <c r="H1317" t="str">
        <f>_xlfn.XLOOKUP(A1317, PORTE!A:A, PORTE!B:B)</f>
        <v>0</v>
      </c>
      <c r="I1317" t="str">
        <f>_xlfn.XLOOKUP(A1317, OBJETIVO!A:A, OBJETIVO!B:B)</f>
        <v>Abertura/Expansão</v>
      </c>
      <c r="J1317">
        <f t="shared" si="20"/>
        <v>0</v>
      </c>
    </row>
    <row r="1318" spans="1:10" x14ac:dyDescent="0.25">
      <c r="A1318">
        <v>11791566</v>
      </c>
      <c r="B1318" s="1">
        <v>45744.919293981482</v>
      </c>
      <c r="C1318" t="s">
        <v>0</v>
      </c>
      <c r="D1318" t="str">
        <f>VLOOKUP(A1318,MERCADO!A:B,2,0)</f>
        <v>Empreendedor</v>
      </c>
      <c r="E1318" t="str">
        <f>_xlfn.XLOOKUP(A1318, ORIGEM!A:A, ORIGEM!B:B)</f>
        <v>Google</v>
      </c>
      <c r="F1318" t="str">
        <f>_xlfn.XLOOKUP(A1318, ORIGEM!A:A, ORIGEM!C:C)</f>
        <v>google - cpc</v>
      </c>
      <c r="G1318" t="str">
        <f>_xlfn.XLOOKUP(A1318, LOCAL!A:A, LOCAL!B:B)</f>
        <v>Condado - PE</v>
      </c>
      <c r="H1318" t="str">
        <f>_xlfn.XLOOKUP(A1318, PORTE!A:A, PORTE!B:B)</f>
        <v>1-10</v>
      </c>
      <c r="I1318" t="str">
        <f>_xlfn.XLOOKUP(A1318, OBJETIVO!A:A, OBJETIVO!B:B)</f>
        <v>Ações de marketing/vendas</v>
      </c>
      <c r="J1318">
        <f t="shared" si="20"/>
        <v>0</v>
      </c>
    </row>
    <row r="1319" spans="1:10" x14ac:dyDescent="0.25">
      <c r="A1319">
        <v>11808710</v>
      </c>
      <c r="B1319" s="1">
        <v>45745.615740740737</v>
      </c>
      <c r="C1319" t="s">
        <v>0</v>
      </c>
      <c r="D1319" t="str">
        <f>VLOOKUP(A1319,MERCADO!A:B,2,0)</f>
        <v>Empreendedor</v>
      </c>
      <c r="E1319" t="str">
        <f>_xlfn.XLOOKUP(A1319, ORIGEM!A:A, ORIGEM!B:B)</f>
        <v>Google</v>
      </c>
      <c r="F1319" t="str">
        <f>_xlfn.XLOOKUP(A1319, ORIGEM!A:A, ORIGEM!C:C)</f>
        <v>google - cpc</v>
      </c>
      <c r="G1319" t="str">
        <f>_xlfn.XLOOKUP(A1319, LOCAL!A:A, LOCAL!B:B)</f>
        <v>Vitoria de Santo Antao - PE</v>
      </c>
      <c r="H1319" t="str">
        <f>_xlfn.XLOOKUP(A1319, PORTE!A:A, PORTE!B:B)</f>
        <v>0</v>
      </c>
      <c r="I1319" t="str">
        <f>_xlfn.XLOOKUP(A1319, OBJETIVO!A:A, OBJETIVO!B:B)</f>
        <v>Abertura/Expansão</v>
      </c>
      <c r="J1319">
        <f t="shared" si="20"/>
        <v>0</v>
      </c>
    </row>
    <row r="1320" spans="1:10" x14ac:dyDescent="0.25">
      <c r="A1320">
        <v>11724691</v>
      </c>
      <c r="B1320" s="1">
        <v>45738.756006944444</v>
      </c>
      <c r="C1320" t="s">
        <v>0</v>
      </c>
      <c r="D1320" t="str">
        <f>VLOOKUP(A1320,MERCADO!A:B,2,0)</f>
        <v>Empreendedor</v>
      </c>
      <c r="E1320" t="str">
        <f>_xlfn.XLOOKUP(A1320, ORIGEM!A:A, ORIGEM!B:B)</f>
        <v>Google</v>
      </c>
      <c r="F1320" t="str">
        <f>_xlfn.XLOOKUP(A1320, ORIGEM!A:A, ORIGEM!C:C)</f>
        <v>google - cpc</v>
      </c>
      <c r="G1320" t="str">
        <f>_xlfn.XLOOKUP(A1320, LOCAL!A:A, LOCAL!B:B)</f>
        <v>Joinville - SC</v>
      </c>
      <c r="H1320" t="str">
        <f>_xlfn.XLOOKUP(A1320, PORTE!A:A, PORTE!B:B)</f>
        <v>0</v>
      </c>
      <c r="I1320" t="str">
        <f>_xlfn.XLOOKUP(A1320, OBJETIVO!A:A, OBJETIVO!B:B)</f>
        <v>Ações de marketing/vendas</v>
      </c>
      <c r="J1320">
        <f t="shared" si="20"/>
        <v>0</v>
      </c>
    </row>
    <row r="1321" spans="1:10" x14ac:dyDescent="0.25">
      <c r="A1321">
        <v>11731181</v>
      </c>
      <c r="B1321" s="1">
        <v>45739.494571759256</v>
      </c>
      <c r="C1321" t="s">
        <v>0</v>
      </c>
      <c r="D1321" t="str">
        <f>VLOOKUP(A1321,MERCADO!A:B,2,0)</f>
        <v>Empreendedor</v>
      </c>
      <c r="E1321" t="str">
        <f>_xlfn.XLOOKUP(A1321, ORIGEM!A:A, ORIGEM!B:B)</f>
        <v>Google</v>
      </c>
      <c r="F1321" t="str">
        <f>_xlfn.XLOOKUP(A1321, ORIGEM!A:A, ORIGEM!C:C)</f>
        <v>google - cpc</v>
      </c>
      <c r="G1321" t="str">
        <f>_xlfn.XLOOKUP(A1321, LOCAL!A:A, LOCAL!B:B)</f>
        <v>Recife - PE</v>
      </c>
      <c r="H1321" t="str">
        <f>_xlfn.XLOOKUP(A1321, PORTE!A:A, PORTE!B:B)</f>
        <v>1-10</v>
      </c>
      <c r="I1321" t="str">
        <f>_xlfn.XLOOKUP(A1321, OBJETIVO!A:A, OBJETIVO!B:B)</f>
        <v>Geração de leads b2b</v>
      </c>
      <c r="J1321">
        <f t="shared" si="20"/>
        <v>0</v>
      </c>
    </row>
    <row r="1322" spans="1:10" x14ac:dyDescent="0.25">
      <c r="A1322">
        <v>11733769</v>
      </c>
      <c r="B1322" s="1">
        <v>45739.608877314815</v>
      </c>
      <c r="C1322" t="s">
        <v>0</v>
      </c>
      <c r="D1322" t="str">
        <f>VLOOKUP(A1322,MERCADO!A:B,2,0)</f>
        <v>Empreendedor</v>
      </c>
      <c r="E1322" t="str">
        <f>_xlfn.XLOOKUP(A1322, ORIGEM!A:A, ORIGEM!B:B)</f>
        <v>Google</v>
      </c>
      <c r="F1322" t="str">
        <f>_xlfn.XLOOKUP(A1322, ORIGEM!A:A, ORIGEM!C:C)</f>
        <v>google - cpc</v>
      </c>
      <c r="G1322" t="str">
        <f>_xlfn.XLOOKUP(A1322, LOCAL!A:A, LOCAL!B:B)</f>
        <v>Joao Monlevade - MG</v>
      </c>
      <c r="H1322" t="str">
        <f>_xlfn.XLOOKUP(A1322, PORTE!A:A, PORTE!B:B)</f>
        <v>0</v>
      </c>
      <c r="I1322" t="str">
        <f>_xlfn.XLOOKUP(A1322, OBJETIVO!A:A, OBJETIVO!B:B)</f>
        <v>Outro</v>
      </c>
      <c r="J1322">
        <f t="shared" si="20"/>
        <v>0</v>
      </c>
    </row>
    <row r="1323" spans="1:10" x14ac:dyDescent="0.25">
      <c r="A1323">
        <v>11891688</v>
      </c>
      <c r="B1323" s="1">
        <v>45753.805497685185</v>
      </c>
      <c r="C1323" t="s">
        <v>0</v>
      </c>
      <c r="D1323" t="str">
        <f>VLOOKUP(A1323,MERCADO!A:B,2,0)</f>
        <v>Empreendedor</v>
      </c>
      <c r="E1323" t="str">
        <f>_xlfn.XLOOKUP(A1323, ORIGEM!A:A, ORIGEM!B:B)</f>
        <v>Google</v>
      </c>
      <c r="F1323" t="str">
        <f>_xlfn.XLOOKUP(A1323, ORIGEM!A:A, ORIGEM!C:C)</f>
        <v>google - cpc</v>
      </c>
      <c r="G1323" t="str">
        <f>_xlfn.XLOOKUP(A1323, LOCAL!A:A, LOCAL!B:B)</f>
        <v>Rio de Janeiro - RJ</v>
      </c>
      <c r="H1323" t="str">
        <f>_xlfn.XLOOKUP(A1323, PORTE!A:A, PORTE!B:B)</f>
        <v>0</v>
      </c>
      <c r="I1323" t="str">
        <f>_xlfn.XLOOKUP(A1323, OBJETIVO!A:A, OBJETIVO!B:B)</f>
        <v>Abertura/Expansão</v>
      </c>
      <c r="J1323">
        <f t="shared" si="20"/>
        <v>0</v>
      </c>
    </row>
    <row r="1324" spans="1:10" x14ac:dyDescent="0.25">
      <c r="A1324">
        <v>11595124</v>
      </c>
      <c r="B1324" s="1">
        <v>45726.387303240743</v>
      </c>
      <c r="C1324" t="s">
        <v>0</v>
      </c>
      <c r="D1324" t="str">
        <f>VLOOKUP(A1324,MERCADO!A:B,2,0)</f>
        <v>Empreendedor</v>
      </c>
      <c r="E1324" t="str">
        <f>_xlfn.XLOOKUP(A1324, ORIGEM!A:A, ORIGEM!B:B)</f>
        <v>Google</v>
      </c>
      <c r="F1324" t="str">
        <f>_xlfn.XLOOKUP(A1324, ORIGEM!A:A, ORIGEM!C:C)</f>
        <v>google - cpc</v>
      </c>
      <c r="G1324" t="str">
        <f>_xlfn.XLOOKUP(A1324, LOCAL!A:A, LOCAL!B:B)</f>
        <v>São Paulo - SP</v>
      </c>
      <c r="H1324" t="str">
        <f>_xlfn.XLOOKUP(A1324, PORTE!A:A, PORTE!B:B)</f>
        <v>0</v>
      </c>
      <c r="I1324" t="str">
        <f>_xlfn.XLOOKUP(A1324, OBJETIVO!A:A, OBJETIVO!B:B)</f>
        <v>Geração de leads b2b</v>
      </c>
      <c r="J1324">
        <f t="shared" si="20"/>
        <v>0</v>
      </c>
    </row>
    <row r="1325" spans="1:10" x14ac:dyDescent="0.25">
      <c r="A1325">
        <v>11591965</v>
      </c>
      <c r="B1325" s="1">
        <v>45725.783229166664</v>
      </c>
      <c r="C1325" t="s">
        <v>0</v>
      </c>
      <c r="D1325" t="str">
        <f>VLOOKUP(A1325,MERCADO!A:B,2,0)</f>
        <v>Empreendedor</v>
      </c>
      <c r="E1325" t="str">
        <f>_xlfn.XLOOKUP(A1325, ORIGEM!A:A, ORIGEM!B:B)</f>
        <v>Google</v>
      </c>
      <c r="F1325" t="str">
        <f>_xlfn.XLOOKUP(A1325, ORIGEM!A:A, ORIGEM!C:C)</f>
        <v>google - cpc</v>
      </c>
      <c r="G1325" t="str">
        <f>_xlfn.XLOOKUP(A1325, LOCAL!A:A, LOCAL!B:B)</f>
        <v>São Paulo - SP</v>
      </c>
      <c r="H1325" t="str">
        <f>_xlfn.XLOOKUP(A1325, PORTE!A:A, PORTE!B:B)</f>
        <v>1-10</v>
      </c>
      <c r="I1325" t="str">
        <f>_xlfn.XLOOKUP(A1325, OBJETIVO!A:A, OBJETIVO!B:B)</f>
        <v>Abertura/Expansão</v>
      </c>
      <c r="J1325">
        <f t="shared" si="20"/>
        <v>0</v>
      </c>
    </row>
    <row r="1326" spans="1:10" x14ac:dyDescent="0.25">
      <c r="A1326">
        <v>11709317</v>
      </c>
      <c r="B1326" s="1">
        <v>45737.030717592592</v>
      </c>
      <c r="C1326" t="s">
        <v>0</v>
      </c>
      <c r="D1326" t="str">
        <f>VLOOKUP(A1326,MERCADO!A:B,2,0)</f>
        <v>Empreendedor</v>
      </c>
      <c r="E1326" t="str">
        <f>_xlfn.XLOOKUP(A1326, ORIGEM!A:A, ORIGEM!B:B)</f>
        <v>Google</v>
      </c>
      <c r="F1326" t="str">
        <f>_xlfn.XLOOKUP(A1326, ORIGEM!A:A, ORIGEM!C:C)</f>
        <v>google - cpc</v>
      </c>
      <c r="G1326" t="str">
        <f>_xlfn.XLOOKUP(A1326, LOCAL!A:A, LOCAL!B:B)</f>
        <v>Santarém - PA</v>
      </c>
      <c r="H1326" t="str">
        <f>_xlfn.XLOOKUP(A1326, PORTE!A:A, PORTE!B:B)</f>
        <v>1-10</v>
      </c>
      <c r="I1326" t="str">
        <f>_xlfn.XLOOKUP(A1326, OBJETIVO!A:A, OBJETIVO!B:B)</f>
        <v>Abertura/Expansão</v>
      </c>
      <c r="J1326">
        <f t="shared" si="20"/>
        <v>0</v>
      </c>
    </row>
    <row r="1327" spans="1:10" x14ac:dyDescent="0.25">
      <c r="A1327">
        <v>11679154</v>
      </c>
      <c r="B1327" s="1">
        <v>45733.772939814815</v>
      </c>
      <c r="C1327" t="s">
        <v>0</v>
      </c>
      <c r="D1327" t="str">
        <f>VLOOKUP(A1327,MERCADO!A:B,2,0)</f>
        <v>Empreendedor</v>
      </c>
      <c r="E1327" t="str">
        <f>_xlfn.XLOOKUP(A1327, ORIGEM!A:A, ORIGEM!B:B)</f>
        <v>Google</v>
      </c>
      <c r="F1327" t="str">
        <f>_xlfn.XLOOKUP(A1327, ORIGEM!A:A, ORIGEM!C:C)</f>
        <v>google - cpc</v>
      </c>
      <c r="G1327" t="str">
        <f>_xlfn.XLOOKUP(A1327, LOCAL!A:A, LOCAL!B:B)</f>
        <v>Florianópolis - SC</v>
      </c>
      <c r="H1327" t="str">
        <f>_xlfn.XLOOKUP(A1327, PORTE!A:A, PORTE!B:B)</f>
        <v>0</v>
      </c>
      <c r="I1327" t="str">
        <f>_xlfn.XLOOKUP(A1327, OBJETIVO!A:A, OBJETIVO!B:B)</f>
        <v>Ações de marketing/vendas</v>
      </c>
      <c r="J1327">
        <f t="shared" si="20"/>
        <v>0</v>
      </c>
    </row>
    <row r="1328" spans="1:10" x14ac:dyDescent="0.25">
      <c r="A1328">
        <v>11846530</v>
      </c>
      <c r="B1328" s="1">
        <v>45748.627233796295</v>
      </c>
      <c r="C1328" t="s">
        <v>0</v>
      </c>
      <c r="D1328" t="str">
        <f>VLOOKUP(A1328,MERCADO!A:B,2,0)</f>
        <v>Empreendedor</v>
      </c>
      <c r="E1328" t="str">
        <f>_xlfn.XLOOKUP(A1328, ORIGEM!A:A, ORIGEM!B:B)</f>
        <v>Google</v>
      </c>
      <c r="F1328" t="str">
        <f>_xlfn.XLOOKUP(A1328, ORIGEM!A:A, ORIGEM!C:C)</f>
        <v>google - cpc</v>
      </c>
      <c r="G1328" t="str">
        <f>_xlfn.XLOOKUP(A1328, LOCAL!A:A, LOCAL!B:B)</f>
        <v>Venancio Aires - RS</v>
      </c>
      <c r="H1328" t="str">
        <f>_xlfn.XLOOKUP(A1328, PORTE!A:A, PORTE!B:B)</f>
        <v>1-10</v>
      </c>
      <c r="I1328" t="str">
        <f>_xlfn.XLOOKUP(A1328, OBJETIVO!A:A, OBJETIVO!B:B)</f>
        <v>Ações de marketing/vendas</v>
      </c>
      <c r="J1328">
        <f t="shared" si="20"/>
        <v>0</v>
      </c>
    </row>
    <row r="1329" spans="1:10" x14ac:dyDescent="0.25">
      <c r="A1329">
        <v>11897685</v>
      </c>
      <c r="B1329" s="1">
        <v>45754.483090277776</v>
      </c>
      <c r="C1329" t="s">
        <v>0</v>
      </c>
      <c r="D1329" t="str">
        <f>VLOOKUP(A1329,MERCADO!A:B,2,0)</f>
        <v>Empreendedor</v>
      </c>
      <c r="E1329" t="str">
        <f>_xlfn.XLOOKUP(A1329, ORIGEM!A:A, ORIGEM!B:B)</f>
        <v>Google</v>
      </c>
      <c r="F1329" t="str">
        <f>_xlfn.XLOOKUP(A1329, ORIGEM!A:A, ORIGEM!C:C)</f>
        <v>google - cpc</v>
      </c>
      <c r="G1329" t="str">
        <f>_xlfn.XLOOKUP(A1329, LOCAL!A:A, LOCAL!B:B)</f>
        <v>Campo Grande - MS</v>
      </c>
      <c r="H1329" t="str">
        <f>_xlfn.XLOOKUP(A1329, PORTE!A:A, PORTE!B:B)</f>
        <v>0</v>
      </c>
      <c r="I1329" t="str">
        <f>_xlfn.XLOOKUP(A1329, OBJETIVO!A:A, OBJETIVO!B:B)</f>
        <v>Abertura/Expansão</v>
      </c>
      <c r="J1329">
        <f t="shared" si="20"/>
        <v>0</v>
      </c>
    </row>
    <row r="1330" spans="1:10" x14ac:dyDescent="0.25">
      <c r="A1330">
        <v>11902488</v>
      </c>
      <c r="B1330" s="1">
        <v>45754.661944444444</v>
      </c>
      <c r="C1330" t="s">
        <v>0</v>
      </c>
      <c r="D1330" t="str">
        <f>VLOOKUP(A1330,MERCADO!A:B,2,0)</f>
        <v>Empreendedor</v>
      </c>
      <c r="E1330" t="str">
        <f>_xlfn.XLOOKUP(A1330, ORIGEM!A:A, ORIGEM!B:B)</f>
        <v>Google</v>
      </c>
      <c r="F1330" t="str">
        <f>_xlfn.XLOOKUP(A1330, ORIGEM!A:A, ORIGEM!C:C)</f>
        <v>google - cpc</v>
      </c>
      <c r="G1330" t="str">
        <f>_xlfn.XLOOKUP(A1330, LOCAL!A:A, LOCAL!B:B)</f>
        <v>São Paulo - SP</v>
      </c>
      <c r="H1330" t="str">
        <f>_xlfn.XLOOKUP(A1330, PORTE!A:A, PORTE!B:B)</f>
        <v>0</v>
      </c>
      <c r="I1330" t="str">
        <f>_xlfn.XLOOKUP(A1330, OBJETIVO!A:A, OBJETIVO!B:B)</f>
        <v>Abertura/Expansão</v>
      </c>
      <c r="J1330">
        <f t="shared" si="20"/>
        <v>0</v>
      </c>
    </row>
    <row r="1331" spans="1:10" x14ac:dyDescent="0.25">
      <c r="A1331">
        <v>11927761</v>
      </c>
      <c r="B1331" s="1">
        <v>45756.432500000003</v>
      </c>
      <c r="C1331" t="s">
        <v>0</v>
      </c>
      <c r="D1331" t="str">
        <f>VLOOKUP(A1331,MERCADO!A:B,2,0)</f>
        <v>Empreendedor</v>
      </c>
      <c r="E1331" t="str">
        <f>_xlfn.XLOOKUP(A1331, ORIGEM!A:A, ORIGEM!B:B)</f>
        <v>Google</v>
      </c>
      <c r="F1331" t="str">
        <f>_xlfn.XLOOKUP(A1331, ORIGEM!A:A, ORIGEM!C:C)</f>
        <v>google - cpc</v>
      </c>
      <c r="G1331" t="str">
        <f>_xlfn.XLOOKUP(A1331, LOCAL!A:A, LOCAL!B:B)</f>
        <v>Santo André - SP</v>
      </c>
      <c r="H1331" t="str">
        <f>_xlfn.XLOOKUP(A1331, PORTE!A:A, PORTE!B:B)</f>
        <v>0</v>
      </c>
      <c r="I1331" t="str">
        <f>_xlfn.XLOOKUP(A1331, OBJETIVO!A:A, OBJETIVO!B:B)</f>
        <v>Outro</v>
      </c>
      <c r="J1331">
        <f t="shared" si="20"/>
        <v>0</v>
      </c>
    </row>
    <row r="1332" spans="1:10" x14ac:dyDescent="0.25">
      <c r="A1332">
        <v>11925799</v>
      </c>
      <c r="B1332" s="1">
        <v>45756.370636574073</v>
      </c>
      <c r="C1332" t="s">
        <v>0</v>
      </c>
      <c r="D1332" t="str">
        <f>VLOOKUP(A1332,MERCADO!A:B,2,0)</f>
        <v>Empreendedor</v>
      </c>
      <c r="E1332" t="str">
        <f>_xlfn.XLOOKUP(A1332, ORIGEM!A:A, ORIGEM!B:B)</f>
        <v>Google</v>
      </c>
      <c r="F1332" t="str">
        <f>_xlfn.XLOOKUP(A1332, ORIGEM!A:A, ORIGEM!C:C)</f>
        <v>google - cpc</v>
      </c>
      <c r="G1332" t="str">
        <f>_xlfn.XLOOKUP(A1332, LOCAL!A:A, LOCAL!B:B)</f>
        <v>Porto Alegre - RS</v>
      </c>
      <c r="H1332" t="str">
        <f>_xlfn.XLOOKUP(A1332, PORTE!A:A, PORTE!B:B)</f>
        <v>0</v>
      </c>
      <c r="I1332" t="str">
        <f>_xlfn.XLOOKUP(A1332, OBJETIVO!A:A, OBJETIVO!B:B)</f>
        <v>Abertura/Expansão</v>
      </c>
      <c r="J1332">
        <f t="shared" si="20"/>
        <v>0</v>
      </c>
    </row>
    <row r="1333" spans="1:10" x14ac:dyDescent="0.25">
      <c r="A1333">
        <v>11600105</v>
      </c>
      <c r="B1333" s="1">
        <v>45726.528148148151</v>
      </c>
      <c r="C1333" t="s">
        <v>0</v>
      </c>
      <c r="D1333" t="str">
        <f>VLOOKUP(A1333,MERCADO!A:B,2,0)</f>
        <v>Empreendedor</v>
      </c>
      <c r="E1333" t="str">
        <f>_xlfn.XLOOKUP(A1333, ORIGEM!A:A, ORIGEM!B:B)</f>
        <v>Facebook</v>
      </c>
      <c r="F1333" t="str">
        <f>_xlfn.XLOOKUP(A1333, ORIGEM!A:A, ORIGEM!C:C)</f>
        <v>facebook - cpc</v>
      </c>
      <c r="G1333" t="str">
        <f>_xlfn.XLOOKUP(A1333, LOCAL!A:A, LOCAL!B:B)</f>
        <v>São Paulo - SP</v>
      </c>
      <c r="H1333" t="str">
        <f>_xlfn.XLOOKUP(A1333, PORTE!A:A, PORTE!B:B)</f>
        <v>0</v>
      </c>
      <c r="I1333" t="str">
        <f>_xlfn.XLOOKUP(A1333, OBJETIVO!A:A, OBJETIVO!B:B)</f>
        <v>Outro</v>
      </c>
      <c r="J1333">
        <f t="shared" si="20"/>
        <v>0</v>
      </c>
    </row>
    <row r="1334" spans="1:10" x14ac:dyDescent="0.25">
      <c r="A1334">
        <v>11600363</v>
      </c>
      <c r="B1334" s="1">
        <v>45726.55097222222</v>
      </c>
      <c r="C1334" t="s">
        <v>0</v>
      </c>
      <c r="D1334" t="str">
        <f>VLOOKUP(A1334,MERCADO!A:B,2,0)</f>
        <v>Empreendedor</v>
      </c>
      <c r="E1334" t="str">
        <f>_xlfn.XLOOKUP(A1334, ORIGEM!A:A, ORIGEM!B:B)</f>
        <v>Facebook</v>
      </c>
      <c r="F1334" t="str">
        <f>_xlfn.XLOOKUP(A1334, ORIGEM!A:A, ORIGEM!C:C)</f>
        <v>facebook - cpc</v>
      </c>
      <c r="G1334" t="str">
        <f>_xlfn.XLOOKUP(A1334, LOCAL!A:A, LOCAL!B:B)</f>
        <v>Recife - PE</v>
      </c>
      <c r="H1334" t="str">
        <f>_xlfn.XLOOKUP(A1334, PORTE!A:A, PORTE!B:B)</f>
        <v>0</v>
      </c>
      <c r="I1334" t="str">
        <f>_xlfn.XLOOKUP(A1334, OBJETIVO!A:A, OBJETIVO!B:B)</f>
        <v>Ações de marketing/vendas</v>
      </c>
      <c r="J1334">
        <f t="shared" si="20"/>
        <v>0</v>
      </c>
    </row>
    <row r="1335" spans="1:10" x14ac:dyDescent="0.25">
      <c r="A1335">
        <v>11593118</v>
      </c>
      <c r="B1335" s="1">
        <v>45725.99664351852</v>
      </c>
      <c r="C1335" t="s">
        <v>0</v>
      </c>
      <c r="D1335" t="str">
        <f>VLOOKUP(A1335,MERCADO!A:B,2,0)</f>
        <v>Empreendedor</v>
      </c>
      <c r="E1335" t="str">
        <f>_xlfn.XLOOKUP(A1335, ORIGEM!A:A, ORIGEM!B:B)</f>
        <v>Facebook</v>
      </c>
      <c r="F1335" t="str">
        <f>_xlfn.XLOOKUP(A1335, ORIGEM!A:A, ORIGEM!C:C)</f>
        <v>facebook - cpc</v>
      </c>
      <c r="G1335" t="str">
        <f>_xlfn.XLOOKUP(A1335, LOCAL!A:A, LOCAL!B:B)</f>
        <v>Santo André - SP</v>
      </c>
      <c r="H1335" t="str">
        <f>_xlfn.XLOOKUP(A1335, PORTE!A:A, PORTE!B:B)</f>
        <v>0</v>
      </c>
      <c r="I1335" t="str">
        <f>_xlfn.XLOOKUP(A1335, OBJETIVO!A:A, OBJETIVO!B:B)</f>
        <v>Abertura/Expansão</v>
      </c>
      <c r="J1335">
        <f t="shared" si="20"/>
        <v>0</v>
      </c>
    </row>
    <row r="1336" spans="1:10" x14ac:dyDescent="0.25">
      <c r="A1336">
        <v>11543721</v>
      </c>
      <c r="B1336" s="1">
        <v>45720.993726851855</v>
      </c>
      <c r="C1336" t="s">
        <v>0</v>
      </c>
      <c r="D1336" t="str">
        <f>VLOOKUP(A1336,MERCADO!A:B,2,0)</f>
        <v>Empreendedor</v>
      </c>
      <c r="E1336" t="str">
        <f>_xlfn.XLOOKUP(A1336, ORIGEM!A:A, ORIGEM!B:B)</f>
        <v>Facebook</v>
      </c>
      <c r="F1336" t="str">
        <f>_xlfn.XLOOKUP(A1336, ORIGEM!A:A, ORIGEM!C:C)</f>
        <v>facebook - cpc</v>
      </c>
      <c r="G1336" t="str">
        <f>_xlfn.XLOOKUP(A1336, LOCAL!A:A, LOCAL!B:B)</f>
        <v>Florianópolis - SC</v>
      </c>
      <c r="H1336" t="str">
        <f>_xlfn.XLOOKUP(A1336, PORTE!A:A, PORTE!B:B)</f>
        <v>1-10</v>
      </c>
      <c r="I1336" t="str">
        <f>_xlfn.XLOOKUP(A1336, OBJETIVO!A:A, OBJETIVO!B:B)</f>
        <v>Ações de marketing/vendas</v>
      </c>
      <c r="J1336">
        <f t="shared" si="20"/>
        <v>0</v>
      </c>
    </row>
    <row r="1337" spans="1:10" x14ac:dyDescent="0.25">
      <c r="A1337">
        <v>11543815</v>
      </c>
      <c r="B1337" s="1">
        <v>45721.033958333333</v>
      </c>
      <c r="C1337" t="s">
        <v>0</v>
      </c>
      <c r="D1337" t="str">
        <f>VLOOKUP(A1337,MERCADO!A:B,2,0)</f>
        <v>Empreendedor</v>
      </c>
      <c r="E1337" t="str">
        <f>_xlfn.XLOOKUP(A1337, ORIGEM!A:A, ORIGEM!B:B)</f>
        <v>Facebook</v>
      </c>
      <c r="F1337" t="str">
        <f>_xlfn.XLOOKUP(A1337, ORIGEM!A:A, ORIGEM!C:C)</f>
        <v>facebook - cpc</v>
      </c>
      <c r="G1337" t="str">
        <f>_xlfn.XLOOKUP(A1337, LOCAL!A:A, LOCAL!B:B)</f>
        <v>Porto Alegre - RS</v>
      </c>
      <c r="H1337" t="str">
        <f>_xlfn.XLOOKUP(A1337, PORTE!A:A, PORTE!B:B)</f>
        <v>1-10</v>
      </c>
      <c r="I1337" t="str">
        <f>_xlfn.XLOOKUP(A1337, OBJETIVO!A:A, OBJETIVO!B:B)</f>
        <v>Geração de leads b2b</v>
      </c>
      <c r="J1337">
        <f t="shared" si="20"/>
        <v>0</v>
      </c>
    </row>
    <row r="1338" spans="1:10" x14ac:dyDescent="0.25">
      <c r="A1338">
        <v>11543517</v>
      </c>
      <c r="B1338" s="1">
        <v>45720.933530092596</v>
      </c>
      <c r="C1338" t="s">
        <v>0</v>
      </c>
      <c r="D1338" t="str">
        <f>VLOOKUP(A1338,MERCADO!A:B,2,0)</f>
        <v>Empreendedor</v>
      </c>
      <c r="E1338" t="str">
        <f>_xlfn.XLOOKUP(A1338, ORIGEM!A:A, ORIGEM!B:B)</f>
        <v>Facebook</v>
      </c>
      <c r="F1338" t="str">
        <f>_xlfn.XLOOKUP(A1338, ORIGEM!A:A, ORIGEM!C:C)</f>
        <v>facebook - cpc</v>
      </c>
      <c r="G1338" t="str">
        <f>_xlfn.XLOOKUP(A1338, LOCAL!A:A, LOCAL!B:B)</f>
        <v>Goiânia - GO</v>
      </c>
      <c r="H1338" t="str">
        <f>_xlfn.XLOOKUP(A1338, PORTE!A:A, PORTE!B:B)</f>
        <v>1-10</v>
      </c>
      <c r="I1338" t="str">
        <f>_xlfn.XLOOKUP(A1338, OBJETIVO!A:A, OBJETIVO!B:B)</f>
        <v>Ações de marketing/vendas</v>
      </c>
      <c r="J1338">
        <f t="shared" si="20"/>
        <v>0</v>
      </c>
    </row>
    <row r="1339" spans="1:10" x14ac:dyDescent="0.25">
      <c r="A1339">
        <v>11543679</v>
      </c>
      <c r="B1339" s="1">
        <v>45720.979166666664</v>
      </c>
      <c r="C1339" t="s">
        <v>0</v>
      </c>
      <c r="D1339" t="str">
        <f>VLOOKUP(A1339,MERCADO!A:B,2,0)</f>
        <v>Empreendedor</v>
      </c>
      <c r="E1339" t="str">
        <f>_xlfn.XLOOKUP(A1339, ORIGEM!A:A, ORIGEM!B:B)</f>
        <v>Facebook</v>
      </c>
      <c r="F1339" t="str">
        <f>_xlfn.XLOOKUP(A1339, ORIGEM!A:A, ORIGEM!C:C)</f>
        <v>facebook - cpc</v>
      </c>
      <c r="G1339" t="str">
        <f>_xlfn.XLOOKUP(A1339, LOCAL!A:A, LOCAL!B:B)</f>
        <v>Alto Araguaia - MT</v>
      </c>
      <c r="H1339" t="str">
        <f>_xlfn.XLOOKUP(A1339, PORTE!A:A, PORTE!B:B)</f>
        <v>0</v>
      </c>
      <c r="I1339" t="str">
        <f>_xlfn.XLOOKUP(A1339, OBJETIVO!A:A, OBJETIVO!B:B)</f>
        <v>Ações de marketing/vendas</v>
      </c>
      <c r="J1339">
        <f t="shared" si="20"/>
        <v>0</v>
      </c>
    </row>
    <row r="1340" spans="1:10" x14ac:dyDescent="0.25">
      <c r="A1340">
        <v>11548811</v>
      </c>
      <c r="B1340" s="1">
        <v>45721.43</v>
      </c>
      <c r="C1340" t="s">
        <v>0</v>
      </c>
      <c r="D1340" t="str">
        <f>VLOOKUP(A1340,MERCADO!A:B,2,0)</f>
        <v>Empreendedor</v>
      </c>
      <c r="E1340" t="str">
        <f>_xlfn.XLOOKUP(A1340, ORIGEM!A:A, ORIGEM!B:B)</f>
        <v>Facebook</v>
      </c>
      <c r="F1340" t="str">
        <f>_xlfn.XLOOKUP(A1340, ORIGEM!A:A, ORIGEM!C:C)</f>
        <v>facebook - cpc</v>
      </c>
      <c r="G1340" t="str">
        <f>_xlfn.XLOOKUP(A1340, LOCAL!A:A, LOCAL!B:B)</f>
        <v>Taubate - SP</v>
      </c>
      <c r="H1340" t="str">
        <f>_xlfn.XLOOKUP(A1340, PORTE!A:A, PORTE!B:B)</f>
        <v>0</v>
      </c>
      <c r="I1340" t="str">
        <f>_xlfn.XLOOKUP(A1340, OBJETIVO!A:A, OBJETIVO!B:B)</f>
        <v>Ações de marketing/vendas</v>
      </c>
      <c r="J1340">
        <f t="shared" si="20"/>
        <v>0</v>
      </c>
    </row>
    <row r="1341" spans="1:10" x14ac:dyDescent="0.25">
      <c r="A1341">
        <v>11551054</v>
      </c>
      <c r="B1341" s="1">
        <v>45721.491516203707</v>
      </c>
      <c r="C1341" t="s">
        <v>0</v>
      </c>
      <c r="D1341" t="str">
        <f>VLOOKUP(A1341,MERCADO!A:B,2,0)</f>
        <v>Empreendedor</v>
      </c>
      <c r="E1341" t="str">
        <f>_xlfn.XLOOKUP(A1341, ORIGEM!A:A, ORIGEM!B:B)</f>
        <v>Facebook</v>
      </c>
      <c r="F1341" t="str">
        <f>_xlfn.XLOOKUP(A1341, ORIGEM!A:A, ORIGEM!C:C)</f>
        <v>facebook - cpc</v>
      </c>
      <c r="G1341" t="str">
        <f>_xlfn.XLOOKUP(A1341, LOCAL!A:A, LOCAL!B:B)</f>
        <v>Duque de Caxias - RJ</v>
      </c>
      <c r="H1341" t="str">
        <f>_xlfn.XLOOKUP(A1341, PORTE!A:A, PORTE!B:B)</f>
        <v>0</v>
      </c>
      <c r="I1341" t="str">
        <f>_xlfn.XLOOKUP(A1341, OBJETIVO!A:A, OBJETIVO!B:B)</f>
        <v>Ações de marketing/vendas</v>
      </c>
      <c r="J1341">
        <f t="shared" si="20"/>
        <v>0</v>
      </c>
    </row>
    <row r="1342" spans="1:10" x14ac:dyDescent="0.25">
      <c r="A1342">
        <v>11554257</v>
      </c>
      <c r="B1342" s="1">
        <v>45721.627326388887</v>
      </c>
      <c r="C1342" t="s">
        <v>0</v>
      </c>
      <c r="D1342" t="str">
        <f>VLOOKUP(A1342,MERCADO!A:B,2,0)</f>
        <v>Empreendedor</v>
      </c>
      <c r="E1342" t="str">
        <f>_xlfn.XLOOKUP(A1342, ORIGEM!A:A, ORIGEM!B:B)</f>
        <v>Facebook</v>
      </c>
      <c r="F1342" t="str">
        <f>_xlfn.XLOOKUP(A1342, ORIGEM!A:A, ORIGEM!C:C)</f>
        <v>facebook - cpc</v>
      </c>
      <c r="G1342" t="str">
        <f>_xlfn.XLOOKUP(A1342, LOCAL!A:A, LOCAL!B:B)</f>
        <v>Campos dos Goytacazes - RJ</v>
      </c>
      <c r="H1342" t="str">
        <f>_xlfn.XLOOKUP(A1342, PORTE!A:A, PORTE!B:B)</f>
        <v>0</v>
      </c>
      <c r="I1342" t="str">
        <f>_xlfn.XLOOKUP(A1342, OBJETIVO!A:A, OBJETIVO!B:B)</f>
        <v>Ações de marketing/vendas</v>
      </c>
      <c r="J1342">
        <f t="shared" si="20"/>
        <v>0</v>
      </c>
    </row>
    <row r="1343" spans="1:10" x14ac:dyDescent="0.25">
      <c r="A1343">
        <v>11555555</v>
      </c>
      <c r="B1343" s="1">
        <v>45721.675092592595</v>
      </c>
      <c r="C1343" t="s">
        <v>0</v>
      </c>
      <c r="D1343" t="str">
        <f>VLOOKUP(A1343,MERCADO!A:B,2,0)</f>
        <v>Empreendedor</v>
      </c>
      <c r="E1343" t="str">
        <f>_xlfn.XLOOKUP(A1343, ORIGEM!A:A, ORIGEM!B:B)</f>
        <v>Facebook</v>
      </c>
      <c r="F1343" t="str">
        <f>_xlfn.XLOOKUP(A1343, ORIGEM!A:A, ORIGEM!C:C)</f>
        <v>facebook - cpc</v>
      </c>
      <c r="G1343" t="str">
        <f>_xlfn.XLOOKUP(A1343, LOCAL!A:A, LOCAL!B:B)</f>
        <v>Rio de Janeiro - RJ</v>
      </c>
      <c r="H1343" t="str">
        <f>_xlfn.XLOOKUP(A1343, PORTE!A:A, PORTE!B:B)</f>
        <v>0</v>
      </c>
      <c r="I1343" t="str">
        <f>_xlfn.XLOOKUP(A1343, OBJETIVO!A:A, OBJETIVO!B:B)</f>
        <v>Ações de marketing/vendas</v>
      </c>
      <c r="J1343">
        <f t="shared" si="20"/>
        <v>0</v>
      </c>
    </row>
    <row r="1344" spans="1:10" x14ac:dyDescent="0.25">
      <c r="A1344">
        <v>11556695</v>
      </c>
      <c r="B1344" s="1">
        <v>45721.739710648151</v>
      </c>
      <c r="C1344" t="s">
        <v>0</v>
      </c>
      <c r="D1344" t="str">
        <f>VLOOKUP(A1344,MERCADO!A:B,2,0)</f>
        <v>Empreendedor</v>
      </c>
      <c r="E1344" t="str">
        <f>_xlfn.XLOOKUP(A1344, ORIGEM!A:A, ORIGEM!B:B)</f>
        <v>Facebook</v>
      </c>
      <c r="F1344" t="str">
        <f>_xlfn.XLOOKUP(A1344, ORIGEM!A:A, ORIGEM!C:C)</f>
        <v>facebook - cpc</v>
      </c>
      <c r="G1344" t="str">
        <f>_xlfn.XLOOKUP(A1344, LOCAL!A:A, LOCAL!B:B)</f>
        <v>Sumaré - SP</v>
      </c>
      <c r="H1344" t="str">
        <f>_xlfn.XLOOKUP(A1344, PORTE!A:A, PORTE!B:B)</f>
        <v>1-10</v>
      </c>
      <c r="I1344" t="str">
        <f>_xlfn.XLOOKUP(A1344, OBJETIVO!A:A, OBJETIVO!B:B)</f>
        <v>Geração de leads b2b</v>
      </c>
      <c r="J1344">
        <f t="shared" si="20"/>
        <v>0</v>
      </c>
    </row>
    <row r="1345" spans="1:10" x14ac:dyDescent="0.25">
      <c r="A1345">
        <v>11557008</v>
      </c>
      <c r="B1345" s="1">
        <v>45721.770833333336</v>
      </c>
      <c r="C1345" t="s">
        <v>0</v>
      </c>
      <c r="D1345" t="str">
        <f>VLOOKUP(A1345,MERCADO!A:B,2,0)</f>
        <v>Empreendedor</v>
      </c>
      <c r="E1345" t="str">
        <f>_xlfn.XLOOKUP(A1345, ORIGEM!A:A, ORIGEM!B:B)</f>
        <v>Facebook</v>
      </c>
      <c r="F1345" t="str">
        <f>_xlfn.XLOOKUP(A1345, ORIGEM!A:A, ORIGEM!C:C)</f>
        <v>facebook - cpc</v>
      </c>
      <c r="G1345" t="str">
        <f>_xlfn.XLOOKUP(A1345, LOCAL!A:A, LOCAL!B:B)</f>
        <v>Maua - SP</v>
      </c>
      <c r="H1345" t="str">
        <f>_xlfn.XLOOKUP(A1345, PORTE!A:A, PORTE!B:B)</f>
        <v>0</v>
      </c>
      <c r="I1345" t="str">
        <f>_xlfn.XLOOKUP(A1345, OBJETIVO!A:A, OBJETIVO!B:B)</f>
        <v>Abertura/Expansão</v>
      </c>
      <c r="J1345">
        <f t="shared" si="20"/>
        <v>0</v>
      </c>
    </row>
    <row r="1346" spans="1:10" x14ac:dyDescent="0.25">
      <c r="A1346">
        <v>11612198</v>
      </c>
      <c r="B1346" s="1">
        <v>45727.545266203706</v>
      </c>
      <c r="C1346" t="s">
        <v>0</v>
      </c>
      <c r="D1346" t="str">
        <f>VLOOKUP(A1346,MERCADO!A:B,2,0)</f>
        <v>Empreendedor</v>
      </c>
      <c r="E1346" t="str">
        <f>_xlfn.XLOOKUP(A1346, ORIGEM!A:A, ORIGEM!B:B)</f>
        <v>Facebook</v>
      </c>
      <c r="F1346" t="str">
        <f>_xlfn.XLOOKUP(A1346, ORIGEM!A:A, ORIGEM!C:C)</f>
        <v>facebook - cpc</v>
      </c>
      <c r="G1346" t="str">
        <f>_xlfn.XLOOKUP(A1346, LOCAL!A:A, LOCAL!B:B)</f>
        <v>Joinville - SC</v>
      </c>
      <c r="H1346" t="str">
        <f>_xlfn.XLOOKUP(A1346, PORTE!A:A, PORTE!B:B)</f>
        <v>0</v>
      </c>
      <c r="I1346" t="str">
        <f>_xlfn.XLOOKUP(A1346, OBJETIVO!A:A, OBJETIVO!B:B)</f>
        <v>Outro</v>
      </c>
      <c r="J1346">
        <f t="shared" si="20"/>
        <v>0</v>
      </c>
    </row>
    <row r="1347" spans="1:10" x14ac:dyDescent="0.25">
      <c r="A1347">
        <v>11613069</v>
      </c>
      <c r="B1347" s="1">
        <v>45727.602685185186</v>
      </c>
      <c r="C1347" t="s">
        <v>0</v>
      </c>
      <c r="D1347" t="str">
        <f>VLOOKUP(A1347,MERCADO!A:B,2,0)</f>
        <v>Empreendedor</v>
      </c>
      <c r="E1347" t="str">
        <f>_xlfn.XLOOKUP(A1347, ORIGEM!A:A, ORIGEM!B:B)</f>
        <v>Facebook</v>
      </c>
      <c r="F1347" t="str">
        <f>_xlfn.XLOOKUP(A1347, ORIGEM!A:A, ORIGEM!C:C)</f>
        <v>facebook - cpc</v>
      </c>
      <c r="G1347" t="str">
        <f>_xlfn.XLOOKUP(A1347, LOCAL!A:A, LOCAL!B:B)</f>
        <v>Braganca - PA</v>
      </c>
      <c r="H1347" t="str">
        <f>_xlfn.XLOOKUP(A1347, PORTE!A:A, PORTE!B:B)</f>
        <v>1-10</v>
      </c>
      <c r="I1347" t="str">
        <f>_xlfn.XLOOKUP(A1347, OBJETIVO!A:A, OBJETIVO!B:B)</f>
        <v>Outro</v>
      </c>
      <c r="J1347">
        <f t="shared" ref="J1347:J1410" si="21">IF(C1347="SIM",1,0)</f>
        <v>0</v>
      </c>
    </row>
    <row r="1348" spans="1:10" x14ac:dyDescent="0.25">
      <c r="A1348">
        <v>11616837</v>
      </c>
      <c r="B1348" s="1">
        <v>45727.789837962962</v>
      </c>
      <c r="C1348" t="s">
        <v>0</v>
      </c>
      <c r="D1348" t="str">
        <f>VLOOKUP(A1348,MERCADO!A:B,2,0)</f>
        <v>Empreendedor</v>
      </c>
      <c r="E1348" t="str">
        <f>_xlfn.XLOOKUP(A1348, ORIGEM!A:A, ORIGEM!B:B)</f>
        <v>Facebook</v>
      </c>
      <c r="F1348" t="str">
        <f>_xlfn.XLOOKUP(A1348, ORIGEM!A:A, ORIGEM!C:C)</f>
        <v>facebook - cpc</v>
      </c>
      <c r="G1348" t="str">
        <f>_xlfn.XLOOKUP(A1348, LOCAL!A:A, LOCAL!B:B)</f>
        <v>São Paulo - SP</v>
      </c>
      <c r="H1348" t="str">
        <f>_xlfn.XLOOKUP(A1348, PORTE!A:A, PORTE!B:B)</f>
        <v>0</v>
      </c>
      <c r="I1348" t="str">
        <f>_xlfn.XLOOKUP(A1348, OBJETIVO!A:A, OBJETIVO!B:B)</f>
        <v>Ações de marketing/vendas</v>
      </c>
      <c r="J1348">
        <f t="shared" si="21"/>
        <v>0</v>
      </c>
    </row>
    <row r="1349" spans="1:10" x14ac:dyDescent="0.25">
      <c r="A1349">
        <v>11616890</v>
      </c>
      <c r="B1349" s="1">
        <v>45727.800810185188</v>
      </c>
      <c r="C1349" t="s">
        <v>0</v>
      </c>
      <c r="D1349" t="str">
        <f>VLOOKUP(A1349,MERCADO!A:B,2,0)</f>
        <v>Empreendedor</v>
      </c>
      <c r="E1349" t="str">
        <f>_xlfn.XLOOKUP(A1349, ORIGEM!A:A, ORIGEM!B:B)</f>
        <v>Facebook</v>
      </c>
      <c r="F1349" t="str">
        <f>_xlfn.XLOOKUP(A1349, ORIGEM!A:A, ORIGEM!C:C)</f>
        <v>facebook - cpc</v>
      </c>
      <c r="G1349" t="str">
        <f>_xlfn.XLOOKUP(A1349, LOCAL!A:A, LOCAL!B:B)</f>
        <v>São Paulo - SP</v>
      </c>
      <c r="H1349" t="str">
        <f>_xlfn.XLOOKUP(A1349, PORTE!A:A, PORTE!B:B)</f>
        <v>0</v>
      </c>
      <c r="I1349" t="str">
        <f>_xlfn.XLOOKUP(A1349, OBJETIVO!A:A, OBJETIVO!B:B)</f>
        <v>Ações de marketing/vendas</v>
      </c>
      <c r="J1349">
        <f t="shared" si="21"/>
        <v>0</v>
      </c>
    </row>
    <row r="1350" spans="1:10" x14ac:dyDescent="0.25">
      <c r="A1350">
        <v>11622611</v>
      </c>
      <c r="B1350" s="1">
        <v>45728.465092592596</v>
      </c>
      <c r="C1350" t="s">
        <v>0</v>
      </c>
      <c r="D1350" t="str">
        <f>VLOOKUP(A1350,MERCADO!A:B,2,0)</f>
        <v>Empreendedor</v>
      </c>
      <c r="E1350" t="str">
        <f>_xlfn.XLOOKUP(A1350, ORIGEM!A:A, ORIGEM!B:B)</f>
        <v>Facebook</v>
      </c>
      <c r="F1350" t="str">
        <f>_xlfn.XLOOKUP(A1350, ORIGEM!A:A, ORIGEM!C:C)</f>
        <v>facebook - cpc</v>
      </c>
      <c r="G1350" t="str">
        <f>_xlfn.XLOOKUP(A1350, LOCAL!A:A, LOCAL!B:B)</f>
        <v>Rio de Janeiro - RJ</v>
      </c>
      <c r="H1350" t="str">
        <f>_xlfn.XLOOKUP(A1350, PORTE!A:A, PORTE!B:B)</f>
        <v>0</v>
      </c>
      <c r="I1350" t="str">
        <f>_xlfn.XLOOKUP(A1350, OBJETIVO!A:A, OBJETIVO!B:B)</f>
        <v>Ações de marketing/vendas</v>
      </c>
      <c r="J1350">
        <f t="shared" si="21"/>
        <v>0</v>
      </c>
    </row>
    <row r="1351" spans="1:10" x14ac:dyDescent="0.25">
      <c r="A1351">
        <v>11627170</v>
      </c>
      <c r="B1351" s="1">
        <v>45728.63486111111</v>
      </c>
      <c r="C1351" t="s">
        <v>0</v>
      </c>
      <c r="D1351" t="str">
        <f>VLOOKUP(A1351,MERCADO!A:B,2,0)</f>
        <v>Empreendedor</v>
      </c>
      <c r="E1351" t="str">
        <f>_xlfn.XLOOKUP(A1351, ORIGEM!A:A, ORIGEM!B:B)</f>
        <v>Facebook</v>
      </c>
      <c r="F1351" t="str">
        <f>_xlfn.XLOOKUP(A1351, ORIGEM!A:A, ORIGEM!C:C)</f>
        <v>facebook - cpc</v>
      </c>
      <c r="G1351" t="str">
        <f>_xlfn.XLOOKUP(A1351, LOCAL!A:A, LOCAL!B:B)</f>
        <v>Rio de Janeiro - RJ</v>
      </c>
      <c r="H1351" t="str">
        <f>_xlfn.XLOOKUP(A1351, PORTE!A:A, PORTE!B:B)</f>
        <v>301-1000</v>
      </c>
      <c r="I1351" t="str">
        <f>_xlfn.XLOOKUP(A1351, OBJETIVO!A:A, OBJETIVO!B:B)</f>
        <v>Geração de leads b2b</v>
      </c>
      <c r="J1351">
        <f t="shared" si="21"/>
        <v>0</v>
      </c>
    </row>
    <row r="1352" spans="1:10" x14ac:dyDescent="0.25">
      <c r="A1352">
        <v>11630049</v>
      </c>
      <c r="B1352" s="1">
        <v>45728.845092592594</v>
      </c>
      <c r="C1352" t="s">
        <v>0</v>
      </c>
      <c r="D1352" t="str">
        <f>VLOOKUP(A1352,MERCADO!A:B,2,0)</f>
        <v>Empreendedor</v>
      </c>
      <c r="E1352" t="str">
        <f>_xlfn.XLOOKUP(A1352, ORIGEM!A:A, ORIGEM!B:B)</f>
        <v>Facebook</v>
      </c>
      <c r="F1352" t="str">
        <f>_xlfn.XLOOKUP(A1352, ORIGEM!A:A, ORIGEM!C:C)</f>
        <v>facebook - cpc</v>
      </c>
      <c r="G1352" t="str">
        <f>_xlfn.XLOOKUP(A1352, LOCAL!A:A, LOCAL!B:B)</f>
        <v>Franca - SP</v>
      </c>
      <c r="H1352" t="str">
        <f>_xlfn.XLOOKUP(A1352, PORTE!A:A, PORTE!B:B)</f>
        <v>1-10</v>
      </c>
      <c r="I1352" t="str">
        <f>_xlfn.XLOOKUP(A1352, OBJETIVO!A:A, OBJETIVO!B:B)</f>
        <v>Planejamento estratégico</v>
      </c>
      <c r="J1352">
        <f t="shared" si="21"/>
        <v>0</v>
      </c>
    </row>
    <row r="1353" spans="1:10" x14ac:dyDescent="0.25">
      <c r="A1353">
        <v>11631525</v>
      </c>
      <c r="B1353" s="1">
        <v>45729.461111111108</v>
      </c>
      <c r="C1353" t="s">
        <v>0</v>
      </c>
      <c r="D1353" t="str">
        <f>VLOOKUP(A1353,MERCADO!A:B,2,0)</f>
        <v>Empreendedor</v>
      </c>
      <c r="E1353" t="str">
        <f>_xlfn.XLOOKUP(A1353, ORIGEM!A:A, ORIGEM!B:B)</f>
        <v>Facebook</v>
      </c>
      <c r="F1353" t="str">
        <f>_xlfn.XLOOKUP(A1353, ORIGEM!A:A, ORIGEM!C:C)</f>
        <v>facebook - cpc</v>
      </c>
      <c r="G1353" t="str">
        <f>_xlfn.XLOOKUP(A1353, LOCAL!A:A, LOCAL!B:B)</f>
        <v>Rio de Janeiro - RJ</v>
      </c>
      <c r="H1353" t="str">
        <f>_xlfn.XLOOKUP(A1353, PORTE!A:A, PORTE!B:B)</f>
        <v>0</v>
      </c>
      <c r="I1353" t="str">
        <f>_xlfn.XLOOKUP(A1353, OBJETIVO!A:A, OBJETIVO!B:B)</f>
        <v>Abertura/Expansão</v>
      </c>
      <c r="J1353">
        <f t="shared" si="21"/>
        <v>0</v>
      </c>
    </row>
    <row r="1354" spans="1:10" x14ac:dyDescent="0.25">
      <c r="A1354">
        <v>11681229</v>
      </c>
      <c r="B1354" s="1">
        <v>45733.92292824074</v>
      </c>
      <c r="C1354" t="s">
        <v>0</v>
      </c>
      <c r="D1354" t="str">
        <f>VLOOKUP(A1354,MERCADO!A:B,2,0)</f>
        <v>Empreendedor</v>
      </c>
      <c r="E1354" t="str">
        <f>_xlfn.XLOOKUP(A1354, ORIGEM!A:A, ORIGEM!B:B)</f>
        <v>Google</v>
      </c>
      <c r="F1354" t="str">
        <f>_xlfn.XLOOKUP(A1354, ORIGEM!A:A, ORIGEM!C:C)</f>
        <v>google - cpc</v>
      </c>
      <c r="G1354" t="str">
        <f>_xlfn.XLOOKUP(A1354, LOCAL!A:A, LOCAL!B:B)</f>
        <v>Recife - PE</v>
      </c>
      <c r="H1354" t="str">
        <f>_xlfn.XLOOKUP(A1354, PORTE!A:A, PORTE!B:B)</f>
        <v>0</v>
      </c>
      <c r="I1354" t="str">
        <f>_xlfn.XLOOKUP(A1354, OBJETIVO!A:A, OBJETIVO!B:B)</f>
        <v>Abertura/Expansão</v>
      </c>
      <c r="J1354">
        <f t="shared" si="21"/>
        <v>0</v>
      </c>
    </row>
    <row r="1355" spans="1:10" x14ac:dyDescent="0.25">
      <c r="A1355">
        <v>11683887</v>
      </c>
      <c r="B1355" s="1">
        <v>45734.396608796298</v>
      </c>
      <c r="C1355" t="s">
        <v>0</v>
      </c>
      <c r="D1355" t="str">
        <f>VLOOKUP(A1355,MERCADO!A:B,2,0)</f>
        <v>Empreendedor</v>
      </c>
      <c r="E1355" t="str">
        <f>_xlfn.XLOOKUP(A1355, ORIGEM!A:A, ORIGEM!B:B)</f>
        <v>Google</v>
      </c>
      <c r="F1355" t="str">
        <f>_xlfn.XLOOKUP(A1355, ORIGEM!A:A, ORIGEM!C:C)</f>
        <v>google - cpc</v>
      </c>
      <c r="G1355" t="str">
        <f>_xlfn.XLOOKUP(A1355, LOCAL!A:A, LOCAL!B:B)</f>
        <v>Recife - PE</v>
      </c>
      <c r="H1355" t="str">
        <f>_xlfn.XLOOKUP(A1355, PORTE!A:A, PORTE!B:B)</f>
        <v>0</v>
      </c>
      <c r="I1355" t="str">
        <f>_xlfn.XLOOKUP(A1355, OBJETIVO!A:A, OBJETIVO!B:B)</f>
        <v>Outro</v>
      </c>
      <c r="J1355">
        <f t="shared" si="21"/>
        <v>0</v>
      </c>
    </row>
    <row r="1356" spans="1:10" x14ac:dyDescent="0.25">
      <c r="A1356">
        <v>11967038</v>
      </c>
      <c r="B1356" s="1">
        <v>45760.507013888891</v>
      </c>
      <c r="C1356" t="s">
        <v>0</v>
      </c>
      <c r="D1356" t="str">
        <f>VLOOKUP(A1356,MERCADO!A:B,2,0)</f>
        <v>Empreendedor</v>
      </c>
      <c r="E1356" t="str">
        <f>_xlfn.XLOOKUP(A1356, ORIGEM!A:A, ORIGEM!B:B)</f>
        <v>Google</v>
      </c>
      <c r="F1356" t="str">
        <f>_xlfn.XLOOKUP(A1356, ORIGEM!A:A, ORIGEM!C:C)</f>
        <v>google - cpc</v>
      </c>
      <c r="G1356" t="str">
        <f>_xlfn.XLOOKUP(A1356, LOCAL!A:A, LOCAL!B:B)</f>
        <v>Baixa Grande - BA</v>
      </c>
      <c r="H1356" t="str">
        <f>_xlfn.XLOOKUP(A1356, PORTE!A:A, PORTE!B:B)</f>
        <v>0</v>
      </c>
      <c r="I1356" t="str">
        <f>_xlfn.XLOOKUP(A1356, OBJETIVO!A:A, OBJETIVO!B:B)</f>
        <v>Abertura/Expansão</v>
      </c>
      <c r="J1356">
        <f t="shared" si="21"/>
        <v>0</v>
      </c>
    </row>
    <row r="1357" spans="1:10" x14ac:dyDescent="0.25">
      <c r="A1357">
        <v>11891246</v>
      </c>
      <c r="B1357" s="1">
        <v>45753.750925925924</v>
      </c>
      <c r="C1357" t="s">
        <v>0</v>
      </c>
      <c r="D1357" t="str">
        <f>VLOOKUP(A1357,MERCADO!A:B,2,0)</f>
        <v>Empreendedor</v>
      </c>
      <c r="E1357" t="str">
        <f>_xlfn.XLOOKUP(A1357, ORIGEM!A:A, ORIGEM!B:B)</f>
        <v>Google</v>
      </c>
      <c r="F1357" t="str">
        <f>_xlfn.XLOOKUP(A1357, ORIGEM!A:A, ORIGEM!C:C)</f>
        <v>google - cpc</v>
      </c>
      <c r="G1357" t="str">
        <f>_xlfn.XLOOKUP(A1357, LOCAL!A:A, LOCAL!B:B)</f>
        <v>Campina Grande - PB</v>
      </c>
      <c r="H1357" t="str">
        <f>_xlfn.XLOOKUP(A1357, PORTE!A:A, PORTE!B:B)</f>
        <v>0</v>
      </c>
      <c r="I1357" t="str">
        <f>_xlfn.XLOOKUP(A1357, OBJETIVO!A:A, OBJETIVO!B:B)</f>
        <v>Outro</v>
      </c>
      <c r="J1357">
        <f t="shared" si="21"/>
        <v>0</v>
      </c>
    </row>
    <row r="1358" spans="1:10" x14ac:dyDescent="0.25">
      <c r="A1358">
        <v>11218881</v>
      </c>
      <c r="B1358" s="1">
        <v>45690.432488425926</v>
      </c>
      <c r="C1358" t="s">
        <v>0</v>
      </c>
      <c r="D1358" t="str">
        <f>VLOOKUP(A1358,MERCADO!A:B,2,0)</f>
        <v>Empreendedor</v>
      </c>
      <c r="E1358" t="str">
        <f>_xlfn.XLOOKUP(A1358, ORIGEM!A:A, ORIGEM!B:B)</f>
        <v>Google</v>
      </c>
      <c r="F1358" t="str">
        <f>_xlfn.XLOOKUP(A1358, ORIGEM!A:A, ORIGEM!C:C)</f>
        <v>google - cpc</v>
      </c>
      <c r="G1358" t="str">
        <f>_xlfn.XLOOKUP(A1358, LOCAL!A:A, LOCAL!B:B)</f>
        <v>Rio de Janeiro - RJ</v>
      </c>
      <c r="H1358" t="str">
        <f>_xlfn.XLOOKUP(A1358, PORTE!A:A, PORTE!B:B)</f>
        <v>51-300</v>
      </c>
      <c r="I1358" t="str">
        <f>_xlfn.XLOOKUP(A1358, OBJETIVO!A:A, OBJETIVO!B:B)</f>
        <v>Abertura/Expansão</v>
      </c>
      <c r="J1358">
        <f t="shared" si="21"/>
        <v>0</v>
      </c>
    </row>
    <row r="1359" spans="1:10" x14ac:dyDescent="0.25">
      <c r="A1359">
        <v>11048263</v>
      </c>
      <c r="B1359" s="1">
        <v>45676.809618055559</v>
      </c>
      <c r="C1359" t="s">
        <v>0</v>
      </c>
      <c r="D1359" t="str">
        <f>VLOOKUP(A1359,MERCADO!A:B,2,0)</f>
        <v>Empreendedor</v>
      </c>
      <c r="E1359" t="str">
        <f>_xlfn.XLOOKUP(A1359, ORIGEM!A:A, ORIGEM!B:B)</f>
        <v>Google</v>
      </c>
      <c r="F1359" t="str">
        <f>_xlfn.XLOOKUP(A1359, ORIGEM!A:A, ORIGEM!C:C)</f>
        <v>google - cpc</v>
      </c>
      <c r="G1359" t="str">
        <f>_xlfn.XLOOKUP(A1359, LOCAL!A:A, LOCAL!B:B)</f>
        <v>Itajaí - SC</v>
      </c>
      <c r="H1359" t="str">
        <f>_xlfn.XLOOKUP(A1359, PORTE!A:A, PORTE!B:B)</f>
        <v>1-10</v>
      </c>
      <c r="I1359" t="str">
        <f>_xlfn.XLOOKUP(A1359, OBJETIVO!A:A, OBJETIVO!B:B)</f>
        <v>Ações de marketing/vendas</v>
      </c>
      <c r="J1359">
        <f t="shared" si="21"/>
        <v>0</v>
      </c>
    </row>
    <row r="1360" spans="1:10" x14ac:dyDescent="0.25">
      <c r="A1360">
        <v>11047039</v>
      </c>
      <c r="B1360" s="1">
        <v>45676.707708333335</v>
      </c>
      <c r="C1360" t="s">
        <v>0</v>
      </c>
      <c r="D1360" t="str">
        <f>VLOOKUP(A1360,MERCADO!A:B,2,0)</f>
        <v>Empreendedor</v>
      </c>
      <c r="E1360" t="str">
        <f>_xlfn.XLOOKUP(A1360, ORIGEM!A:A, ORIGEM!B:B)</f>
        <v>Google</v>
      </c>
      <c r="F1360" t="str">
        <f>_xlfn.XLOOKUP(A1360, ORIGEM!A:A, ORIGEM!C:C)</f>
        <v>google - cpc</v>
      </c>
      <c r="G1360" t="str">
        <f>_xlfn.XLOOKUP(A1360, LOCAL!A:A, LOCAL!B:B)</f>
        <v>Salvador - BA</v>
      </c>
      <c r="H1360" t="str">
        <f>_xlfn.XLOOKUP(A1360, PORTE!A:A, PORTE!B:B)</f>
        <v>1-10</v>
      </c>
      <c r="I1360" t="str">
        <f>_xlfn.XLOOKUP(A1360, OBJETIVO!A:A, OBJETIVO!B:B)</f>
        <v>Planejamento estratégico</v>
      </c>
      <c r="J1360">
        <f t="shared" si="21"/>
        <v>0</v>
      </c>
    </row>
    <row r="1361" spans="1:10" x14ac:dyDescent="0.25">
      <c r="A1361">
        <v>11406886</v>
      </c>
      <c r="B1361" s="1">
        <v>45708.442731481482</v>
      </c>
      <c r="C1361" t="s">
        <v>0</v>
      </c>
      <c r="D1361" t="str">
        <f>VLOOKUP(A1361,MERCADO!A:B,2,0)</f>
        <v>Empreendedor</v>
      </c>
      <c r="E1361" t="str">
        <f>_xlfn.XLOOKUP(A1361, ORIGEM!A:A, ORIGEM!B:B)</f>
        <v>Facebook</v>
      </c>
      <c r="F1361" t="str">
        <f>_xlfn.XLOOKUP(A1361, ORIGEM!A:A, ORIGEM!C:C)</f>
        <v>facebook - cpc</v>
      </c>
      <c r="G1361" t="str">
        <f>_xlfn.XLOOKUP(A1361, LOCAL!A:A, LOCAL!B:B)</f>
        <v>Florianópolis - SC</v>
      </c>
      <c r="H1361" t="str">
        <f>_xlfn.XLOOKUP(A1361, PORTE!A:A, PORTE!B:B)</f>
        <v>0</v>
      </c>
      <c r="I1361" t="str">
        <f>_xlfn.XLOOKUP(A1361, OBJETIVO!A:A, OBJETIVO!B:B)</f>
        <v>Abertura/Expansão</v>
      </c>
      <c r="J1361">
        <f t="shared" si="21"/>
        <v>0</v>
      </c>
    </row>
    <row r="1362" spans="1:10" x14ac:dyDescent="0.25">
      <c r="A1362">
        <v>10667200</v>
      </c>
      <c r="B1362" s="1">
        <v>45635.600601851853</v>
      </c>
      <c r="C1362" t="s">
        <v>0</v>
      </c>
      <c r="D1362" t="str">
        <f>VLOOKUP(A1362,MERCADO!A:B,2,0)</f>
        <v>Empreendedor</v>
      </c>
      <c r="E1362" t="str">
        <f>_xlfn.XLOOKUP(A1362, ORIGEM!A:A, ORIGEM!B:B)</f>
        <v>rep</v>
      </c>
      <c r="F1362" t="str">
        <f>_xlfn.XLOOKUP(A1362, ORIGEM!A:A, ORIGEM!C:C)</f>
        <v>rep - juliana-gomes</v>
      </c>
      <c r="G1362" t="str">
        <f>_xlfn.XLOOKUP(A1362, LOCAL!A:A, LOCAL!B:B)</f>
        <v>Natal - RN</v>
      </c>
      <c r="H1362" t="str">
        <f>_xlfn.XLOOKUP(A1362, PORTE!A:A, PORTE!B:B)</f>
        <v>0</v>
      </c>
      <c r="I1362" t="str">
        <f>_xlfn.XLOOKUP(A1362, OBJETIVO!A:A, OBJETIVO!B:B)</f>
        <v>Geração de leads b2b</v>
      </c>
      <c r="J1362">
        <f t="shared" si="21"/>
        <v>0</v>
      </c>
    </row>
    <row r="1363" spans="1:10" x14ac:dyDescent="0.25">
      <c r="A1363">
        <v>11911048</v>
      </c>
      <c r="B1363" s="1">
        <v>45755.418773148151</v>
      </c>
      <c r="C1363" t="s">
        <v>0</v>
      </c>
      <c r="D1363" t="str">
        <f>VLOOKUP(A1363,MERCADO!A:B,2,0)</f>
        <v>Empreendedor</v>
      </c>
      <c r="E1363" t="str">
        <f>_xlfn.XLOOKUP(A1363, ORIGEM!A:A, ORIGEM!B:B)</f>
        <v>Google</v>
      </c>
      <c r="F1363" t="str">
        <f>_xlfn.XLOOKUP(A1363, ORIGEM!A:A, ORIGEM!C:C)</f>
        <v>google - cpc</v>
      </c>
      <c r="G1363" t="str">
        <f>_xlfn.XLOOKUP(A1363, LOCAL!A:A, LOCAL!B:B)</f>
        <v>São Paulo - SP</v>
      </c>
      <c r="H1363" t="str">
        <f>_xlfn.XLOOKUP(A1363, PORTE!A:A, PORTE!B:B)</f>
        <v>0</v>
      </c>
      <c r="I1363" t="str">
        <f>_xlfn.XLOOKUP(A1363, OBJETIVO!A:A, OBJETIVO!B:B)</f>
        <v>Geração de leads b2b</v>
      </c>
      <c r="J1363">
        <f t="shared" si="21"/>
        <v>0</v>
      </c>
    </row>
    <row r="1364" spans="1:10" x14ac:dyDescent="0.25">
      <c r="A1364">
        <v>11853229</v>
      </c>
      <c r="B1364" s="1">
        <v>45749.323865740742</v>
      </c>
      <c r="C1364" t="s">
        <v>0</v>
      </c>
      <c r="D1364" t="str">
        <f>VLOOKUP(A1364,MERCADO!A:B,2,0)</f>
        <v>Empreendedor</v>
      </c>
      <c r="E1364" t="str">
        <f>_xlfn.XLOOKUP(A1364, ORIGEM!A:A, ORIGEM!B:B)</f>
        <v>Google</v>
      </c>
      <c r="F1364" t="str">
        <f>_xlfn.XLOOKUP(A1364, ORIGEM!A:A, ORIGEM!C:C)</f>
        <v>google - cpc</v>
      </c>
      <c r="G1364" t="str">
        <f>_xlfn.XLOOKUP(A1364, LOCAL!A:A, LOCAL!B:B)</f>
        <v>Araguari - MG</v>
      </c>
      <c r="H1364" t="str">
        <f>_xlfn.XLOOKUP(A1364, PORTE!A:A, PORTE!B:B)</f>
        <v>1-10</v>
      </c>
      <c r="I1364" t="str">
        <f>_xlfn.XLOOKUP(A1364, OBJETIVO!A:A, OBJETIVO!B:B)</f>
        <v>Abertura/Expansão</v>
      </c>
      <c r="J1364">
        <f t="shared" si="21"/>
        <v>0</v>
      </c>
    </row>
    <row r="1365" spans="1:10" x14ac:dyDescent="0.25">
      <c r="A1365">
        <v>11856405</v>
      </c>
      <c r="B1365" s="1">
        <v>45750.016967592594</v>
      </c>
      <c r="C1365" t="s">
        <v>0</v>
      </c>
      <c r="D1365" t="str">
        <f>VLOOKUP(A1365,MERCADO!A:B,2,0)</f>
        <v>Empreendedor</v>
      </c>
      <c r="E1365" t="str">
        <f>_xlfn.XLOOKUP(A1365, ORIGEM!A:A, ORIGEM!B:B)</f>
        <v>Google</v>
      </c>
      <c r="F1365" t="str">
        <f>_xlfn.XLOOKUP(A1365, ORIGEM!A:A, ORIGEM!C:C)</f>
        <v>google - cpc</v>
      </c>
      <c r="G1365" t="str">
        <f>_xlfn.XLOOKUP(A1365, LOCAL!A:A, LOCAL!B:B)</f>
        <v>Belém - PA</v>
      </c>
      <c r="H1365" t="str">
        <f>_xlfn.XLOOKUP(A1365, PORTE!A:A, PORTE!B:B)</f>
        <v>1-10</v>
      </c>
      <c r="I1365" t="str">
        <f>_xlfn.XLOOKUP(A1365, OBJETIVO!A:A, OBJETIVO!B:B)</f>
        <v>Planejamento estratégico</v>
      </c>
      <c r="J1365">
        <f t="shared" si="21"/>
        <v>0</v>
      </c>
    </row>
    <row r="1366" spans="1:10" x14ac:dyDescent="0.25">
      <c r="A1366">
        <v>11858399</v>
      </c>
      <c r="B1366" s="1">
        <v>45750.784270833334</v>
      </c>
      <c r="C1366" t="s">
        <v>0</v>
      </c>
      <c r="D1366" t="str">
        <f>VLOOKUP(A1366,MERCADO!A:B,2,0)</f>
        <v>Empreendedor</v>
      </c>
      <c r="E1366" t="str">
        <f>_xlfn.XLOOKUP(A1366, ORIGEM!A:A, ORIGEM!B:B)</f>
        <v>Google</v>
      </c>
      <c r="F1366" t="str">
        <f>_xlfn.XLOOKUP(A1366, ORIGEM!A:A, ORIGEM!C:C)</f>
        <v>google - cpc</v>
      </c>
      <c r="G1366" t="str">
        <f>_xlfn.XLOOKUP(A1366, LOCAL!A:A, LOCAL!B:B)</f>
        <v>Rio de Janeiro - RJ</v>
      </c>
      <c r="H1366" t="str">
        <f>_xlfn.XLOOKUP(A1366, PORTE!A:A, PORTE!B:B)</f>
        <v>0</v>
      </c>
      <c r="I1366" t="str">
        <f>_xlfn.XLOOKUP(A1366, OBJETIVO!A:A, OBJETIVO!B:B)</f>
        <v>Abertura/Expansão</v>
      </c>
      <c r="J1366">
        <f t="shared" si="21"/>
        <v>0</v>
      </c>
    </row>
    <row r="1367" spans="1:10" x14ac:dyDescent="0.25">
      <c r="A1367">
        <v>11858400</v>
      </c>
      <c r="B1367" s="1">
        <v>45750.784282407411</v>
      </c>
      <c r="C1367" t="s">
        <v>0</v>
      </c>
      <c r="D1367" t="str">
        <f>VLOOKUP(A1367,MERCADO!A:B,2,0)</f>
        <v>Empreendedor</v>
      </c>
      <c r="E1367" t="str">
        <f>_xlfn.XLOOKUP(A1367, ORIGEM!A:A, ORIGEM!B:B)</f>
        <v>Google</v>
      </c>
      <c r="F1367" t="str">
        <f>_xlfn.XLOOKUP(A1367, ORIGEM!A:A, ORIGEM!C:C)</f>
        <v>google - cpc</v>
      </c>
      <c r="G1367" t="str">
        <f>_xlfn.XLOOKUP(A1367, LOCAL!A:A, LOCAL!B:B)</f>
        <v>Rio de Janeiro - RJ</v>
      </c>
      <c r="H1367" t="str">
        <f>_xlfn.XLOOKUP(A1367, PORTE!A:A, PORTE!B:B)</f>
        <v>0</v>
      </c>
      <c r="I1367" t="str">
        <f>_xlfn.XLOOKUP(A1367, OBJETIVO!A:A, OBJETIVO!B:B)</f>
        <v>Abertura/Expansão</v>
      </c>
      <c r="J1367">
        <f t="shared" si="21"/>
        <v>0</v>
      </c>
    </row>
    <row r="1368" spans="1:10" x14ac:dyDescent="0.25">
      <c r="A1368">
        <v>11858510</v>
      </c>
      <c r="B1368" s="1">
        <v>45750.821817129632</v>
      </c>
      <c r="C1368" t="s">
        <v>0</v>
      </c>
      <c r="D1368" t="str">
        <f>VLOOKUP(A1368,MERCADO!A:B,2,0)</f>
        <v>Empreendedor</v>
      </c>
      <c r="E1368" t="str">
        <f>_xlfn.XLOOKUP(A1368, ORIGEM!A:A, ORIGEM!B:B)</f>
        <v>Google</v>
      </c>
      <c r="F1368" t="str">
        <f>_xlfn.XLOOKUP(A1368, ORIGEM!A:A, ORIGEM!C:C)</f>
        <v>google - cpc</v>
      </c>
      <c r="G1368" t="str">
        <f>_xlfn.XLOOKUP(A1368, LOCAL!A:A, LOCAL!B:B)</f>
        <v>Camaragibe - PE</v>
      </c>
      <c r="H1368" t="str">
        <f>_xlfn.XLOOKUP(A1368, PORTE!A:A, PORTE!B:B)</f>
        <v>0</v>
      </c>
      <c r="I1368" t="str">
        <f>_xlfn.XLOOKUP(A1368, OBJETIVO!A:A, OBJETIVO!B:B)</f>
        <v>Abertura/Expansão</v>
      </c>
      <c r="J1368">
        <f t="shared" si="21"/>
        <v>0</v>
      </c>
    </row>
    <row r="1369" spans="1:10" x14ac:dyDescent="0.25">
      <c r="A1369">
        <v>11858333</v>
      </c>
      <c r="B1369" s="1">
        <v>45750.762291666666</v>
      </c>
      <c r="C1369" t="s">
        <v>0</v>
      </c>
      <c r="D1369" t="str">
        <f>VLOOKUP(A1369,MERCADO!A:B,2,0)</f>
        <v>Empreendedor</v>
      </c>
      <c r="E1369" t="str">
        <f>_xlfn.XLOOKUP(A1369, ORIGEM!A:A, ORIGEM!B:B)</f>
        <v>Google</v>
      </c>
      <c r="F1369" t="str">
        <f>_xlfn.XLOOKUP(A1369, ORIGEM!A:A, ORIGEM!C:C)</f>
        <v>google - cpc</v>
      </c>
      <c r="G1369" t="str">
        <f>_xlfn.XLOOKUP(A1369, LOCAL!A:A, LOCAL!B:B)</f>
        <v>Marialva - PR</v>
      </c>
      <c r="H1369" t="str">
        <f>_xlfn.XLOOKUP(A1369, PORTE!A:A, PORTE!B:B)</f>
        <v>0</v>
      </c>
      <c r="I1369" t="str">
        <f>_xlfn.XLOOKUP(A1369, OBJETIVO!A:A, OBJETIVO!B:B)</f>
        <v>Abertura/Expansão</v>
      </c>
      <c r="J1369">
        <f t="shared" si="21"/>
        <v>0</v>
      </c>
    </row>
    <row r="1370" spans="1:10" x14ac:dyDescent="0.25">
      <c r="A1370">
        <v>11860891</v>
      </c>
      <c r="B1370" s="1">
        <v>45751.871516203704</v>
      </c>
      <c r="C1370" t="s">
        <v>0</v>
      </c>
      <c r="D1370" t="str">
        <f>VLOOKUP(A1370,MERCADO!A:B,2,0)</f>
        <v>Empreendedor</v>
      </c>
      <c r="E1370" t="str">
        <f>_xlfn.XLOOKUP(A1370, ORIGEM!A:A, ORIGEM!B:B)</f>
        <v>Google</v>
      </c>
      <c r="F1370" t="str">
        <f>_xlfn.XLOOKUP(A1370, ORIGEM!A:A, ORIGEM!C:C)</f>
        <v>google - cpc</v>
      </c>
      <c r="G1370" t="str">
        <f>_xlfn.XLOOKUP(A1370, LOCAL!A:A, LOCAL!B:B)</f>
        <v>Serra - ES</v>
      </c>
      <c r="H1370" t="str">
        <f>_xlfn.XLOOKUP(A1370, PORTE!A:A, PORTE!B:B)</f>
        <v>0</v>
      </c>
      <c r="I1370" t="str">
        <f>_xlfn.XLOOKUP(A1370, OBJETIVO!A:A, OBJETIVO!B:B)</f>
        <v>Abertura/Expansão</v>
      </c>
      <c r="J1370">
        <f t="shared" si="21"/>
        <v>0</v>
      </c>
    </row>
    <row r="1371" spans="1:10" x14ac:dyDescent="0.25">
      <c r="A1371">
        <v>11861264</v>
      </c>
      <c r="B1371" s="1">
        <v>45751.994652777779</v>
      </c>
      <c r="C1371" t="s">
        <v>0</v>
      </c>
      <c r="D1371" t="str">
        <f>VLOOKUP(A1371,MERCADO!A:B,2,0)</f>
        <v>Empreendedor</v>
      </c>
      <c r="E1371" t="str">
        <f>_xlfn.XLOOKUP(A1371, ORIGEM!A:A, ORIGEM!B:B)</f>
        <v>Google</v>
      </c>
      <c r="F1371" t="str">
        <f>_xlfn.XLOOKUP(A1371, ORIGEM!A:A, ORIGEM!C:C)</f>
        <v>google - cpc</v>
      </c>
      <c r="G1371" t="str">
        <f>_xlfn.XLOOKUP(A1371, LOCAL!A:A, LOCAL!B:B)</f>
        <v>Guarulhos - SP</v>
      </c>
      <c r="H1371" t="str">
        <f>_xlfn.XLOOKUP(A1371, PORTE!A:A, PORTE!B:B)</f>
        <v>0</v>
      </c>
      <c r="I1371" t="str">
        <f>_xlfn.XLOOKUP(A1371, OBJETIVO!A:A, OBJETIVO!B:B)</f>
        <v>Planejamento estratégico</v>
      </c>
      <c r="J1371">
        <f t="shared" si="21"/>
        <v>0</v>
      </c>
    </row>
    <row r="1372" spans="1:10" x14ac:dyDescent="0.25">
      <c r="A1372">
        <v>11864208</v>
      </c>
      <c r="B1372" s="1">
        <v>45752.424895833334</v>
      </c>
      <c r="C1372" t="s">
        <v>0</v>
      </c>
      <c r="D1372" t="str">
        <f>VLOOKUP(A1372,MERCADO!A:B,2,0)</f>
        <v>Empreendedor</v>
      </c>
      <c r="E1372" t="str">
        <f>_xlfn.XLOOKUP(A1372, ORIGEM!A:A, ORIGEM!B:B)</f>
        <v>Google</v>
      </c>
      <c r="F1372" t="str">
        <f>_xlfn.XLOOKUP(A1372, ORIGEM!A:A, ORIGEM!C:C)</f>
        <v>google - cpc</v>
      </c>
      <c r="G1372" t="str">
        <f>_xlfn.XLOOKUP(A1372, LOCAL!A:A, LOCAL!B:B)</f>
        <v>Maceió - AL</v>
      </c>
      <c r="H1372" t="str">
        <f>_xlfn.XLOOKUP(A1372, PORTE!A:A, PORTE!B:B)</f>
        <v>0</v>
      </c>
      <c r="I1372" t="str">
        <f>_xlfn.XLOOKUP(A1372, OBJETIVO!A:A, OBJETIVO!B:B)</f>
        <v>Geração de leads b2b</v>
      </c>
      <c r="J1372">
        <f t="shared" si="21"/>
        <v>0</v>
      </c>
    </row>
    <row r="1373" spans="1:10" x14ac:dyDescent="0.25">
      <c r="A1373">
        <v>11869281</v>
      </c>
      <c r="B1373" s="1">
        <v>45752.635011574072</v>
      </c>
      <c r="C1373" t="s">
        <v>0</v>
      </c>
      <c r="D1373" t="str">
        <f>VLOOKUP(A1373,MERCADO!A:B,2,0)</f>
        <v>Empreendedor</v>
      </c>
      <c r="E1373" t="str">
        <f>_xlfn.XLOOKUP(A1373, ORIGEM!A:A, ORIGEM!B:B)</f>
        <v>Google</v>
      </c>
      <c r="F1373" t="str">
        <f>_xlfn.XLOOKUP(A1373, ORIGEM!A:A, ORIGEM!C:C)</f>
        <v>google - cpc</v>
      </c>
      <c r="G1373" t="str">
        <f>_xlfn.XLOOKUP(A1373, LOCAL!A:A, LOCAL!B:B)</f>
        <v>Piracicaba - SP</v>
      </c>
      <c r="H1373" t="str">
        <f>_xlfn.XLOOKUP(A1373, PORTE!A:A, PORTE!B:B)</f>
        <v>0</v>
      </c>
      <c r="I1373" t="str">
        <f>_xlfn.XLOOKUP(A1373, OBJETIVO!A:A, OBJETIVO!B:B)</f>
        <v>Planejamento estratégico</v>
      </c>
      <c r="J1373">
        <f t="shared" si="21"/>
        <v>0</v>
      </c>
    </row>
    <row r="1374" spans="1:10" x14ac:dyDescent="0.25">
      <c r="A1374">
        <v>11873177</v>
      </c>
      <c r="B1374" s="1">
        <v>45752.755567129629</v>
      </c>
      <c r="C1374" t="s">
        <v>0</v>
      </c>
      <c r="D1374" t="str">
        <f>VLOOKUP(A1374,MERCADO!A:B,2,0)</f>
        <v>Empreendedor</v>
      </c>
      <c r="E1374" t="str">
        <f>_xlfn.XLOOKUP(A1374, ORIGEM!A:A, ORIGEM!B:B)</f>
        <v>Google</v>
      </c>
      <c r="F1374" t="str">
        <f>_xlfn.XLOOKUP(A1374, ORIGEM!A:A, ORIGEM!C:C)</f>
        <v>google - cpc</v>
      </c>
      <c r="G1374" t="str">
        <f>_xlfn.XLOOKUP(A1374, LOCAL!A:A, LOCAL!B:B)</f>
        <v>Belém - PA</v>
      </c>
      <c r="H1374" t="str">
        <f>_xlfn.XLOOKUP(A1374, PORTE!A:A, PORTE!B:B)</f>
        <v>1-10</v>
      </c>
      <c r="I1374" t="str">
        <f>_xlfn.XLOOKUP(A1374, OBJETIVO!A:A, OBJETIVO!B:B)</f>
        <v>Abertura/Expansão</v>
      </c>
      <c r="J1374">
        <f t="shared" si="21"/>
        <v>0</v>
      </c>
    </row>
    <row r="1375" spans="1:10" x14ac:dyDescent="0.25">
      <c r="A1375">
        <v>11873320</v>
      </c>
      <c r="B1375" s="1">
        <v>45752.76253472222</v>
      </c>
      <c r="C1375" t="s">
        <v>0</v>
      </c>
      <c r="D1375" t="str">
        <f>VLOOKUP(A1375,MERCADO!A:B,2,0)</f>
        <v>Empreendedor</v>
      </c>
      <c r="E1375" t="str">
        <f>_xlfn.XLOOKUP(A1375, ORIGEM!A:A, ORIGEM!B:B)</f>
        <v>Google</v>
      </c>
      <c r="F1375" t="str">
        <f>_xlfn.XLOOKUP(A1375, ORIGEM!A:A, ORIGEM!C:C)</f>
        <v>google - cpc</v>
      </c>
      <c r="G1375" t="str">
        <f>_xlfn.XLOOKUP(A1375, LOCAL!A:A, LOCAL!B:B)</f>
        <v>Blumenau - SC</v>
      </c>
      <c r="H1375" t="str">
        <f>_xlfn.XLOOKUP(A1375, PORTE!A:A, PORTE!B:B)</f>
        <v>1-10</v>
      </c>
      <c r="I1375" t="str">
        <f>_xlfn.XLOOKUP(A1375, OBJETIVO!A:A, OBJETIVO!B:B)</f>
        <v>Planejamento estratégico</v>
      </c>
      <c r="J1375">
        <f t="shared" si="21"/>
        <v>0</v>
      </c>
    </row>
    <row r="1376" spans="1:10" x14ac:dyDescent="0.25">
      <c r="A1376">
        <v>11829866</v>
      </c>
      <c r="B1376" s="1">
        <v>45747.416608796295</v>
      </c>
      <c r="C1376" t="s">
        <v>0</v>
      </c>
      <c r="D1376" t="str">
        <f>VLOOKUP(A1376,MERCADO!A:B,2,0)</f>
        <v>Empreendedor</v>
      </c>
      <c r="E1376" t="str">
        <f>_xlfn.XLOOKUP(A1376, ORIGEM!A:A, ORIGEM!B:B)</f>
        <v>Google</v>
      </c>
      <c r="F1376" t="str">
        <f>_xlfn.XLOOKUP(A1376, ORIGEM!A:A, ORIGEM!C:C)</f>
        <v>google - cpc</v>
      </c>
      <c r="G1376" t="str">
        <f>_xlfn.XLOOKUP(A1376, LOCAL!A:A, LOCAL!B:B)</f>
        <v>São Paulo - SP</v>
      </c>
      <c r="H1376" t="str">
        <f>_xlfn.XLOOKUP(A1376, PORTE!A:A, PORTE!B:B)</f>
        <v>0</v>
      </c>
      <c r="I1376" t="str">
        <f>_xlfn.XLOOKUP(A1376, OBJETIVO!A:A, OBJETIVO!B:B)</f>
        <v>Planejamento estratégico</v>
      </c>
      <c r="J1376">
        <f t="shared" si="21"/>
        <v>0</v>
      </c>
    </row>
    <row r="1377" spans="1:10" x14ac:dyDescent="0.25">
      <c r="A1377">
        <v>12024396</v>
      </c>
      <c r="B1377" s="1">
        <v>45765.595983796295</v>
      </c>
      <c r="C1377" t="s">
        <v>0</v>
      </c>
      <c r="D1377" t="str">
        <f>VLOOKUP(A1377,MERCADO!A:B,2,0)</f>
        <v>Empreendedor</v>
      </c>
      <c r="E1377" t="str">
        <f>_xlfn.XLOOKUP(A1377, ORIGEM!A:A, ORIGEM!B:B)</f>
        <v>Google</v>
      </c>
      <c r="F1377" t="str">
        <f>_xlfn.XLOOKUP(A1377, ORIGEM!A:A, ORIGEM!C:C)</f>
        <v>google - cpc</v>
      </c>
      <c r="G1377" t="str">
        <f>_xlfn.XLOOKUP(A1377, LOCAL!A:A, LOCAL!B:B)</f>
        <v>Salvador - BA</v>
      </c>
      <c r="H1377" t="str">
        <f>_xlfn.XLOOKUP(A1377, PORTE!A:A, PORTE!B:B)</f>
        <v>0</v>
      </c>
      <c r="I1377" t="str">
        <f>_xlfn.XLOOKUP(A1377, OBJETIVO!A:A, OBJETIVO!B:B)</f>
        <v>Abertura/Expansão</v>
      </c>
      <c r="J1377">
        <f t="shared" si="21"/>
        <v>0</v>
      </c>
    </row>
    <row r="1378" spans="1:10" x14ac:dyDescent="0.25">
      <c r="A1378">
        <v>12025481</v>
      </c>
      <c r="B1378" s="1">
        <v>45765.920717592591</v>
      </c>
      <c r="C1378" t="s">
        <v>0</v>
      </c>
      <c r="D1378" t="str">
        <f>VLOOKUP(A1378,MERCADO!A:B,2,0)</f>
        <v>Empreendedor</v>
      </c>
      <c r="E1378" t="str">
        <f>_xlfn.XLOOKUP(A1378, ORIGEM!A:A, ORIGEM!B:B)</f>
        <v>Google</v>
      </c>
      <c r="F1378" t="str">
        <f>_xlfn.XLOOKUP(A1378, ORIGEM!A:A, ORIGEM!C:C)</f>
        <v>google - cpc</v>
      </c>
      <c r="G1378" t="str">
        <f>_xlfn.XLOOKUP(A1378, LOCAL!A:A, LOCAL!B:B)</f>
        <v>Ponta Grossa - PR</v>
      </c>
      <c r="H1378" t="str">
        <f>_xlfn.XLOOKUP(A1378, PORTE!A:A, PORTE!B:B)</f>
        <v>0</v>
      </c>
      <c r="I1378" t="str">
        <f>_xlfn.XLOOKUP(A1378, OBJETIVO!A:A, OBJETIVO!B:B)</f>
        <v>Abertura/Expansão</v>
      </c>
      <c r="J1378">
        <f t="shared" si="21"/>
        <v>0</v>
      </c>
    </row>
    <row r="1379" spans="1:10" x14ac:dyDescent="0.25">
      <c r="A1379">
        <v>12021721</v>
      </c>
      <c r="B1379" s="1">
        <v>45764.509270833332</v>
      </c>
      <c r="C1379" t="s">
        <v>0</v>
      </c>
      <c r="D1379" t="str">
        <f>VLOOKUP(A1379,MERCADO!A:B,2,0)</f>
        <v>Empreendedor</v>
      </c>
      <c r="E1379" t="str">
        <f>_xlfn.XLOOKUP(A1379, ORIGEM!A:A, ORIGEM!B:B)</f>
        <v>Google</v>
      </c>
      <c r="F1379" t="str">
        <f>_xlfn.XLOOKUP(A1379, ORIGEM!A:A, ORIGEM!C:C)</f>
        <v>google - cpc</v>
      </c>
      <c r="G1379" t="str">
        <f>_xlfn.XLOOKUP(A1379, LOCAL!A:A, LOCAL!B:B)</f>
        <v>Marília - SP</v>
      </c>
      <c r="H1379" t="str">
        <f>_xlfn.XLOOKUP(A1379, PORTE!A:A, PORTE!B:B)</f>
        <v>0</v>
      </c>
      <c r="I1379" t="str">
        <f>_xlfn.XLOOKUP(A1379, OBJETIVO!A:A, OBJETIVO!B:B)</f>
        <v>Outro</v>
      </c>
      <c r="J1379">
        <f t="shared" si="21"/>
        <v>0</v>
      </c>
    </row>
    <row r="1380" spans="1:10" x14ac:dyDescent="0.25">
      <c r="A1380">
        <v>12020242</v>
      </c>
      <c r="B1380" s="1">
        <v>45763.916145833333</v>
      </c>
      <c r="C1380" t="s">
        <v>0</v>
      </c>
      <c r="D1380" t="str">
        <f>VLOOKUP(A1380,MERCADO!A:B,2,0)</f>
        <v>Empreendedor</v>
      </c>
      <c r="E1380" t="str">
        <f>_xlfn.XLOOKUP(A1380, ORIGEM!A:A, ORIGEM!B:B)</f>
        <v>Google</v>
      </c>
      <c r="F1380" t="str">
        <f>_xlfn.XLOOKUP(A1380, ORIGEM!A:A, ORIGEM!C:C)</f>
        <v>google - cpc</v>
      </c>
      <c r="G1380" t="str">
        <f>_xlfn.XLOOKUP(A1380, LOCAL!A:A, LOCAL!B:B)</f>
        <v>Salvador - BA</v>
      </c>
      <c r="H1380" t="str">
        <f>_xlfn.XLOOKUP(A1380, PORTE!A:A, PORTE!B:B)</f>
        <v>0</v>
      </c>
      <c r="I1380" t="str">
        <f>_xlfn.XLOOKUP(A1380, OBJETIVO!A:A, OBJETIVO!B:B)</f>
        <v>Abertura/Expansão</v>
      </c>
      <c r="J1380">
        <f t="shared" si="21"/>
        <v>0</v>
      </c>
    </row>
    <row r="1381" spans="1:10" x14ac:dyDescent="0.25">
      <c r="A1381">
        <v>12019279</v>
      </c>
      <c r="B1381" s="1">
        <v>45763.757893518516</v>
      </c>
      <c r="C1381" t="s">
        <v>0</v>
      </c>
      <c r="D1381" t="str">
        <f>VLOOKUP(A1381,MERCADO!A:B,2,0)</f>
        <v>Empreendedor</v>
      </c>
      <c r="E1381" t="str">
        <f>_xlfn.XLOOKUP(A1381, ORIGEM!A:A, ORIGEM!B:B)</f>
        <v>Google</v>
      </c>
      <c r="F1381" t="str">
        <f>_xlfn.XLOOKUP(A1381, ORIGEM!A:A, ORIGEM!C:C)</f>
        <v>google - cpc</v>
      </c>
      <c r="G1381" t="str">
        <f>_xlfn.XLOOKUP(A1381, LOCAL!A:A, LOCAL!B:B)</f>
        <v>São Bernardo do Campo - SP</v>
      </c>
      <c r="H1381" t="str">
        <f>_xlfn.XLOOKUP(A1381, PORTE!A:A, PORTE!B:B)</f>
        <v>11-50</v>
      </c>
      <c r="I1381" t="str">
        <f>_xlfn.XLOOKUP(A1381, OBJETIVO!A:A, OBJETIVO!B:B)</f>
        <v>Abertura/Expansão</v>
      </c>
      <c r="J1381">
        <f t="shared" si="21"/>
        <v>0</v>
      </c>
    </row>
    <row r="1382" spans="1:10" x14ac:dyDescent="0.25">
      <c r="A1382">
        <v>12022000</v>
      </c>
      <c r="B1382" s="1">
        <v>45764.586689814816</v>
      </c>
      <c r="C1382" t="s">
        <v>0</v>
      </c>
      <c r="D1382" t="str">
        <f>VLOOKUP(A1382,MERCADO!A:B,2,0)</f>
        <v>Empreendedor</v>
      </c>
      <c r="E1382" t="str">
        <f>_xlfn.XLOOKUP(A1382, ORIGEM!A:A, ORIGEM!B:B)</f>
        <v>Google</v>
      </c>
      <c r="F1382" t="str">
        <f>_xlfn.XLOOKUP(A1382, ORIGEM!A:A, ORIGEM!C:C)</f>
        <v>google - cpc</v>
      </c>
      <c r="G1382" t="str">
        <f>_xlfn.XLOOKUP(A1382, LOCAL!A:A, LOCAL!B:B)</f>
        <v>São Bernardo do Campo - SP</v>
      </c>
      <c r="H1382" t="str">
        <f>_xlfn.XLOOKUP(A1382, PORTE!A:A, PORTE!B:B)</f>
        <v>1-10</v>
      </c>
      <c r="I1382" t="str">
        <f>_xlfn.XLOOKUP(A1382, OBJETIVO!A:A, OBJETIVO!B:B)</f>
        <v>Abertura/Expansão</v>
      </c>
      <c r="J1382">
        <f t="shared" si="21"/>
        <v>0</v>
      </c>
    </row>
    <row r="1383" spans="1:10" x14ac:dyDescent="0.25">
      <c r="A1383">
        <v>12022134</v>
      </c>
      <c r="B1383" s="1">
        <v>45764.628692129627</v>
      </c>
      <c r="C1383" t="s">
        <v>0</v>
      </c>
      <c r="D1383" t="str">
        <f>VLOOKUP(A1383,MERCADO!A:B,2,0)</f>
        <v>Empreendedor</v>
      </c>
      <c r="E1383" t="str">
        <f>_xlfn.XLOOKUP(A1383, ORIGEM!A:A, ORIGEM!B:B)</f>
        <v>Google</v>
      </c>
      <c r="F1383" t="str">
        <f>_xlfn.XLOOKUP(A1383, ORIGEM!A:A, ORIGEM!C:C)</f>
        <v>google - cpc</v>
      </c>
      <c r="G1383" t="str">
        <f>_xlfn.XLOOKUP(A1383, LOCAL!A:A, LOCAL!B:B)</f>
        <v>Tome-Acu - PA</v>
      </c>
      <c r="H1383" t="str">
        <f>_xlfn.XLOOKUP(A1383, PORTE!A:A, PORTE!B:B)</f>
        <v>0</v>
      </c>
      <c r="I1383" t="str">
        <f>_xlfn.XLOOKUP(A1383, OBJETIVO!A:A, OBJETIVO!B:B)</f>
        <v>Ações de marketing/vendas</v>
      </c>
      <c r="J1383">
        <f t="shared" si="21"/>
        <v>0</v>
      </c>
    </row>
    <row r="1384" spans="1:10" x14ac:dyDescent="0.25">
      <c r="A1384">
        <v>12022332</v>
      </c>
      <c r="B1384" s="1">
        <v>45764.702060185184</v>
      </c>
      <c r="C1384" t="s">
        <v>0</v>
      </c>
      <c r="D1384" t="str">
        <f>VLOOKUP(A1384,MERCADO!A:B,2,0)</f>
        <v>Empreendedor</v>
      </c>
      <c r="E1384" t="str">
        <f>_xlfn.XLOOKUP(A1384, ORIGEM!A:A, ORIGEM!B:B)</f>
        <v>Google</v>
      </c>
      <c r="F1384" t="str">
        <f>_xlfn.XLOOKUP(A1384, ORIGEM!A:A, ORIGEM!C:C)</f>
        <v>google - cpc</v>
      </c>
      <c r="G1384" t="str">
        <f>_xlfn.XLOOKUP(A1384, LOCAL!A:A, LOCAL!B:B)</f>
        <v>Teresina - PI</v>
      </c>
      <c r="H1384" t="str">
        <f>_xlfn.XLOOKUP(A1384, PORTE!A:A, PORTE!B:B)</f>
        <v>0</v>
      </c>
      <c r="I1384" t="str">
        <f>_xlfn.XLOOKUP(A1384, OBJETIVO!A:A, OBJETIVO!B:B)</f>
        <v>Abertura/Expansão</v>
      </c>
      <c r="J1384">
        <f t="shared" si="21"/>
        <v>0</v>
      </c>
    </row>
    <row r="1385" spans="1:10" x14ac:dyDescent="0.25">
      <c r="A1385">
        <v>12022510</v>
      </c>
      <c r="B1385" s="1">
        <v>45764.763969907406</v>
      </c>
      <c r="C1385" t="s">
        <v>0</v>
      </c>
      <c r="D1385" t="str">
        <f>VLOOKUP(A1385,MERCADO!A:B,2,0)</f>
        <v>Empreendedor</v>
      </c>
      <c r="E1385" t="str">
        <f>_xlfn.XLOOKUP(A1385, ORIGEM!A:A, ORIGEM!B:B)</f>
        <v>Google</v>
      </c>
      <c r="F1385" t="str">
        <f>_xlfn.XLOOKUP(A1385, ORIGEM!A:A, ORIGEM!C:C)</f>
        <v>google - cpc</v>
      </c>
      <c r="G1385" t="str">
        <f>_xlfn.XLOOKUP(A1385, LOCAL!A:A, LOCAL!B:B)</f>
        <v>Fortaleza - CE</v>
      </c>
      <c r="H1385" t="str">
        <f>_xlfn.XLOOKUP(A1385, PORTE!A:A, PORTE!B:B)</f>
        <v>0</v>
      </c>
      <c r="I1385" t="str">
        <f>_xlfn.XLOOKUP(A1385, OBJETIVO!A:A, OBJETIVO!B:B)</f>
        <v>Abertura/Expansão</v>
      </c>
      <c r="J1385">
        <f t="shared" si="21"/>
        <v>0</v>
      </c>
    </row>
    <row r="1386" spans="1:10" x14ac:dyDescent="0.25">
      <c r="A1386">
        <v>12023201</v>
      </c>
      <c r="B1386" s="1">
        <v>45765.008611111109</v>
      </c>
      <c r="C1386" t="s">
        <v>0</v>
      </c>
      <c r="D1386" t="str">
        <f>VLOOKUP(A1386,MERCADO!A:B,2,0)</f>
        <v>Empreendedor</v>
      </c>
      <c r="E1386" t="str">
        <f>_xlfn.XLOOKUP(A1386, ORIGEM!A:A, ORIGEM!B:B)</f>
        <v>Google</v>
      </c>
      <c r="F1386" t="str">
        <f>_xlfn.XLOOKUP(A1386, ORIGEM!A:A, ORIGEM!C:C)</f>
        <v>google - cpc</v>
      </c>
      <c r="G1386" t="str">
        <f>_xlfn.XLOOKUP(A1386, LOCAL!A:A, LOCAL!B:B)</f>
        <v>Rio de Janeiro - RJ</v>
      </c>
      <c r="H1386" t="str">
        <f>_xlfn.XLOOKUP(A1386, PORTE!A:A, PORTE!B:B)</f>
        <v>0</v>
      </c>
      <c r="I1386" t="str">
        <f>_xlfn.XLOOKUP(A1386, OBJETIVO!A:A, OBJETIVO!B:B)</f>
        <v>Planejamento estratégico</v>
      </c>
      <c r="J1386">
        <f t="shared" si="21"/>
        <v>0</v>
      </c>
    </row>
    <row r="1387" spans="1:10" x14ac:dyDescent="0.25">
      <c r="A1387">
        <v>11890561</v>
      </c>
      <c r="B1387" s="1">
        <v>45753.718368055554</v>
      </c>
      <c r="C1387" t="s">
        <v>0</v>
      </c>
      <c r="D1387" t="str">
        <f>VLOOKUP(A1387,MERCADO!A:B,2,0)</f>
        <v>Empreendedor</v>
      </c>
      <c r="E1387" t="str">
        <f>_xlfn.XLOOKUP(A1387, ORIGEM!A:A, ORIGEM!B:B)</f>
        <v>Google</v>
      </c>
      <c r="F1387" t="str">
        <f>_xlfn.XLOOKUP(A1387, ORIGEM!A:A, ORIGEM!C:C)</f>
        <v>google - cpc</v>
      </c>
      <c r="G1387" t="str">
        <f>_xlfn.XLOOKUP(A1387, LOCAL!A:A, LOCAL!B:B)</f>
        <v>Rio de Janeiro - RJ</v>
      </c>
      <c r="H1387" t="str">
        <f>_xlfn.XLOOKUP(A1387, PORTE!A:A, PORTE!B:B)</f>
        <v>0</v>
      </c>
      <c r="I1387" t="str">
        <f>_xlfn.XLOOKUP(A1387, OBJETIVO!A:A, OBJETIVO!B:B)</f>
        <v>Planejamento estratégico</v>
      </c>
      <c r="J1387">
        <f t="shared" si="21"/>
        <v>0</v>
      </c>
    </row>
    <row r="1388" spans="1:10" x14ac:dyDescent="0.25">
      <c r="A1388">
        <v>11995589</v>
      </c>
      <c r="B1388" s="1">
        <v>45762.382372685184</v>
      </c>
      <c r="C1388" t="s">
        <v>0</v>
      </c>
      <c r="D1388" t="str">
        <f>VLOOKUP(A1388,MERCADO!A:B,2,0)</f>
        <v>Empreendedor</v>
      </c>
      <c r="E1388" t="str">
        <f>_xlfn.XLOOKUP(A1388, ORIGEM!A:A, ORIGEM!B:B)</f>
        <v>Google</v>
      </c>
      <c r="F1388" t="str">
        <f>_xlfn.XLOOKUP(A1388, ORIGEM!A:A, ORIGEM!C:C)</f>
        <v>google - cpc</v>
      </c>
      <c r="G1388" t="str">
        <f>_xlfn.XLOOKUP(A1388, LOCAL!A:A, LOCAL!B:B)</f>
        <v>Recife - PE</v>
      </c>
      <c r="H1388" t="str">
        <f>_xlfn.XLOOKUP(A1388, PORTE!A:A, PORTE!B:B)</f>
        <v>0</v>
      </c>
      <c r="I1388" t="str">
        <f>_xlfn.XLOOKUP(A1388, OBJETIVO!A:A, OBJETIVO!B:B)</f>
        <v>Consultoria</v>
      </c>
      <c r="J1388">
        <f t="shared" si="21"/>
        <v>0</v>
      </c>
    </row>
    <row r="1389" spans="1:10" x14ac:dyDescent="0.25">
      <c r="A1389">
        <v>11941048</v>
      </c>
      <c r="B1389" s="1">
        <v>45758.504490740743</v>
      </c>
      <c r="C1389" t="s">
        <v>0</v>
      </c>
      <c r="D1389" t="str">
        <f>VLOOKUP(A1389,MERCADO!A:B,2,0)</f>
        <v>Empreendedor</v>
      </c>
      <c r="E1389" t="str">
        <f>_xlfn.XLOOKUP(A1389, ORIGEM!A:A, ORIGEM!B:B)</f>
        <v>Google</v>
      </c>
      <c r="F1389" t="str">
        <f>_xlfn.XLOOKUP(A1389, ORIGEM!A:A, ORIGEM!C:C)</f>
        <v>google - cpc</v>
      </c>
      <c r="G1389" t="str">
        <f>_xlfn.XLOOKUP(A1389, LOCAL!A:A, LOCAL!B:B)</f>
        <v>São Paulo - SP</v>
      </c>
      <c r="H1389" t="str">
        <f>_xlfn.XLOOKUP(A1389, PORTE!A:A, PORTE!B:B)</f>
        <v>11-50</v>
      </c>
      <c r="I1389" t="str">
        <f>_xlfn.XLOOKUP(A1389, OBJETIVO!A:A, OBJETIVO!B:B)</f>
        <v>Abertura/Expansão</v>
      </c>
      <c r="J1389">
        <f t="shared" si="21"/>
        <v>0</v>
      </c>
    </row>
    <row r="1390" spans="1:10" x14ac:dyDescent="0.25">
      <c r="A1390">
        <v>12007708</v>
      </c>
      <c r="B1390" s="1">
        <v>45763.002766203703</v>
      </c>
      <c r="C1390" t="s">
        <v>0</v>
      </c>
      <c r="D1390" t="str">
        <f>VLOOKUP(A1390,MERCADO!A:B,2,0)</f>
        <v>Empreendedor</v>
      </c>
      <c r="E1390" t="str">
        <f>_xlfn.XLOOKUP(A1390, ORIGEM!A:A, ORIGEM!B:B)</f>
        <v>Google</v>
      </c>
      <c r="F1390" t="str">
        <f>_xlfn.XLOOKUP(A1390, ORIGEM!A:A, ORIGEM!C:C)</f>
        <v>google - cpc</v>
      </c>
      <c r="G1390" t="str">
        <f>_xlfn.XLOOKUP(A1390, LOCAL!A:A, LOCAL!B:B)</f>
        <v>Botucatu - SP</v>
      </c>
      <c r="H1390" t="str">
        <f>_xlfn.XLOOKUP(A1390, PORTE!A:A, PORTE!B:B)</f>
        <v>0</v>
      </c>
      <c r="I1390" t="str">
        <f>_xlfn.XLOOKUP(A1390, OBJETIVO!A:A, OBJETIVO!B:B)</f>
        <v>Outro</v>
      </c>
      <c r="J1390">
        <f t="shared" si="21"/>
        <v>0</v>
      </c>
    </row>
    <row r="1391" spans="1:10" x14ac:dyDescent="0.25">
      <c r="A1391">
        <v>12008251</v>
      </c>
      <c r="B1391" s="1">
        <v>45763.255740740744</v>
      </c>
      <c r="C1391" t="s">
        <v>0</v>
      </c>
      <c r="D1391" t="str">
        <f>VLOOKUP(A1391,MERCADO!A:B,2,0)</f>
        <v>Empreendedor</v>
      </c>
      <c r="E1391" t="str">
        <f>_xlfn.XLOOKUP(A1391, ORIGEM!A:A, ORIGEM!B:B)</f>
        <v>Google</v>
      </c>
      <c r="F1391" t="str">
        <f>_xlfn.XLOOKUP(A1391, ORIGEM!A:A, ORIGEM!C:C)</f>
        <v>google - cpc</v>
      </c>
      <c r="G1391" t="str">
        <f>_xlfn.XLOOKUP(A1391, LOCAL!A:A, LOCAL!B:B)</f>
        <v>São Paulo - SP</v>
      </c>
      <c r="H1391" t="str">
        <f>_xlfn.XLOOKUP(A1391, PORTE!A:A, PORTE!B:B)</f>
        <v>1-10</v>
      </c>
      <c r="I1391" t="str">
        <f>_xlfn.XLOOKUP(A1391, OBJETIVO!A:A, OBJETIVO!B:B)</f>
        <v>Abertura/Expansão</v>
      </c>
      <c r="J1391">
        <f t="shared" si="21"/>
        <v>0</v>
      </c>
    </row>
    <row r="1392" spans="1:10" x14ac:dyDescent="0.25">
      <c r="A1392">
        <v>12008872</v>
      </c>
      <c r="B1392" s="1">
        <v>45763.376076388886</v>
      </c>
      <c r="C1392" t="s">
        <v>0</v>
      </c>
      <c r="D1392" t="str">
        <f>VLOOKUP(A1392,MERCADO!A:B,2,0)</f>
        <v>Empreendedor</v>
      </c>
      <c r="E1392" t="str">
        <f>_xlfn.XLOOKUP(A1392, ORIGEM!A:A, ORIGEM!B:B)</f>
        <v>Google</v>
      </c>
      <c r="F1392" t="str">
        <f>_xlfn.XLOOKUP(A1392, ORIGEM!A:A, ORIGEM!C:C)</f>
        <v>google - cpc</v>
      </c>
      <c r="G1392" t="str">
        <f>_xlfn.XLOOKUP(A1392, LOCAL!A:A, LOCAL!B:B)</f>
        <v>Florianópolis - SC</v>
      </c>
      <c r="H1392" t="str">
        <f>_xlfn.XLOOKUP(A1392, PORTE!A:A, PORTE!B:B)</f>
        <v>1-10</v>
      </c>
      <c r="I1392" t="str">
        <f>_xlfn.XLOOKUP(A1392, OBJETIVO!A:A, OBJETIVO!B:B)</f>
        <v>Geração de leads b2b</v>
      </c>
      <c r="J1392">
        <f t="shared" si="21"/>
        <v>0</v>
      </c>
    </row>
    <row r="1393" spans="1:10" x14ac:dyDescent="0.25">
      <c r="A1393">
        <v>11933359</v>
      </c>
      <c r="B1393" s="1">
        <v>45756.639166666668</v>
      </c>
      <c r="C1393" t="s">
        <v>0</v>
      </c>
      <c r="D1393" t="str">
        <f>VLOOKUP(A1393,MERCADO!A:B,2,0)</f>
        <v>Empreendedor</v>
      </c>
      <c r="E1393" t="str">
        <f>_xlfn.XLOOKUP(A1393, ORIGEM!A:A, ORIGEM!B:B)</f>
        <v>Google</v>
      </c>
      <c r="F1393" t="str">
        <f>_xlfn.XLOOKUP(A1393, ORIGEM!A:A, ORIGEM!C:C)</f>
        <v>google - cpc</v>
      </c>
      <c r="G1393" t="str">
        <f>_xlfn.XLOOKUP(A1393, LOCAL!A:A, LOCAL!B:B)</f>
        <v>Rolante - RS</v>
      </c>
      <c r="H1393" t="str">
        <f>_xlfn.XLOOKUP(A1393, PORTE!A:A, PORTE!B:B)</f>
        <v>0</v>
      </c>
      <c r="I1393" t="str">
        <f>_xlfn.XLOOKUP(A1393, OBJETIVO!A:A, OBJETIVO!B:B)</f>
        <v>Abertura/Expansão</v>
      </c>
      <c r="J1393">
        <f t="shared" si="21"/>
        <v>0</v>
      </c>
    </row>
    <row r="1394" spans="1:10" x14ac:dyDescent="0.25">
      <c r="A1394">
        <v>11971676</v>
      </c>
      <c r="B1394" s="1">
        <v>45760.678391203706</v>
      </c>
      <c r="C1394" t="s">
        <v>0</v>
      </c>
      <c r="D1394" t="str">
        <f>VLOOKUP(A1394,MERCADO!A:B,2,0)</f>
        <v>Empreendedor</v>
      </c>
      <c r="E1394" t="str">
        <f>_xlfn.XLOOKUP(A1394, ORIGEM!A:A, ORIGEM!B:B)</f>
        <v>Google</v>
      </c>
      <c r="F1394" t="str">
        <f>_xlfn.XLOOKUP(A1394, ORIGEM!A:A, ORIGEM!C:C)</f>
        <v>google - cpc</v>
      </c>
      <c r="G1394" t="str">
        <f>_xlfn.XLOOKUP(A1394, LOCAL!A:A, LOCAL!B:B)</f>
        <v>Contagem - MG</v>
      </c>
      <c r="H1394" t="str">
        <f>_xlfn.XLOOKUP(A1394, PORTE!A:A, PORTE!B:B)</f>
        <v>0</v>
      </c>
      <c r="I1394" t="str">
        <f>_xlfn.XLOOKUP(A1394, OBJETIVO!A:A, OBJETIVO!B:B)</f>
        <v>Geração de leads b2b</v>
      </c>
      <c r="J1394">
        <f t="shared" si="21"/>
        <v>0</v>
      </c>
    </row>
    <row r="1395" spans="1:10" x14ac:dyDescent="0.25">
      <c r="A1395">
        <v>11967846</v>
      </c>
      <c r="B1395" s="1">
        <v>45760.543356481481</v>
      </c>
      <c r="C1395" t="s">
        <v>0</v>
      </c>
      <c r="D1395" t="str">
        <f>VLOOKUP(A1395,MERCADO!A:B,2,0)</f>
        <v>Empreendedor</v>
      </c>
      <c r="E1395" t="str">
        <f>_xlfn.XLOOKUP(A1395, ORIGEM!A:A, ORIGEM!B:B)</f>
        <v>Google</v>
      </c>
      <c r="F1395" t="str">
        <f>_xlfn.XLOOKUP(A1395, ORIGEM!A:A, ORIGEM!C:C)</f>
        <v>google - cpc</v>
      </c>
      <c r="G1395" t="str">
        <f>_xlfn.XLOOKUP(A1395, LOCAL!A:A, LOCAL!B:B)</f>
        <v>Santa Rita do Passa Quatro - SP</v>
      </c>
      <c r="H1395" t="str">
        <f>_xlfn.XLOOKUP(A1395, PORTE!A:A, PORTE!B:B)</f>
        <v>0</v>
      </c>
      <c r="I1395" t="str">
        <f>_xlfn.XLOOKUP(A1395, OBJETIVO!A:A, OBJETIVO!B:B)</f>
        <v>Abertura/Expansão</v>
      </c>
      <c r="J1395">
        <f t="shared" si="21"/>
        <v>0</v>
      </c>
    </row>
    <row r="1396" spans="1:10" x14ac:dyDescent="0.25">
      <c r="A1396">
        <v>11969025</v>
      </c>
      <c r="B1396" s="1">
        <v>45760.601979166669</v>
      </c>
      <c r="C1396" t="s">
        <v>0</v>
      </c>
      <c r="D1396" t="str">
        <f>VLOOKUP(A1396,MERCADO!A:B,2,0)</f>
        <v>Empreendedor</v>
      </c>
      <c r="E1396" t="str">
        <f>_xlfn.XLOOKUP(A1396, ORIGEM!A:A, ORIGEM!B:B)</f>
        <v>Google</v>
      </c>
      <c r="F1396" t="str">
        <f>_xlfn.XLOOKUP(A1396, ORIGEM!A:A, ORIGEM!C:C)</f>
        <v>google - cpc</v>
      </c>
      <c r="G1396" t="str">
        <f>_xlfn.XLOOKUP(A1396, LOCAL!A:A, LOCAL!B:B)</f>
        <v>Rio de Janeiro - RJ</v>
      </c>
      <c r="H1396" t="str">
        <f>_xlfn.XLOOKUP(A1396, PORTE!A:A, PORTE!B:B)</f>
        <v>0</v>
      </c>
      <c r="I1396" t="str">
        <f>_xlfn.XLOOKUP(A1396, OBJETIVO!A:A, OBJETIVO!B:B)</f>
        <v>Ações de marketing/vendas</v>
      </c>
      <c r="J1396">
        <f t="shared" si="21"/>
        <v>0</v>
      </c>
    </row>
    <row r="1397" spans="1:10" x14ac:dyDescent="0.25">
      <c r="A1397">
        <v>11953055</v>
      </c>
      <c r="B1397" s="1">
        <v>45759.612222222226</v>
      </c>
      <c r="C1397" t="s">
        <v>0</v>
      </c>
      <c r="D1397" t="str">
        <f>VLOOKUP(A1397,MERCADO!A:B,2,0)</f>
        <v>Empreendedor</v>
      </c>
      <c r="E1397" t="str">
        <f>_xlfn.XLOOKUP(A1397, ORIGEM!A:A, ORIGEM!B:B)</f>
        <v>Google</v>
      </c>
      <c r="F1397" t="str">
        <f>_xlfn.XLOOKUP(A1397, ORIGEM!A:A, ORIGEM!C:C)</f>
        <v>google - cpc</v>
      </c>
      <c r="G1397" t="str">
        <f>_xlfn.XLOOKUP(A1397, LOCAL!A:A, LOCAL!B:B)</f>
        <v>Ribeiro - BA</v>
      </c>
      <c r="H1397" t="str">
        <f>_xlfn.XLOOKUP(A1397, PORTE!A:A, PORTE!B:B)</f>
        <v>0</v>
      </c>
      <c r="I1397" t="str">
        <f>_xlfn.XLOOKUP(A1397, OBJETIVO!A:A, OBJETIVO!B:B)</f>
        <v>Ações de marketing/vendas</v>
      </c>
      <c r="J1397">
        <f t="shared" si="21"/>
        <v>0</v>
      </c>
    </row>
    <row r="1398" spans="1:10" x14ac:dyDescent="0.25">
      <c r="A1398">
        <v>11644204</v>
      </c>
      <c r="B1398" s="1">
        <v>45731.618657407409</v>
      </c>
      <c r="C1398" t="s">
        <v>0</v>
      </c>
      <c r="D1398" t="str">
        <f>VLOOKUP(A1398,MERCADO!A:B,2,0)</f>
        <v>Empreendedor</v>
      </c>
      <c r="E1398" t="str">
        <f>_xlfn.XLOOKUP(A1398, ORIGEM!A:A, ORIGEM!B:B)</f>
        <v>Orgânico</v>
      </c>
      <c r="F1398">
        <f>_xlfn.XLOOKUP(A1398, ORIGEM!A:A, ORIGEM!C:C)</f>
        <v>0</v>
      </c>
      <c r="G1398" t="str">
        <f>_xlfn.XLOOKUP(A1398, LOCAL!A:A, LOCAL!B:B)</f>
        <v>Florianópolis - SC</v>
      </c>
      <c r="H1398" t="str">
        <f>_xlfn.XLOOKUP(A1398, PORTE!A:A, PORTE!B:B)</f>
        <v>0</v>
      </c>
      <c r="I1398" t="str">
        <f>_xlfn.XLOOKUP(A1398, OBJETIVO!A:A, OBJETIVO!B:B)</f>
        <v>Abertura/Expansão</v>
      </c>
      <c r="J1398">
        <f t="shared" si="21"/>
        <v>0</v>
      </c>
    </row>
    <row r="1399" spans="1:10" x14ac:dyDescent="0.25">
      <c r="A1399">
        <v>11552801</v>
      </c>
      <c r="B1399" s="1">
        <v>45721.586111111108</v>
      </c>
      <c r="C1399" t="s">
        <v>0</v>
      </c>
      <c r="D1399" t="str">
        <f>VLOOKUP(A1399,MERCADO!A:B,2,0)</f>
        <v>Empreendedor</v>
      </c>
      <c r="E1399" t="str">
        <f>_xlfn.XLOOKUP(A1399, ORIGEM!A:A, ORIGEM!B:B)</f>
        <v>Orgânico</v>
      </c>
      <c r="F1399">
        <f>_xlfn.XLOOKUP(A1399, ORIGEM!A:A, ORIGEM!C:C)</f>
        <v>0</v>
      </c>
      <c r="G1399" t="str">
        <f>_xlfn.XLOOKUP(A1399, LOCAL!A:A, LOCAL!B:B)</f>
        <v>Campinas - SP</v>
      </c>
      <c r="H1399" t="str">
        <f>_xlfn.XLOOKUP(A1399, PORTE!A:A, PORTE!B:B)</f>
        <v>0</v>
      </c>
      <c r="I1399" t="str">
        <f>_xlfn.XLOOKUP(A1399, OBJETIVO!A:A, OBJETIVO!B:B)</f>
        <v>Geração de leads b2b</v>
      </c>
      <c r="J1399">
        <f t="shared" si="21"/>
        <v>0</v>
      </c>
    </row>
    <row r="1400" spans="1:10" x14ac:dyDescent="0.25">
      <c r="A1400">
        <v>11553834</v>
      </c>
      <c r="B1400" s="1">
        <v>45721.604085648149</v>
      </c>
      <c r="C1400" t="s">
        <v>0</v>
      </c>
      <c r="D1400" t="str">
        <f>VLOOKUP(A1400,MERCADO!A:B,2,0)</f>
        <v>Empreendedor</v>
      </c>
      <c r="E1400" t="str">
        <f>_xlfn.XLOOKUP(A1400, ORIGEM!A:A, ORIGEM!B:B)</f>
        <v>Orgânico</v>
      </c>
      <c r="F1400">
        <f>_xlfn.XLOOKUP(A1400, ORIGEM!A:A, ORIGEM!C:C)</f>
        <v>0</v>
      </c>
      <c r="G1400" t="str">
        <f>_xlfn.XLOOKUP(A1400, LOCAL!A:A, LOCAL!B:B)</f>
        <v>-</v>
      </c>
      <c r="H1400" t="str">
        <f>_xlfn.XLOOKUP(A1400, PORTE!A:A, PORTE!B:B)</f>
        <v>1-10</v>
      </c>
      <c r="I1400" t="str">
        <f>_xlfn.XLOOKUP(A1400, OBJETIVO!A:A, OBJETIVO!B:B)</f>
        <v>Abertura/Expansão</v>
      </c>
      <c r="J1400">
        <f t="shared" si="21"/>
        <v>0</v>
      </c>
    </row>
    <row r="1401" spans="1:10" x14ac:dyDescent="0.25">
      <c r="A1401">
        <v>11560796</v>
      </c>
      <c r="B1401" s="1">
        <v>45723.500254629631</v>
      </c>
      <c r="C1401" t="s">
        <v>0</v>
      </c>
      <c r="D1401" t="str">
        <f>VLOOKUP(A1401,MERCADO!A:B,2,0)</f>
        <v>Empreendedor</v>
      </c>
      <c r="E1401" t="str">
        <f>_xlfn.XLOOKUP(A1401, ORIGEM!A:A, ORIGEM!B:B)</f>
        <v>Orgânico</v>
      </c>
      <c r="F1401">
        <f>_xlfn.XLOOKUP(A1401, ORIGEM!A:A, ORIGEM!C:C)</f>
        <v>0</v>
      </c>
      <c r="G1401" t="str">
        <f>_xlfn.XLOOKUP(A1401, LOCAL!A:A, LOCAL!B:B)</f>
        <v>Marica - RJ</v>
      </c>
      <c r="H1401" t="str">
        <f>_xlfn.XLOOKUP(A1401, PORTE!A:A, PORTE!B:B)</f>
        <v>11-50</v>
      </c>
      <c r="I1401" t="str">
        <f>_xlfn.XLOOKUP(A1401, OBJETIVO!A:A, OBJETIVO!B:B)</f>
        <v>Ações de marketing/vendas</v>
      </c>
      <c r="J1401">
        <f t="shared" si="21"/>
        <v>0</v>
      </c>
    </row>
    <row r="1402" spans="1:10" x14ac:dyDescent="0.25">
      <c r="A1402">
        <v>11570699</v>
      </c>
      <c r="B1402" s="1">
        <v>45724.596516203703</v>
      </c>
      <c r="C1402" t="s">
        <v>0</v>
      </c>
      <c r="D1402" t="str">
        <f>VLOOKUP(A1402,MERCADO!A:B,2,0)</f>
        <v>Empreendedor</v>
      </c>
      <c r="E1402" t="str">
        <f>_xlfn.XLOOKUP(A1402, ORIGEM!A:A, ORIGEM!B:B)</f>
        <v>Orgânico</v>
      </c>
      <c r="F1402">
        <f>_xlfn.XLOOKUP(A1402, ORIGEM!A:A, ORIGEM!C:C)</f>
        <v>0</v>
      </c>
      <c r="G1402" t="str">
        <f>_xlfn.XLOOKUP(A1402, LOCAL!A:A, LOCAL!B:B)</f>
        <v>Resende - RJ</v>
      </c>
      <c r="H1402" t="str">
        <f>_xlfn.XLOOKUP(A1402, PORTE!A:A, PORTE!B:B)</f>
        <v>0</v>
      </c>
      <c r="I1402" t="str">
        <f>_xlfn.XLOOKUP(A1402, OBJETIVO!A:A, OBJETIVO!B:B)</f>
        <v>Ações de marketing/vendas</v>
      </c>
      <c r="J1402">
        <f t="shared" si="21"/>
        <v>0</v>
      </c>
    </row>
    <row r="1403" spans="1:10" x14ac:dyDescent="0.25">
      <c r="A1403">
        <v>11570745</v>
      </c>
      <c r="B1403" s="1">
        <v>45724.598182870373</v>
      </c>
      <c r="C1403" t="s">
        <v>0</v>
      </c>
      <c r="D1403" t="str">
        <f>VLOOKUP(A1403,MERCADO!A:B,2,0)</f>
        <v>Empreendedor</v>
      </c>
      <c r="E1403" t="str">
        <f>_xlfn.XLOOKUP(A1403, ORIGEM!A:A, ORIGEM!B:B)</f>
        <v>Orgânico</v>
      </c>
      <c r="F1403">
        <f>_xlfn.XLOOKUP(A1403, ORIGEM!A:A, ORIGEM!C:C)</f>
        <v>0</v>
      </c>
      <c r="G1403" t="str">
        <f>_xlfn.XLOOKUP(A1403, LOCAL!A:A, LOCAL!B:B)</f>
        <v>Goiânia - GO</v>
      </c>
      <c r="H1403" t="str">
        <f>_xlfn.XLOOKUP(A1403, PORTE!A:A, PORTE!B:B)</f>
        <v>1-10</v>
      </c>
      <c r="I1403" t="str">
        <f>_xlfn.XLOOKUP(A1403, OBJETIVO!A:A, OBJETIVO!B:B)</f>
        <v>Abertura/Expansão</v>
      </c>
      <c r="J1403">
        <f t="shared" si="21"/>
        <v>0</v>
      </c>
    </row>
    <row r="1404" spans="1:10" x14ac:dyDescent="0.25">
      <c r="A1404">
        <v>11591073</v>
      </c>
      <c r="B1404" s="1">
        <v>45725.721087962964</v>
      </c>
      <c r="C1404" t="s">
        <v>0</v>
      </c>
      <c r="D1404" t="str">
        <f>VLOOKUP(A1404,MERCADO!A:B,2,0)</f>
        <v>Empreendedor</v>
      </c>
      <c r="E1404" t="str">
        <f>_xlfn.XLOOKUP(A1404, ORIGEM!A:A, ORIGEM!B:B)</f>
        <v>Orgânico</v>
      </c>
      <c r="F1404">
        <f>_xlfn.XLOOKUP(A1404, ORIGEM!A:A, ORIGEM!C:C)</f>
        <v>0</v>
      </c>
      <c r="G1404" t="str">
        <f>_xlfn.XLOOKUP(A1404, LOCAL!A:A, LOCAL!B:B)</f>
        <v>Tamboré - SP</v>
      </c>
      <c r="H1404" t="str">
        <f>_xlfn.XLOOKUP(A1404, PORTE!A:A, PORTE!B:B)</f>
        <v>0</v>
      </c>
      <c r="I1404" t="str">
        <f>_xlfn.XLOOKUP(A1404, OBJETIVO!A:A, OBJETIVO!B:B)</f>
        <v>Outro</v>
      </c>
      <c r="J1404">
        <f t="shared" si="21"/>
        <v>0</v>
      </c>
    </row>
    <row r="1405" spans="1:10" x14ac:dyDescent="0.25">
      <c r="A1405">
        <v>11592268</v>
      </c>
      <c r="B1405" s="1">
        <v>45725.820717592593</v>
      </c>
      <c r="C1405" t="s">
        <v>0</v>
      </c>
      <c r="D1405" t="str">
        <f>VLOOKUP(A1405,MERCADO!A:B,2,0)</f>
        <v>Empreendedor</v>
      </c>
      <c r="E1405" t="str">
        <f>_xlfn.XLOOKUP(A1405, ORIGEM!A:A, ORIGEM!B:B)</f>
        <v>Orgânico</v>
      </c>
      <c r="F1405">
        <f>_xlfn.XLOOKUP(A1405, ORIGEM!A:A, ORIGEM!C:C)</f>
        <v>0</v>
      </c>
      <c r="G1405" t="str">
        <f>_xlfn.XLOOKUP(A1405, LOCAL!A:A, LOCAL!B:B)</f>
        <v>Rio Grande - RS</v>
      </c>
      <c r="H1405" t="str">
        <f>_xlfn.XLOOKUP(A1405, PORTE!A:A, PORTE!B:B)</f>
        <v>0</v>
      </c>
      <c r="I1405" t="str">
        <f>_xlfn.XLOOKUP(A1405, OBJETIVO!A:A, OBJETIVO!B:B)</f>
        <v>Abertura/Expansão</v>
      </c>
      <c r="J1405">
        <f t="shared" si="21"/>
        <v>0</v>
      </c>
    </row>
    <row r="1406" spans="1:10" x14ac:dyDescent="0.25">
      <c r="A1406">
        <v>11592429</v>
      </c>
      <c r="B1406" s="1">
        <v>45725.857615740744</v>
      </c>
      <c r="C1406" t="s">
        <v>0</v>
      </c>
      <c r="D1406" t="str">
        <f>VLOOKUP(A1406,MERCADO!A:B,2,0)</f>
        <v>Empreendedor</v>
      </c>
      <c r="E1406" t="str">
        <f>_xlfn.XLOOKUP(A1406, ORIGEM!A:A, ORIGEM!B:B)</f>
        <v>Orgânico</v>
      </c>
      <c r="F1406">
        <f>_xlfn.XLOOKUP(A1406, ORIGEM!A:A, ORIGEM!C:C)</f>
        <v>0</v>
      </c>
      <c r="G1406" t="str">
        <f>_xlfn.XLOOKUP(A1406, LOCAL!A:A, LOCAL!B:B)</f>
        <v>Curitiba - PR</v>
      </c>
      <c r="H1406" t="str">
        <f>_xlfn.XLOOKUP(A1406, PORTE!A:A, PORTE!B:B)</f>
        <v>0</v>
      </c>
      <c r="I1406" t="str">
        <f>_xlfn.XLOOKUP(A1406, OBJETIVO!A:A, OBJETIVO!B:B)</f>
        <v>Abertura/Expansão</v>
      </c>
      <c r="J1406">
        <f t="shared" si="21"/>
        <v>0</v>
      </c>
    </row>
    <row r="1407" spans="1:10" x14ac:dyDescent="0.25">
      <c r="A1407">
        <v>11592898</v>
      </c>
      <c r="B1407" s="1">
        <v>45725.943136574075</v>
      </c>
      <c r="C1407" t="s">
        <v>0</v>
      </c>
      <c r="D1407" t="str">
        <f>VLOOKUP(A1407,MERCADO!A:B,2,0)</f>
        <v>Empreendedor</v>
      </c>
      <c r="E1407" t="str">
        <f>_xlfn.XLOOKUP(A1407, ORIGEM!A:A, ORIGEM!B:B)</f>
        <v>Orgânico</v>
      </c>
      <c r="F1407">
        <f>_xlfn.XLOOKUP(A1407, ORIGEM!A:A, ORIGEM!C:C)</f>
        <v>0</v>
      </c>
      <c r="G1407" t="str">
        <f>_xlfn.XLOOKUP(A1407, LOCAL!A:A, LOCAL!B:B)</f>
        <v>Presidente Prudente - SP</v>
      </c>
      <c r="H1407" t="str">
        <f>_xlfn.XLOOKUP(A1407, PORTE!A:A, PORTE!B:B)</f>
        <v>1-10</v>
      </c>
      <c r="I1407" t="str">
        <f>_xlfn.XLOOKUP(A1407, OBJETIVO!A:A, OBJETIVO!B:B)</f>
        <v>Planejamento estratégico</v>
      </c>
      <c r="J1407">
        <f t="shared" si="21"/>
        <v>0</v>
      </c>
    </row>
    <row r="1408" spans="1:10" x14ac:dyDescent="0.25">
      <c r="A1408">
        <v>11598519</v>
      </c>
      <c r="B1408" s="1">
        <v>45726.463622685187</v>
      </c>
      <c r="C1408" t="s">
        <v>0</v>
      </c>
      <c r="D1408" t="str">
        <f>VLOOKUP(A1408,MERCADO!A:B,2,0)</f>
        <v>Empreendedor</v>
      </c>
      <c r="E1408" t="str">
        <f>_xlfn.XLOOKUP(A1408, ORIGEM!A:A, ORIGEM!B:B)</f>
        <v>Orgânico</v>
      </c>
      <c r="F1408">
        <f>_xlfn.XLOOKUP(A1408, ORIGEM!A:A, ORIGEM!C:C)</f>
        <v>0</v>
      </c>
      <c r="G1408" t="str">
        <f>_xlfn.XLOOKUP(A1408, LOCAL!A:A, LOCAL!B:B)</f>
        <v>Curitiba - PR</v>
      </c>
      <c r="H1408" t="str">
        <f>_xlfn.XLOOKUP(A1408, PORTE!A:A, PORTE!B:B)</f>
        <v>1-10</v>
      </c>
      <c r="I1408" t="str">
        <f>_xlfn.XLOOKUP(A1408, OBJETIVO!A:A, OBJETIVO!B:B)</f>
        <v>Abertura/Expansão</v>
      </c>
      <c r="J1408">
        <f t="shared" si="21"/>
        <v>0</v>
      </c>
    </row>
    <row r="1409" spans="1:10" x14ac:dyDescent="0.25">
      <c r="A1409">
        <v>11663071</v>
      </c>
      <c r="B1409" s="1">
        <v>45732.724178240744</v>
      </c>
      <c r="C1409" t="s">
        <v>0</v>
      </c>
      <c r="D1409" t="str">
        <f>VLOOKUP(A1409,MERCADO!A:B,2,0)</f>
        <v>Empreendedor</v>
      </c>
      <c r="E1409" t="str">
        <f>_xlfn.XLOOKUP(A1409, ORIGEM!A:A, ORIGEM!B:B)</f>
        <v>Orgânico</v>
      </c>
      <c r="F1409">
        <f>_xlfn.XLOOKUP(A1409, ORIGEM!A:A, ORIGEM!C:C)</f>
        <v>0</v>
      </c>
      <c r="G1409" t="str">
        <f>_xlfn.XLOOKUP(A1409, LOCAL!A:A, LOCAL!B:B)</f>
        <v>Feira de Santana - BA</v>
      </c>
      <c r="H1409" t="str">
        <f>_xlfn.XLOOKUP(A1409, PORTE!A:A, PORTE!B:B)</f>
        <v>0</v>
      </c>
      <c r="I1409" t="str">
        <f>_xlfn.XLOOKUP(A1409, OBJETIVO!A:A, OBJETIVO!B:B)</f>
        <v>Abertura/Expansão</v>
      </c>
      <c r="J1409">
        <f t="shared" si="21"/>
        <v>0</v>
      </c>
    </row>
    <row r="1410" spans="1:10" x14ac:dyDescent="0.25">
      <c r="A1410">
        <v>11663580</v>
      </c>
      <c r="B1410" s="1">
        <v>45732.751643518517</v>
      </c>
      <c r="C1410" t="s">
        <v>0</v>
      </c>
      <c r="D1410" t="str">
        <f>VLOOKUP(A1410,MERCADO!A:B,2,0)</f>
        <v>Empreendedor</v>
      </c>
      <c r="E1410" t="str">
        <f>_xlfn.XLOOKUP(A1410, ORIGEM!A:A, ORIGEM!B:B)</f>
        <v>Orgânico</v>
      </c>
      <c r="F1410">
        <f>_xlfn.XLOOKUP(A1410, ORIGEM!A:A, ORIGEM!C:C)</f>
        <v>0</v>
      </c>
      <c r="G1410" t="str">
        <f>_xlfn.XLOOKUP(A1410, LOCAL!A:A, LOCAL!B:B)</f>
        <v>Curitiba - PR</v>
      </c>
      <c r="H1410" t="str">
        <f>_xlfn.XLOOKUP(A1410, PORTE!A:A, PORTE!B:B)</f>
        <v>0</v>
      </c>
      <c r="I1410" t="str">
        <f>_xlfn.XLOOKUP(A1410, OBJETIVO!A:A, OBJETIVO!B:B)</f>
        <v>Abertura/Expansão</v>
      </c>
      <c r="J1410">
        <f t="shared" si="21"/>
        <v>0</v>
      </c>
    </row>
    <row r="1411" spans="1:10" x14ac:dyDescent="0.25">
      <c r="A1411">
        <v>11666828</v>
      </c>
      <c r="B1411" s="1">
        <v>45733.384641203702</v>
      </c>
      <c r="C1411" t="s">
        <v>0</v>
      </c>
      <c r="D1411" t="str">
        <f>VLOOKUP(A1411,MERCADO!A:B,2,0)</f>
        <v>Empreendedor</v>
      </c>
      <c r="E1411" t="str">
        <f>_xlfn.XLOOKUP(A1411, ORIGEM!A:A, ORIGEM!B:B)</f>
        <v>Orgânico</v>
      </c>
      <c r="F1411">
        <f>_xlfn.XLOOKUP(A1411, ORIGEM!A:A, ORIGEM!C:C)</f>
        <v>0</v>
      </c>
      <c r="G1411" t="str">
        <f>_xlfn.XLOOKUP(A1411, LOCAL!A:A, LOCAL!B:B)</f>
        <v>São Paulo - SP</v>
      </c>
      <c r="H1411" t="str">
        <f>_xlfn.XLOOKUP(A1411, PORTE!A:A, PORTE!B:B)</f>
        <v>0</v>
      </c>
      <c r="I1411" t="str">
        <f>_xlfn.XLOOKUP(A1411, OBJETIVO!A:A, OBJETIVO!B:B)</f>
        <v>Ações de marketing/vendas</v>
      </c>
      <c r="J1411">
        <f t="shared" ref="J1411:J1474" si="22">IF(C1411="SIM",1,0)</f>
        <v>0</v>
      </c>
    </row>
    <row r="1412" spans="1:10" x14ac:dyDescent="0.25">
      <c r="A1412">
        <v>10954443</v>
      </c>
      <c r="B1412" s="1">
        <v>45669.811886574076</v>
      </c>
      <c r="C1412" t="s">
        <v>0</v>
      </c>
      <c r="D1412" t="str">
        <f>VLOOKUP(A1412,MERCADO!A:B,2,0)</f>
        <v>Empreendedor</v>
      </c>
      <c r="E1412" t="str">
        <f>_xlfn.XLOOKUP(A1412, ORIGEM!A:A, ORIGEM!B:B)</f>
        <v>Orgânico</v>
      </c>
      <c r="F1412">
        <f>_xlfn.XLOOKUP(A1412, ORIGEM!A:A, ORIGEM!C:C)</f>
        <v>0</v>
      </c>
      <c r="G1412" t="str">
        <f>_xlfn.XLOOKUP(A1412, LOCAL!A:A, LOCAL!B:B)</f>
        <v>Guarulhos - SP</v>
      </c>
      <c r="H1412" t="str">
        <f>_xlfn.XLOOKUP(A1412, PORTE!A:A, PORTE!B:B)</f>
        <v>1-10</v>
      </c>
      <c r="I1412" t="str">
        <f>_xlfn.XLOOKUP(A1412, OBJETIVO!A:A, OBJETIVO!B:B)</f>
        <v>Geração de leads b2b</v>
      </c>
      <c r="J1412">
        <f t="shared" si="22"/>
        <v>0</v>
      </c>
    </row>
    <row r="1413" spans="1:10" x14ac:dyDescent="0.25">
      <c r="A1413">
        <v>11860332</v>
      </c>
      <c r="B1413" s="1">
        <v>45751.705995370372</v>
      </c>
      <c r="C1413" t="s">
        <v>0</v>
      </c>
      <c r="D1413" t="str">
        <f>VLOOKUP(A1413,MERCADO!A:B,2,0)</f>
        <v>Empreendedor</v>
      </c>
      <c r="E1413" t="str">
        <f>_xlfn.XLOOKUP(A1413, ORIGEM!A:A, ORIGEM!B:B)</f>
        <v>Orgânico</v>
      </c>
      <c r="F1413">
        <f>_xlfn.XLOOKUP(A1413, ORIGEM!A:A, ORIGEM!C:C)</f>
        <v>0</v>
      </c>
      <c r="G1413" t="str">
        <f>_xlfn.XLOOKUP(A1413, LOCAL!A:A, LOCAL!B:B)</f>
        <v>São Paulo - SP</v>
      </c>
      <c r="H1413" t="str">
        <f>_xlfn.XLOOKUP(A1413, PORTE!A:A, PORTE!B:B)</f>
        <v>0</v>
      </c>
      <c r="I1413" t="str">
        <f>_xlfn.XLOOKUP(A1413, OBJETIVO!A:A, OBJETIVO!B:B)</f>
        <v>Abertura/Expansão</v>
      </c>
      <c r="J1413">
        <f t="shared" si="22"/>
        <v>0</v>
      </c>
    </row>
    <row r="1414" spans="1:10" x14ac:dyDescent="0.25">
      <c r="A1414">
        <v>11865775</v>
      </c>
      <c r="B1414" s="1">
        <v>45752.478877314818</v>
      </c>
      <c r="C1414" t="s">
        <v>0</v>
      </c>
      <c r="D1414" t="str">
        <f>VLOOKUP(A1414,MERCADO!A:B,2,0)</f>
        <v>Empreendedor</v>
      </c>
      <c r="E1414" t="str">
        <f>_xlfn.XLOOKUP(A1414, ORIGEM!A:A, ORIGEM!B:B)</f>
        <v>Orgânico</v>
      </c>
      <c r="F1414">
        <f>_xlfn.XLOOKUP(A1414, ORIGEM!A:A, ORIGEM!C:C)</f>
        <v>0</v>
      </c>
      <c r="G1414" t="str">
        <f>_xlfn.XLOOKUP(A1414, LOCAL!A:A, LOCAL!B:B)</f>
        <v>Braganca Paulista - SP</v>
      </c>
      <c r="H1414" t="str">
        <f>_xlfn.XLOOKUP(A1414, PORTE!A:A, PORTE!B:B)</f>
        <v>1-10</v>
      </c>
      <c r="I1414" t="str">
        <f>_xlfn.XLOOKUP(A1414, OBJETIVO!A:A, OBJETIVO!B:B)</f>
        <v>Consultoria</v>
      </c>
      <c r="J1414">
        <f t="shared" si="22"/>
        <v>0</v>
      </c>
    </row>
    <row r="1415" spans="1:10" x14ac:dyDescent="0.25">
      <c r="A1415">
        <v>11892084</v>
      </c>
      <c r="B1415" s="1">
        <v>45753.87263888889</v>
      </c>
      <c r="C1415" t="s">
        <v>0</v>
      </c>
      <c r="D1415" t="str">
        <f>VLOOKUP(A1415,MERCADO!A:B,2,0)</f>
        <v>Empreendedor</v>
      </c>
      <c r="E1415" t="str">
        <f>_xlfn.XLOOKUP(A1415, ORIGEM!A:A, ORIGEM!B:B)</f>
        <v>Orgânico</v>
      </c>
      <c r="F1415">
        <f>_xlfn.XLOOKUP(A1415, ORIGEM!A:A, ORIGEM!C:C)</f>
        <v>0</v>
      </c>
      <c r="G1415" t="str">
        <f>_xlfn.XLOOKUP(A1415, LOCAL!A:A, LOCAL!B:B)</f>
        <v>Rio de Janeiro - RJ</v>
      </c>
      <c r="H1415" t="str">
        <f>_xlfn.XLOOKUP(A1415, PORTE!A:A, PORTE!B:B)</f>
        <v>0</v>
      </c>
      <c r="I1415" t="str">
        <f>_xlfn.XLOOKUP(A1415, OBJETIVO!A:A, OBJETIVO!B:B)</f>
        <v>Outro</v>
      </c>
      <c r="J1415">
        <f t="shared" si="22"/>
        <v>0</v>
      </c>
    </row>
    <row r="1416" spans="1:10" x14ac:dyDescent="0.25">
      <c r="A1416">
        <v>11939049</v>
      </c>
      <c r="B1416" s="1">
        <v>45757.576319444444</v>
      </c>
      <c r="C1416" t="s">
        <v>0</v>
      </c>
      <c r="D1416" t="str">
        <f>VLOOKUP(A1416,MERCADO!A:B,2,0)</f>
        <v>Empreendedor</v>
      </c>
      <c r="E1416" t="str">
        <f>_xlfn.XLOOKUP(A1416, ORIGEM!A:A, ORIGEM!B:B)</f>
        <v>Orgânico</v>
      </c>
      <c r="F1416">
        <f>_xlfn.XLOOKUP(A1416, ORIGEM!A:A, ORIGEM!C:C)</f>
        <v>0</v>
      </c>
      <c r="G1416" t="str">
        <f>_xlfn.XLOOKUP(A1416, LOCAL!A:A, LOCAL!B:B)</f>
        <v>Recife - PE</v>
      </c>
      <c r="H1416" t="str">
        <f>_xlfn.XLOOKUP(A1416, PORTE!A:A, PORTE!B:B)</f>
        <v>1-10</v>
      </c>
      <c r="I1416" t="str">
        <f>_xlfn.XLOOKUP(A1416, OBJETIVO!A:A, OBJETIVO!B:B)</f>
        <v>Abertura/Expansão</v>
      </c>
      <c r="J1416">
        <f t="shared" si="22"/>
        <v>0</v>
      </c>
    </row>
    <row r="1417" spans="1:10" x14ac:dyDescent="0.25">
      <c r="A1417">
        <v>11806457</v>
      </c>
      <c r="B1417" s="1">
        <v>45745.544861111113</v>
      </c>
      <c r="C1417" t="s">
        <v>0</v>
      </c>
      <c r="D1417" t="str">
        <f>VLOOKUP(A1417,MERCADO!A:B,2,0)</f>
        <v>Empreendedor</v>
      </c>
      <c r="E1417" t="str">
        <f>_xlfn.XLOOKUP(A1417, ORIGEM!A:A, ORIGEM!B:B)</f>
        <v>Orgânico</v>
      </c>
      <c r="F1417">
        <f>_xlfn.XLOOKUP(A1417, ORIGEM!A:A, ORIGEM!C:C)</f>
        <v>0</v>
      </c>
      <c r="G1417" t="str">
        <f>_xlfn.XLOOKUP(A1417, LOCAL!A:A, LOCAL!B:B)</f>
        <v>-</v>
      </c>
      <c r="H1417" t="str">
        <f>_xlfn.XLOOKUP(A1417, PORTE!A:A, PORTE!B:B)</f>
        <v>1-10</v>
      </c>
      <c r="I1417" t="str">
        <f>_xlfn.XLOOKUP(A1417, OBJETIVO!A:A, OBJETIVO!B:B)</f>
        <v>Abertura/Expansão</v>
      </c>
      <c r="J1417">
        <f t="shared" si="22"/>
        <v>0</v>
      </c>
    </row>
    <row r="1418" spans="1:10" x14ac:dyDescent="0.25">
      <c r="A1418">
        <v>11616387</v>
      </c>
      <c r="B1418" s="1">
        <v>45727.742164351854</v>
      </c>
      <c r="C1418" t="s">
        <v>0</v>
      </c>
      <c r="D1418" t="str">
        <f>VLOOKUP(A1418,MERCADO!A:B,2,0)</f>
        <v>Empreendedor</v>
      </c>
      <c r="E1418" t="str">
        <f>_xlfn.XLOOKUP(A1418, ORIGEM!A:A, ORIGEM!B:B)</f>
        <v>Orgânico</v>
      </c>
      <c r="F1418">
        <f>_xlfn.XLOOKUP(A1418, ORIGEM!A:A, ORIGEM!C:C)</f>
        <v>0</v>
      </c>
      <c r="G1418" t="str">
        <f>_xlfn.XLOOKUP(A1418, LOCAL!A:A, LOCAL!B:B)</f>
        <v>Limoeiro - PE</v>
      </c>
      <c r="H1418" t="str">
        <f>_xlfn.XLOOKUP(A1418, PORTE!A:A, PORTE!B:B)</f>
        <v>0</v>
      </c>
      <c r="I1418" t="str">
        <f>_xlfn.XLOOKUP(A1418, OBJETIVO!A:A, OBJETIVO!B:B)</f>
        <v>Abertura/Expansão</v>
      </c>
      <c r="J1418">
        <f t="shared" si="22"/>
        <v>0</v>
      </c>
    </row>
    <row r="1419" spans="1:10" x14ac:dyDescent="0.25">
      <c r="A1419">
        <v>11623516</v>
      </c>
      <c r="B1419" s="1">
        <v>45728.489675925928</v>
      </c>
      <c r="C1419" t="s">
        <v>0</v>
      </c>
      <c r="D1419" t="str">
        <f>VLOOKUP(A1419,MERCADO!A:B,2,0)</f>
        <v>Empreendedor</v>
      </c>
      <c r="E1419" t="str">
        <f>_xlfn.XLOOKUP(A1419, ORIGEM!A:A, ORIGEM!B:B)</f>
        <v>Orgânico</v>
      </c>
      <c r="F1419">
        <f>_xlfn.XLOOKUP(A1419, ORIGEM!A:A, ORIGEM!C:C)</f>
        <v>0</v>
      </c>
      <c r="G1419" t="str">
        <f>_xlfn.XLOOKUP(A1419, LOCAL!A:A, LOCAL!B:B)</f>
        <v>São Luís - MA</v>
      </c>
      <c r="H1419" t="str">
        <f>_xlfn.XLOOKUP(A1419, PORTE!A:A, PORTE!B:B)</f>
        <v>0</v>
      </c>
      <c r="I1419" t="str">
        <f>_xlfn.XLOOKUP(A1419, OBJETIVO!A:A, OBJETIVO!B:B)</f>
        <v>Outro</v>
      </c>
      <c r="J1419">
        <f t="shared" si="22"/>
        <v>0</v>
      </c>
    </row>
    <row r="1420" spans="1:10" x14ac:dyDescent="0.25">
      <c r="A1420">
        <v>11736808</v>
      </c>
      <c r="B1420" s="1">
        <v>45739.772546296299</v>
      </c>
      <c r="C1420" t="s">
        <v>0</v>
      </c>
      <c r="D1420" t="str">
        <f>VLOOKUP(A1420,MERCADO!A:B,2,0)</f>
        <v>Empreendedor</v>
      </c>
      <c r="E1420" t="str">
        <f>_xlfn.XLOOKUP(A1420, ORIGEM!A:A, ORIGEM!B:B)</f>
        <v>Orgânico</v>
      </c>
      <c r="F1420">
        <f>_xlfn.XLOOKUP(A1420, ORIGEM!A:A, ORIGEM!C:C)</f>
        <v>0</v>
      </c>
      <c r="G1420" t="str">
        <f>_xlfn.XLOOKUP(A1420, LOCAL!A:A, LOCAL!B:B)</f>
        <v>Duque de Caxias - RJ</v>
      </c>
      <c r="H1420" t="str">
        <f>_xlfn.XLOOKUP(A1420, PORTE!A:A, PORTE!B:B)</f>
        <v>0</v>
      </c>
      <c r="I1420" t="str">
        <f>_xlfn.XLOOKUP(A1420, OBJETIVO!A:A, OBJETIVO!B:B)</f>
        <v>Outro</v>
      </c>
      <c r="J1420">
        <f t="shared" si="22"/>
        <v>0</v>
      </c>
    </row>
    <row r="1421" spans="1:10" x14ac:dyDescent="0.25">
      <c r="A1421">
        <v>11707790</v>
      </c>
      <c r="B1421" s="1">
        <v>45736.485717592594</v>
      </c>
      <c r="C1421" t="s">
        <v>0</v>
      </c>
      <c r="D1421" t="str">
        <f>VLOOKUP(A1421,MERCADO!A:B,2,0)</f>
        <v>Empreendedor</v>
      </c>
      <c r="E1421" t="str">
        <f>_xlfn.XLOOKUP(A1421, ORIGEM!A:A, ORIGEM!B:B)</f>
        <v>Orgânico</v>
      </c>
      <c r="F1421">
        <f>_xlfn.XLOOKUP(A1421, ORIGEM!A:A, ORIGEM!C:C)</f>
        <v>0</v>
      </c>
      <c r="G1421" t="str">
        <f>_xlfn.XLOOKUP(A1421, LOCAL!A:A, LOCAL!B:B)</f>
        <v>Cruz Alta - RS</v>
      </c>
      <c r="H1421" t="str">
        <f>_xlfn.XLOOKUP(A1421, PORTE!A:A, PORTE!B:B)</f>
        <v>0</v>
      </c>
      <c r="I1421" t="str">
        <f>_xlfn.XLOOKUP(A1421, OBJETIVO!A:A, OBJETIVO!B:B)</f>
        <v>Abertura/Expansão</v>
      </c>
      <c r="J1421">
        <f t="shared" si="22"/>
        <v>0</v>
      </c>
    </row>
    <row r="1422" spans="1:10" x14ac:dyDescent="0.25">
      <c r="A1422">
        <v>11756567</v>
      </c>
      <c r="B1422" s="1">
        <v>45741.491273148145</v>
      </c>
      <c r="C1422" t="s">
        <v>0</v>
      </c>
      <c r="D1422" t="str">
        <f>VLOOKUP(A1422,MERCADO!A:B,2,0)</f>
        <v>Empreendedor</v>
      </c>
      <c r="E1422" t="str">
        <f>_xlfn.XLOOKUP(A1422, ORIGEM!A:A, ORIGEM!B:B)</f>
        <v>Orgânico</v>
      </c>
      <c r="F1422">
        <f>_xlfn.XLOOKUP(A1422, ORIGEM!A:A, ORIGEM!C:C)</f>
        <v>0</v>
      </c>
      <c r="G1422" t="str">
        <f>_xlfn.XLOOKUP(A1422, LOCAL!A:A, LOCAL!B:B)</f>
        <v>Recife - PE</v>
      </c>
      <c r="H1422" t="str">
        <f>_xlfn.XLOOKUP(A1422, PORTE!A:A, PORTE!B:B)</f>
        <v>0</v>
      </c>
      <c r="I1422" t="str">
        <f>_xlfn.XLOOKUP(A1422, OBJETIVO!A:A, OBJETIVO!B:B)</f>
        <v>Abertura/Expansão</v>
      </c>
      <c r="J1422">
        <f t="shared" si="22"/>
        <v>0</v>
      </c>
    </row>
    <row r="1423" spans="1:10" x14ac:dyDescent="0.25">
      <c r="A1423">
        <v>10940074</v>
      </c>
      <c r="B1423" s="1">
        <v>45669.367835648147</v>
      </c>
      <c r="C1423" t="s">
        <v>0</v>
      </c>
      <c r="D1423" t="str">
        <f>VLOOKUP(A1423,MERCADO!A:B,2,0)</f>
        <v>Empreendedor</v>
      </c>
      <c r="E1423" t="str">
        <f>_xlfn.XLOOKUP(A1423, ORIGEM!A:A, ORIGEM!B:B)</f>
        <v>Orgânico</v>
      </c>
      <c r="F1423">
        <f>_xlfn.XLOOKUP(A1423, ORIGEM!A:A, ORIGEM!C:C)</f>
        <v>0</v>
      </c>
      <c r="G1423" t="str">
        <f>_xlfn.XLOOKUP(A1423, LOCAL!A:A, LOCAL!B:B)</f>
        <v>Macaiba - RN</v>
      </c>
      <c r="H1423" t="str">
        <f>_xlfn.XLOOKUP(A1423, PORTE!A:A, PORTE!B:B)</f>
        <v>0</v>
      </c>
      <c r="I1423" t="str">
        <f>_xlfn.XLOOKUP(A1423, OBJETIVO!A:A, OBJETIVO!B:B)</f>
        <v>Outro</v>
      </c>
      <c r="J1423">
        <f t="shared" si="22"/>
        <v>0</v>
      </c>
    </row>
    <row r="1424" spans="1:10" x14ac:dyDescent="0.25">
      <c r="A1424">
        <v>11787509</v>
      </c>
      <c r="B1424" s="1">
        <v>45743.366944444446</v>
      </c>
      <c r="C1424" t="s">
        <v>0</v>
      </c>
      <c r="D1424" t="str">
        <f>VLOOKUP(A1424,MERCADO!A:B,2,0)</f>
        <v>Empreendedor</v>
      </c>
      <c r="E1424" t="str">
        <f>_xlfn.XLOOKUP(A1424, ORIGEM!A:A, ORIGEM!B:B)</f>
        <v>Orgânico</v>
      </c>
      <c r="F1424">
        <f>_xlfn.XLOOKUP(A1424, ORIGEM!A:A, ORIGEM!C:C)</f>
        <v>0</v>
      </c>
      <c r="G1424" t="str">
        <f>_xlfn.XLOOKUP(A1424, LOCAL!A:A, LOCAL!B:B)</f>
        <v>São Paulo - SP</v>
      </c>
      <c r="H1424" t="str">
        <f>_xlfn.XLOOKUP(A1424, PORTE!A:A, PORTE!B:B)</f>
        <v>1-10</v>
      </c>
      <c r="I1424" t="str">
        <f>_xlfn.XLOOKUP(A1424, OBJETIVO!A:A, OBJETIVO!B:B)</f>
        <v>Abertura/Expansão</v>
      </c>
      <c r="J1424">
        <f t="shared" si="22"/>
        <v>0</v>
      </c>
    </row>
    <row r="1425" spans="1:10" x14ac:dyDescent="0.25">
      <c r="A1425">
        <v>11787607</v>
      </c>
      <c r="B1425" s="1">
        <v>45743.395150462966</v>
      </c>
      <c r="C1425" t="s">
        <v>0</v>
      </c>
      <c r="D1425" t="str">
        <f>VLOOKUP(A1425,MERCADO!A:B,2,0)</f>
        <v>Empreendedor</v>
      </c>
      <c r="E1425" t="str">
        <f>_xlfn.XLOOKUP(A1425, ORIGEM!A:A, ORIGEM!B:B)</f>
        <v>Orgânico</v>
      </c>
      <c r="F1425">
        <f>_xlfn.XLOOKUP(A1425, ORIGEM!A:A, ORIGEM!C:C)</f>
        <v>0</v>
      </c>
      <c r="G1425" t="str">
        <f>_xlfn.XLOOKUP(A1425, LOCAL!A:A, LOCAL!B:B)</f>
        <v>Macaé - RJ</v>
      </c>
      <c r="H1425" t="str">
        <f>_xlfn.XLOOKUP(A1425, PORTE!A:A, PORTE!B:B)</f>
        <v>1-10</v>
      </c>
      <c r="I1425" t="str">
        <f>_xlfn.XLOOKUP(A1425, OBJETIVO!A:A, OBJETIVO!B:B)</f>
        <v>Abertura/Expansão</v>
      </c>
      <c r="J1425">
        <f t="shared" si="22"/>
        <v>0</v>
      </c>
    </row>
    <row r="1426" spans="1:10" x14ac:dyDescent="0.25">
      <c r="A1426">
        <v>11788827</v>
      </c>
      <c r="B1426" s="1">
        <v>45743.774398148147</v>
      </c>
      <c r="C1426" t="s">
        <v>0</v>
      </c>
      <c r="D1426" t="str">
        <f>VLOOKUP(A1426,MERCADO!A:B,2,0)</f>
        <v>Empreendedor</v>
      </c>
      <c r="E1426" t="str">
        <f>_xlfn.XLOOKUP(A1426, ORIGEM!A:A, ORIGEM!B:B)</f>
        <v>Orgânico</v>
      </c>
      <c r="F1426">
        <f>_xlfn.XLOOKUP(A1426, ORIGEM!A:A, ORIGEM!C:C)</f>
        <v>0</v>
      </c>
      <c r="G1426" t="str">
        <f>_xlfn.XLOOKUP(A1426, LOCAL!A:A, LOCAL!B:B)</f>
        <v>Recife - PE</v>
      </c>
      <c r="H1426" t="str">
        <f>_xlfn.XLOOKUP(A1426, PORTE!A:A, PORTE!B:B)</f>
        <v>0</v>
      </c>
      <c r="I1426" t="str">
        <f>_xlfn.XLOOKUP(A1426, OBJETIVO!A:A, OBJETIVO!B:B)</f>
        <v>Abertura/Expansão</v>
      </c>
      <c r="J1426">
        <f t="shared" si="22"/>
        <v>0</v>
      </c>
    </row>
    <row r="1427" spans="1:10" x14ac:dyDescent="0.25">
      <c r="A1427">
        <v>11058513</v>
      </c>
      <c r="B1427" s="1">
        <v>45677.639907407407</v>
      </c>
      <c r="C1427" t="s">
        <v>0</v>
      </c>
      <c r="D1427" t="str">
        <f>VLOOKUP(A1427,MERCADO!A:B,2,0)</f>
        <v>Empreendedor</v>
      </c>
      <c r="E1427" t="str">
        <f>_xlfn.XLOOKUP(A1427, ORIGEM!A:A, ORIGEM!B:B)</f>
        <v>Orgânico</v>
      </c>
      <c r="F1427">
        <f>_xlfn.XLOOKUP(A1427, ORIGEM!A:A, ORIGEM!C:C)</f>
        <v>0</v>
      </c>
      <c r="G1427" t="str">
        <f>_xlfn.XLOOKUP(A1427, LOCAL!A:A, LOCAL!B:B)</f>
        <v>São Paulo - SP</v>
      </c>
      <c r="H1427" t="str">
        <f>_xlfn.XLOOKUP(A1427, PORTE!A:A, PORTE!B:B)</f>
        <v>1-10</v>
      </c>
      <c r="I1427" t="str">
        <f>_xlfn.XLOOKUP(A1427, OBJETIVO!A:A, OBJETIVO!B:B)</f>
        <v>Abertura/Expansão</v>
      </c>
      <c r="J1427">
        <f t="shared" si="22"/>
        <v>0</v>
      </c>
    </row>
    <row r="1428" spans="1:10" x14ac:dyDescent="0.25">
      <c r="A1428">
        <v>11058003</v>
      </c>
      <c r="B1428" s="1">
        <v>45677.621724537035</v>
      </c>
      <c r="C1428" t="s">
        <v>0</v>
      </c>
      <c r="D1428" t="str">
        <f>VLOOKUP(A1428,MERCADO!A:B,2,0)</f>
        <v>Empreendedor</v>
      </c>
      <c r="E1428" t="str">
        <f>_xlfn.XLOOKUP(A1428, ORIGEM!A:A, ORIGEM!B:B)</f>
        <v>Orgânico</v>
      </c>
      <c r="F1428">
        <f>_xlfn.XLOOKUP(A1428, ORIGEM!A:A, ORIGEM!C:C)</f>
        <v>0</v>
      </c>
      <c r="G1428" t="str">
        <f>_xlfn.XLOOKUP(A1428, LOCAL!A:A, LOCAL!B:B)</f>
        <v>Rio de Janeiro - RJ</v>
      </c>
      <c r="H1428" t="str">
        <f>_xlfn.XLOOKUP(A1428, PORTE!A:A, PORTE!B:B)</f>
        <v>0</v>
      </c>
      <c r="I1428" t="str">
        <f>_xlfn.XLOOKUP(A1428, OBJETIVO!A:A, OBJETIVO!B:B)</f>
        <v>Outro</v>
      </c>
      <c r="J1428">
        <f t="shared" si="22"/>
        <v>0</v>
      </c>
    </row>
    <row r="1429" spans="1:10" x14ac:dyDescent="0.25">
      <c r="A1429">
        <v>11046834</v>
      </c>
      <c r="B1429" s="1">
        <v>45676.705208333333</v>
      </c>
      <c r="C1429" t="s">
        <v>0</v>
      </c>
      <c r="D1429" t="str">
        <f>VLOOKUP(A1429,MERCADO!A:B,2,0)</f>
        <v>Empreendedor</v>
      </c>
      <c r="E1429" t="str">
        <f>_xlfn.XLOOKUP(A1429, ORIGEM!A:A, ORIGEM!B:B)</f>
        <v>Orgânico</v>
      </c>
      <c r="F1429">
        <f>_xlfn.XLOOKUP(A1429, ORIGEM!A:A, ORIGEM!C:C)</f>
        <v>0</v>
      </c>
      <c r="G1429" t="str">
        <f>_xlfn.XLOOKUP(A1429, LOCAL!A:A, LOCAL!B:B)</f>
        <v>Cuiabá - MT</v>
      </c>
      <c r="H1429" t="str">
        <f>_xlfn.XLOOKUP(A1429, PORTE!A:A, PORTE!B:B)</f>
        <v>0</v>
      </c>
      <c r="I1429" t="str">
        <f>_xlfn.XLOOKUP(A1429, OBJETIVO!A:A, OBJETIVO!B:B)</f>
        <v>Outro</v>
      </c>
      <c r="J1429">
        <f t="shared" si="22"/>
        <v>0</v>
      </c>
    </row>
    <row r="1430" spans="1:10" x14ac:dyDescent="0.25">
      <c r="A1430">
        <v>11047063</v>
      </c>
      <c r="B1430" s="1">
        <v>45676.709062499998</v>
      </c>
      <c r="C1430" t="s">
        <v>0</v>
      </c>
      <c r="D1430" t="str">
        <f>VLOOKUP(A1430,MERCADO!A:B,2,0)</f>
        <v>Empreendedor</v>
      </c>
      <c r="E1430" t="str">
        <f>_xlfn.XLOOKUP(A1430, ORIGEM!A:A, ORIGEM!B:B)</f>
        <v>Orgânico</v>
      </c>
      <c r="F1430">
        <f>_xlfn.XLOOKUP(A1430, ORIGEM!A:A, ORIGEM!C:C)</f>
        <v>0</v>
      </c>
      <c r="G1430" t="str">
        <f>_xlfn.XLOOKUP(A1430, LOCAL!A:A, LOCAL!B:B)</f>
        <v>Santana do Livramento - RS</v>
      </c>
      <c r="H1430" t="str">
        <f>_xlfn.XLOOKUP(A1430, PORTE!A:A, PORTE!B:B)</f>
        <v>0</v>
      </c>
      <c r="I1430" t="str">
        <f>_xlfn.XLOOKUP(A1430, OBJETIVO!A:A, OBJETIVO!B:B)</f>
        <v>Outro</v>
      </c>
      <c r="J1430">
        <f t="shared" si="22"/>
        <v>0</v>
      </c>
    </row>
    <row r="1431" spans="1:10" x14ac:dyDescent="0.25">
      <c r="A1431">
        <v>11007414</v>
      </c>
      <c r="B1431" s="1">
        <v>45672.853298611109</v>
      </c>
      <c r="C1431" t="s">
        <v>0</v>
      </c>
      <c r="D1431" t="str">
        <f>VLOOKUP(A1431,MERCADO!A:B,2,0)</f>
        <v>Empreendedor</v>
      </c>
      <c r="E1431" t="str">
        <f>_xlfn.XLOOKUP(A1431, ORIGEM!A:A, ORIGEM!B:B)</f>
        <v>Orgânico</v>
      </c>
      <c r="F1431">
        <f>_xlfn.XLOOKUP(A1431, ORIGEM!A:A, ORIGEM!C:C)</f>
        <v>0</v>
      </c>
      <c r="G1431" t="str">
        <f>_xlfn.XLOOKUP(A1431, LOCAL!A:A, LOCAL!B:B)</f>
        <v>Feira de Santana - BA</v>
      </c>
      <c r="H1431" t="str">
        <f>_xlfn.XLOOKUP(A1431, PORTE!A:A, PORTE!B:B)</f>
        <v>1-10</v>
      </c>
      <c r="I1431" t="str">
        <f>_xlfn.XLOOKUP(A1431, OBJETIVO!A:A, OBJETIVO!B:B)</f>
        <v>Ações de marketing/vendas</v>
      </c>
      <c r="J1431">
        <f t="shared" si="22"/>
        <v>0</v>
      </c>
    </row>
    <row r="1432" spans="1:10" x14ac:dyDescent="0.25">
      <c r="A1432">
        <v>11007850</v>
      </c>
      <c r="B1432" s="1">
        <v>45673.015289351853</v>
      </c>
      <c r="C1432" t="s">
        <v>0</v>
      </c>
      <c r="D1432" t="str">
        <f>VLOOKUP(A1432,MERCADO!A:B,2,0)</f>
        <v>Empreendedor</v>
      </c>
      <c r="E1432" t="str">
        <f>_xlfn.XLOOKUP(A1432, ORIGEM!A:A, ORIGEM!B:B)</f>
        <v>Orgânico</v>
      </c>
      <c r="F1432">
        <f>_xlfn.XLOOKUP(A1432, ORIGEM!A:A, ORIGEM!C:C)</f>
        <v>0</v>
      </c>
      <c r="G1432" t="str">
        <f>_xlfn.XLOOKUP(A1432, LOCAL!A:A, LOCAL!B:B)</f>
        <v>Birigui - SP</v>
      </c>
      <c r="H1432" t="str">
        <f>_xlfn.XLOOKUP(A1432, PORTE!A:A, PORTE!B:B)</f>
        <v>0</v>
      </c>
      <c r="I1432" t="str">
        <f>_xlfn.XLOOKUP(A1432, OBJETIVO!A:A, OBJETIVO!B:B)</f>
        <v>Abertura/Expansão</v>
      </c>
      <c r="J1432">
        <f t="shared" si="22"/>
        <v>0</v>
      </c>
    </row>
    <row r="1433" spans="1:10" x14ac:dyDescent="0.25">
      <c r="A1433">
        <v>11028212</v>
      </c>
      <c r="B1433" s="1">
        <v>45675.768958333334</v>
      </c>
      <c r="C1433" t="s">
        <v>0</v>
      </c>
      <c r="D1433" t="str">
        <f>VLOOKUP(A1433,MERCADO!A:B,2,0)</f>
        <v>Empreendedor</v>
      </c>
      <c r="E1433" t="str">
        <f>_xlfn.XLOOKUP(A1433, ORIGEM!A:A, ORIGEM!B:B)</f>
        <v>Orgânico</v>
      </c>
      <c r="F1433">
        <f>_xlfn.XLOOKUP(A1433, ORIGEM!A:A, ORIGEM!C:C)</f>
        <v>0</v>
      </c>
      <c r="G1433" t="str">
        <f>_xlfn.XLOOKUP(A1433, LOCAL!A:A, LOCAL!B:B)</f>
        <v>Rio de Janeiro - RJ</v>
      </c>
      <c r="H1433" t="str">
        <f>_xlfn.XLOOKUP(A1433, PORTE!A:A, PORTE!B:B)</f>
        <v>0</v>
      </c>
      <c r="I1433" t="str">
        <f>_xlfn.XLOOKUP(A1433, OBJETIVO!A:A, OBJETIVO!B:B)</f>
        <v>Abertura/Expansão</v>
      </c>
      <c r="J1433">
        <f t="shared" si="22"/>
        <v>0</v>
      </c>
    </row>
    <row r="1434" spans="1:10" x14ac:dyDescent="0.25">
      <c r="A1434">
        <v>11028705</v>
      </c>
      <c r="B1434" s="1">
        <v>45675.848402777781</v>
      </c>
      <c r="C1434" t="s">
        <v>0</v>
      </c>
      <c r="D1434" t="str">
        <f>VLOOKUP(A1434,MERCADO!A:B,2,0)</f>
        <v>Empreendedor</v>
      </c>
      <c r="E1434" t="str">
        <f>_xlfn.XLOOKUP(A1434, ORIGEM!A:A, ORIGEM!B:B)</f>
        <v>Orgânico</v>
      </c>
      <c r="F1434">
        <f>_xlfn.XLOOKUP(A1434, ORIGEM!A:A, ORIGEM!C:C)</f>
        <v>0</v>
      </c>
      <c r="G1434" t="str">
        <f>_xlfn.XLOOKUP(A1434, LOCAL!A:A, LOCAL!B:B)</f>
        <v>Cabo Frio - RJ</v>
      </c>
      <c r="H1434" t="str">
        <f>_xlfn.XLOOKUP(A1434, PORTE!A:A, PORTE!B:B)</f>
        <v>0</v>
      </c>
      <c r="I1434" t="str">
        <f>_xlfn.XLOOKUP(A1434, OBJETIVO!A:A, OBJETIVO!B:B)</f>
        <v>Outro</v>
      </c>
      <c r="J1434">
        <f t="shared" si="22"/>
        <v>0</v>
      </c>
    </row>
    <row r="1435" spans="1:10" x14ac:dyDescent="0.25">
      <c r="A1435">
        <v>10981395</v>
      </c>
      <c r="B1435" s="1">
        <v>45671.625891203701</v>
      </c>
      <c r="C1435" t="s">
        <v>0</v>
      </c>
      <c r="D1435" t="str">
        <f>VLOOKUP(A1435,MERCADO!A:B,2,0)</f>
        <v>Empreendedor</v>
      </c>
      <c r="E1435" t="str">
        <f>_xlfn.XLOOKUP(A1435, ORIGEM!A:A, ORIGEM!B:B)</f>
        <v>Orgânico</v>
      </c>
      <c r="F1435">
        <f>_xlfn.XLOOKUP(A1435, ORIGEM!A:A, ORIGEM!C:C)</f>
        <v>0</v>
      </c>
      <c r="G1435" t="str">
        <f>_xlfn.XLOOKUP(A1435, LOCAL!A:A, LOCAL!B:B)</f>
        <v>Niterói - RJ</v>
      </c>
      <c r="H1435" t="str">
        <f>_xlfn.XLOOKUP(A1435, PORTE!A:A, PORTE!B:B)</f>
        <v>0</v>
      </c>
      <c r="I1435" t="str">
        <f>_xlfn.XLOOKUP(A1435, OBJETIVO!A:A, OBJETIVO!B:B)</f>
        <v>Abertura/Expansão</v>
      </c>
      <c r="J1435">
        <f t="shared" si="22"/>
        <v>0</v>
      </c>
    </row>
    <row r="1436" spans="1:10" x14ac:dyDescent="0.25">
      <c r="A1436">
        <v>10981593</v>
      </c>
      <c r="B1436" s="1">
        <v>45671.634583333333</v>
      </c>
      <c r="C1436" t="s">
        <v>0</v>
      </c>
      <c r="D1436" t="str">
        <f>VLOOKUP(A1436,MERCADO!A:B,2,0)</f>
        <v>Empreendedor</v>
      </c>
      <c r="E1436" t="str">
        <f>_xlfn.XLOOKUP(A1436, ORIGEM!A:A, ORIGEM!B:B)</f>
        <v>Orgânico</v>
      </c>
      <c r="F1436">
        <f>_xlfn.XLOOKUP(A1436, ORIGEM!A:A, ORIGEM!C:C)</f>
        <v>0</v>
      </c>
      <c r="G1436" t="str">
        <f>_xlfn.XLOOKUP(A1436, LOCAL!A:A, LOCAL!B:B)</f>
        <v>Niterói - RJ</v>
      </c>
      <c r="H1436" t="str">
        <f>_xlfn.XLOOKUP(A1436, PORTE!A:A, PORTE!B:B)</f>
        <v>0</v>
      </c>
      <c r="I1436" t="str">
        <f>_xlfn.XLOOKUP(A1436, OBJETIVO!A:A, OBJETIVO!B:B)</f>
        <v>Abertura/Expansão</v>
      </c>
      <c r="J1436">
        <f t="shared" si="22"/>
        <v>0</v>
      </c>
    </row>
    <row r="1437" spans="1:10" x14ac:dyDescent="0.25">
      <c r="A1437">
        <v>10961649</v>
      </c>
      <c r="B1437" s="1">
        <v>45670.5075</v>
      </c>
      <c r="C1437" t="s">
        <v>0</v>
      </c>
      <c r="D1437" t="str">
        <f>VLOOKUP(A1437,MERCADO!A:B,2,0)</f>
        <v>Empreendedor</v>
      </c>
      <c r="E1437" t="str">
        <f>_xlfn.XLOOKUP(A1437, ORIGEM!A:A, ORIGEM!B:B)</f>
        <v>Orgânico</v>
      </c>
      <c r="F1437">
        <f>_xlfn.XLOOKUP(A1437, ORIGEM!A:A, ORIGEM!C:C)</f>
        <v>0</v>
      </c>
      <c r="G1437" t="str">
        <f>_xlfn.XLOOKUP(A1437, LOCAL!A:A, LOCAL!B:B)</f>
        <v>Serrinha - BA</v>
      </c>
      <c r="H1437" t="str">
        <f>_xlfn.XLOOKUP(A1437, PORTE!A:A, PORTE!B:B)</f>
        <v>0</v>
      </c>
      <c r="I1437" t="str">
        <f>_xlfn.XLOOKUP(A1437, OBJETIVO!A:A, OBJETIVO!B:B)</f>
        <v>Outro</v>
      </c>
      <c r="J1437">
        <f t="shared" si="22"/>
        <v>0</v>
      </c>
    </row>
    <row r="1438" spans="1:10" x14ac:dyDescent="0.25">
      <c r="A1438">
        <v>10992161</v>
      </c>
      <c r="B1438" s="1">
        <v>45671.96361111111</v>
      </c>
      <c r="C1438" t="s">
        <v>0</v>
      </c>
      <c r="D1438" t="str">
        <f>VLOOKUP(A1438,MERCADO!A:B,2,0)</f>
        <v>Empreendedor</v>
      </c>
      <c r="E1438" t="str">
        <f>_xlfn.XLOOKUP(A1438, ORIGEM!A:A, ORIGEM!B:B)</f>
        <v>Orgânico</v>
      </c>
      <c r="F1438">
        <f>_xlfn.XLOOKUP(A1438, ORIGEM!A:A, ORIGEM!C:C)</f>
        <v>0</v>
      </c>
      <c r="G1438" t="str">
        <f>_xlfn.XLOOKUP(A1438, LOCAL!A:A, LOCAL!B:B)</f>
        <v>Teresina - PI</v>
      </c>
      <c r="H1438" t="str">
        <f>_xlfn.XLOOKUP(A1438, PORTE!A:A, PORTE!B:B)</f>
        <v>0</v>
      </c>
      <c r="I1438" t="str">
        <f>_xlfn.XLOOKUP(A1438, OBJETIVO!A:A, OBJETIVO!B:B)</f>
        <v>Abertura/Expansão</v>
      </c>
      <c r="J1438">
        <f t="shared" si="22"/>
        <v>0</v>
      </c>
    </row>
    <row r="1439" spans="1:10" x14ac:dyDescent="0.25">
      <c r="A1439">
        <v>10992174</v>
      </c>
      <c r="B1439" s="1">
        <v>45671.967430555553</v>
      </c>
      <c r="C1439" t="s">
        <v>0</v>
      </c>
      <c r="D1439" t="str">
        <f>VLOOKUP(A1439,MERCADO!A:B,2,0)</f>
        <v>Empreendedor</v>
      </c>
      <c r="E1439" t="str">
        <f>_xlfn.XLOOKUP(A1439, ORIGEM!A:A, ORIGEM!B:B)</f>
        <v>Orgânico</v>
      </c>
      <c r="F1439">
        <f>_xlfn.XLOOKUP(A1439, ORIGEM!A:A, ORIGEM!C:C)</f>
        <v>0</v>
      </c>
      <c r="G1439" t="str">
        <f>_xlfn.XLOOKUP(A1439, LOCAL!A:A, LOCAL!B:B)</f>
        <v>Foz do Iguaçu - PR</v>
      </c>
      <c r="H1439" t="str">
        <f>_xlfn.XLOOKUP(A1439, PORTE!A:A, PORTE!B:B)</f>
        <v>0</v>
      </c>
      <c r="I1439" t="str">
        <f>_xlfn.XLOOKUP(A1439, OBJETIVO!A:A, OBJETIVO!B:B)</f>
        <v>Outro</v>
      </c>
      <c r="J1439">
        <f t="shared" si="22"/>
        <v>0</v>
      </c>
    </row>
    <row r="1440" spans="1:10" x14ac:dyDescent="0.25">
      <c r="A1440">
        <v>11003012</v>
      </c>
      <c r="B1440" s="1">
        <v>45672.66615740741</v>
      </c>
      <c r="C1440" t="s">
        <v>0</v>
      </c>
      <c r="D1440" t="str">
        <f>VLOOKUP(A1440,MERCADO!A:B,2,0)</f>
        <v>Empreendedor</v>
      </c>
      <c r="E1440" t="str">
        <f>_xlfn.XLOOKUP(A1440, ORIGEM!A:A, ORIGEM!B:B)</f>
        <v>Orgânico</v>
      </c>
      <c r="F1440">
        <f>_xlfn.XLOOKUP(A1440, ORIGEM!A:A, ORIGEM!C:C)</f>
        <v>0</v>
      </c>
      <c r="G1440" t="str">
        <f>_xlfn.XLOOKUP(A1440, LOCAL!A:A, LOCAL!B:B)</f>
        <v>São Carlos - SP</v>
      </c>
      <c r="H1440" t="str">
        <f>_xlfn.XLOOKUP(A1440, PORTE!A:A, PORTE!B:B)</f>
        <v>0</v>
      </c>
      <c r="I1440" t="str">
        <f>_xlfn.XLOOKUP(A1440, OBJETIVO!A:A, OBJETIVO!B:B)</f>
        <v>Outro</v>
      </c>
      <c r="J1440">
        <f t="shared" si="22"/>
        <v>0</v>
      </c>
    </row>
    <row r="1441" spans="1:10" x14ac:dyDescent="0.25">
      <c r="A1441">
        <v>11007926</v>
      </c>
      <c r="B1441" s="1">
        <v>45673.098726851851</v>
      </c>
      <c r="C1441" t="s">
        <v>0</v>
      </c>
      <c r="D1441" t="str">
        <f>VLOOKUP(A1441,MERCADO!A:B,2,0)</f>
        <v>Empreendedor</v>
      </c>
      <c r="E1441" t="str">
        <f>_xlfn.XLOOKUP(A1441, ORIGEM!A:A, ORIGEM!B:B)</f>
        <v>Orgânico</v>
      </c>
      <c r="F1441">
        <f>_xlfn.XLOOKUP(A1441, ORIGEM!A:A, ORIGEM!C:C)</f>
        <v>0</v>
      </c>
      <c r="G1441" t="str">
        <f>_xlfn.XLOOKUP(A1441, LOCAL!A:A, LOCAL!B:B)</f>
        <v>Neves Paulista - SP</v>
      </c>
      <c r="H1441" t="str">
        <f>_xlfn.XLOOKUP(A1441, PORTE!A:A, PORTE!B:B)</f>
        <v>11-50</v>
      </c>
      <c r="I1441" t="str">
        <f>_xlfn.XLOOKUP(A1441, OBJETIVO!A:A, OBJETIVO!B:B)</f>
        <v>Outro</v>
      </c>
      <c r="J1441">
        <f t="shared" si="22"/>
        <v>0</v>
      </c>
    </row>
    <row r="1442" spans="1:10" x14ac:dyDescent="0.25">
      <c r="A1442">
        <v>11008930</v>
      </c>
      <c r="B1442" s="1">
        <v>45673.437407407408</v>
      </c>
      <c r="C1442" t="s">
        <v>0</v>
      </c>
      <c r="D1442" t="str">
        <f>VLOOKUP(A1442,MERCADO!A:B,2,0)</f>
        <v>Empreendedor</v>
      </c>
      <c r="E1442" t="str">
        <f>_xlfn.XLOOKUP(A1442, ORIGEM!A:A, ORIGEM!B:B)</f>
        <v>Orgânico</v>
      </c>
      <c r="F1442">
        <f>_xlfn.XLOOKUP(A1442, ORIGEM!A:A, ORIGEM!C:C)</f>
        <v>0</v>
      </c>
      <c r="G1442" t="str">
        <f>_xlfn.XLOOKUP(A1442, LOCAL!A:A, LOCAL!B:B)</f>
        <v>Guimarania - MG</v>
      </c>
      <c r="H1442" t="str">
        <f>_xlfn.XLOOKUP(A1442, PORTE!A:A, PORTE!B:B)</f>
        <v>0</v>
      </c>
      <c r="I1442" t="str">
        <f>_xlfn.XLOOKUP(A1442, OBJETIVO!A:A, OBJETIVO!B:B)</f>
        <v>Ações de marketing/vendas</v>
      </c>
      <c r="J1442">
        <f t="shared" si="22"/>
        <v>0</v>
      </c>
    </row>
    <row r="1443" spans="1:10" x14ac:dyDescent="0.25">
      <c r="A1443">
        <v>10934164</v>
      </c>
      <c r="B1443" s="1">
        <v>45668.607858796298</v>
      </c>
      <c r="C1443" t="s">
        <v>0</v>
      </c>
      <c r="D1443" t="str">
        <f>VLOOKUP(A1443,MERCADO!A:B,2,0)</f>
        <v>Empreendedor</v>
      </c>
      <c r="E1443" t="str">
        <f>_xlfn.XLOOKUP(A1443, ORIGEM!A:A, ORIGEM!B:B)</f>
        <v>Orgânico</v>
      </c>
      <c r="F1443">
        <f>_xlfn.XLOOKUP(A1443, ORIGEM!A:A, ORIGEM!C:C)</f>
        <v>0</v>
      </c>
      <c r="G1443" t="str">
        <f>_xlfn.XLOOKUP(A1443, LOCAL!A:A, LOCAL!B:B)</f>
        <v>Osasco - SP</v>
      </c>
      <c r="H1443" t="str">
        <f>_xlfn.XLOOKUP(A1443, PORTE!A:A, PORTE!B:B)</f>
        <v>0</v>
      </c>
      <c r="I1443" t="str">
        <f>_xlfn.XLOOKUP(A1443, OBJETIVO!A:A, OBJETIVO!B:B)</f>
        <v>Outro</v>
      </c>
      <c r="J1443">
        <f t="shared" si="22"/>
        <v>0</v>
      </c>
    </row>
    <row r="1444" spans="1:10" x14ac:dyDescent="0.25">
      <c r="A1444">
        <v>10934175</v>
      </c>
      <c r="B1444" s="1">
        <v>45668.608726851853</v>
      </c>
      <c r="C1444" t="s">
        <v>0</v>
      </c>
      <c r="D1444" t="str">
        <f>VLOOKUP(A1444,MERCADO!A:B,2,0)</f>
        <v>Empreendedor</v>
      </c>
      <c r="E1444" t="str">
        <f>_xlfn.XLOOKUP(A1444, ORIGEM!A:A, ORIGEM!B:B)</f>
        <v>Orgânico</v>
      </c>
      <c r="F1444">
        <f>_xlfn.XLOOKUP(A1444, ORIGEM!A:A, ORIGEM!C:C)</f>
        <v>0</v>
      </c>
      <c r="G1444" t="str">
        <f>_xlfn.XLOOKUP(A1444, LOCAL!A:A, LOCAL!B:B)</f>
        <v>Osasco - SP</v>
      </c>
      <c r="H1444" t="str">
        <f>_xlfn.XLOOKUP(A1444, PORTE!A:A, PORTE!B:B)</f>
        <v>0</v>
      </c>
      <c r="I1444" t="str">
        <f>_xlfn.XLOOKUP(A1444, OBJETIVO!A:A, OBJETIVO!B:B)</f>
        <v>Outro</v>
      </c>
      <c r="J1444">
        <f t="shared" si="22"/>
        <v>0</v>
      </c>
    </row>
    <row r="1445" spans="1:10" x14ac:dyDescent="0.25">
      <c r="A1445">
        <v>10934885</v>
      </c>
      <c r="B1445" s="1">
        <v>45668.622106481482</v>
      </c>
      <c r="C1445" t="s">
        <v>0</v>
      </c>
      <c r="D1445" t="str">
        <f>VLOOKUP(A1445,MERCADO!A:B,2,0)</f>
        <v>Empreendedor</v>
      </c>
      <c r="E1445" t="str">
        <f>_xlfn.XLOOKUP(A1445, ORIGEM!A:A, ORIGEM!B:B)</f>
        <v>Orgânico</v>
      </c>
      <c r="F1445">
        <f>_xlfn.XLOOKUP(A1445, ORIGEM!A:A, ORIGEM!C:C)</f>
        <v>0</v>
      </c>
      <c r="G1445" t="str">
        <f>_xlfn.XLOOKUP(A1445, LOCAL!A:A, LOCAL!B:B)</f>
        <v>Porto Alegre - RS</v>
      </c>
      <c r="H1445" t="str">
        <f>_xlfn.XLOOKUP(A1445, PORTE!A:A, PORTE!B:B)</f>
        <v>0</v>
      </c>
      <c r="I1445" t="str">
        <f>_xlfn.XLOOKUP(A1445, OBJETIVO!A:A, OBJETIVO!B:B)</f>
        <v>Planejamento estratégico</v>
      </c>
      <c r="J1445">
        <f t="shared" si="22"/>
        <v>0</v>
      </c>
    </row>
    <row r="1446" spans="1:10" x14ac:dyDescent="0.25">
      <c r="A1446">
        <v>10935826</v>
      </c>
      <c r="B1446" s="1">
        <v>45668.659120370372</v>
      </c>
      <c r="C1446" t="s">
        <v>0</v>
      </c>
      <c r="D1446" t="str">
        <f>VLOOKUP(A1446,MERCADO!A:B,2,0)</f>
        <v>Empreendedor</v>
      </c>
      <c r="E1446" t="str">
        <f>_xlfn.XLOOKUP(A1446, ORIGEM!A:A, ORIGEM!B:B)</f>
        <v>Orgânico</v>
      </c>
      <c r="F1446">
        <f>_xlfn.XLOOKUP(A1446, ORIGEM!A:A, ORIGEM!C:C)</f>
        <v>0</v>
      </c>
      <c r="G1446" t="str">
        <f>_xlfn.XLOOKUP(A1446, LOCAL!A:A, LOCAL!B:B)</f>
        <v>Porto Velho - RO</v>
      </c>
      <c r="H1446" t="str">
        <f>_xlfn.XLOOKUP(A1446, PORTE!A:A, PORTE!B:B)</f>
        <v>0</v>
      </c>
      <c r="I1446" t="str">
        <f>_xlfn.XLOOKUP(A1446, OBJETIVO!A:A, OBJETIVO!B:B)</f>
        <v>Outro</v>
      </c>
      <c r="J1446">
        <f t="shared" si="22"/>
        <v>0</v>
      </c>
    </row>
    <row r="1447" spans="1:10" x14ac:dyDescent="0.25">
      <c r="A1447">
        <v>10920794</v>
      </c>
      <c r="B1447" s="1">
        <v>45666.518553240741</v>
      </c>
      <c r="C1447" t="s">
        <v>0</v>
      </c>
      <c r="D1447" t="str">
        <f>VLOOKUP(A1447,MERCADO!A:B,2,0)</f>
        <v>Empreendedor</v>
      </c>
      <c r="E1447" t="str">
        <f>_xlfn.XLOOKUP(A1447, ORIGEM!A:A, ORIGEM!B:B)</f>
        <v>Orgânico</v>
      </c>
      <c r="F1447">
        <f>_xlfn.XLOOKUP(A1447, ORIGEM!A:A, ORIGEM!C:C)</f>
        <v>0</v>
      </c>
      <c r="G1447" t="str">
        <f>_xlfn.XLOOKUP(A1447, LOCAL!A:A, LOCAL!B:B)</f>
        <v>Campina Grande - PB</v>
      </c>
      <c r="H1447" t="str">
        <f>_xlfn.XLOOKUP(A1447, PORTE!A:A, PORTE!B:B)</f>
        <v>0</v>
      </c>
      <c r="I1447" t="str">
        <f>_xlfn.XLOOKUP(A1447, OBJETIVO!A:A, OBJETIVO!B:B)</f>
        <v>Ações de marketing/vendas</v>
      </c>
      <c r="J1447">
        <f t="shared" si="22"/>
        <v>0</v>
      </c>
    </row>
    <row r="1448" spans="1:10" x14ac:dyDescent="0.25">
      <c r="A1448">
        <v>10920847</v>
      </c>
      <c r="B1448" s="1">
        <v>45666.539305555554</v>
      </c>
      <c r="C1448" t="s">
        <v>0</v>
      </c>
      <c r="D1448" t="str">
        <f>VLOOKUP(A1448,MERCADO!A:B,2,0)</f>
        <v>Empreendedor</v>
      </c>
      <c r="E1448" t="str">
        <f>_xlfn.XLOOKUP(A1448, ORIGEM!A:A, ORIGEM!B:B)</f>
        <v>Orgânico</v>
      </c>
      <c r="F1448">
        <f>_xlfn.XLOOKUP(A1448, ORIGEM!A:A, ORIGEM!C:C)</f>
        <v>0</v>
      </c>
      <c r="G1448" t="str">
        <f>_xlfn.XLOOKUP(A1448, LOCAL!A:A, LOCAL!B:B)</f>
        <v>Buriti dos Lopes - PI</v>
      </c>
      <c r="H1448" t="str">
        <f>_xlfn.XLOOKUP(A1448, PORTE!A:A, PORTE!B:B)</f>
        <v>0</v>
      </c>
      <c r="I1448" t="str">
        <f>_xlfn.XLOOKUP(A1448, OBJETIVO!A:A, OBJETIVO!B:B)</f>
        <v>Outro</v>
      </c>
      <c r="J1448">
        <f t="shared" si="22"/>
        <v>0</v>
      </c>
    </row>
    <row r="1449" spans="1:10" x14ac:dyDescent="0.25">
      <c r="A1449">
        <v>10920931</v>
      </c>
      <c r="B1449" s="1">
        <v>45666.576608796298</v>
      </c>
      <c r="C1449" t="s">
        <v>0</v>
      </c>
      <c r="D1449" t="str">
        <f>VLOOKUP(A1449,MERCADO!A:B,2,0)</f>
        <v>Empreendedor</v>
      </c>
      <c r="E1449" t="str">
        <f>_xlfn.XLOOKUP(A1449, ORIGEM!A:A, ORIGEM!B:B)</f>
        <v>Orgânico</v>
      </c>
      <c r="F1449">
        <f>_xlfn.XLOOKUP(A1449, ORIGEM!A:A, ORIGEM!C:C)</f>
        <v>0</v>
      </c>
      <c r="G1449" t="str">
        <f>_xlfn.XLOOKUP(A1449, LOCAL!A:A, LOCAL!B:B)</f>
        <v>Araguaína - TO</v>
      </c>
      <c r="H1449" t="str">
        <f>_xlfn.XLOOKUP(A1449, PORTE!A:A, PORTE!B:B)</f>
        <v>1-10</v>
      </c>
      <c r="I1449" t="str">
        <f>_xlfn.XLOOKUP(A1449, OBJETIVO!A:A, OBJETIVO!B:B)</f>
        <v>Consultoria</v>
      </c>
      <c r="J1449">
        <f t="shared" si="22"/>
        <v>0</v>
      </c>
    </row>
    <row r="1450" spans="1:10" x14ac:dyDescent="0.25">
      <c r="A1450">
        <v>10921537</v>
      </c>
      <c r="B1450" s="1">
        <v>45666.803773148145</v>
      </c>
      <c r="C1450" t="s">
        <v>0</v>
      </c>
      <c r="D1450" t="str">
        <f>VLOOKUP(A1450,MERCADO!A:B,2,0)</f>
        <v>Empreendedor</v>
      </c>
      <c r="E1450" t="str">
        <f>_xlfn.XLOOKUP(A1450, ORIGEM!A:A, ORIGEM!B:B)</f>
        <v>Orgânico</v>
      </c>
      <c r="F1450">
        <f>_xlfn.XLOOKUP(A1450, ORIGEM!A:A, ORIGEM!C:C)</f>
        <v>0</v>
      </c>
      <c r="G1450" t="str">
        <f>_xlfn.XLOOKUP(A1450, LOCAL!A:A, LOCAL!B:B)</f>
        <v>Alto Taquari - MT</v>
      </c>
      <c r="H1450" t="str">
        <f>_xlfn.XLOOKUP(A1450, PORTE!A:A, PORTE!B:B)</f>
        <v>1-10</v>
      </c>
      <c r="I1450" t="str">
        <f>_xlfn.XLOOKUP(A1450, OBJETIVO!A:A, OBJETIVO!B:B)</f>
        <v>Consultoria</v>
      </c>
      <c r="J1450">
        <f t="shared" si="22"/>
        <v>0</v>
      </c>
    </row>
    <row r="1451" spans="1:10" x14ac:dyDescent="0.25">
      <c r="A1451">
        <v>10922017</v>
      </c>
      <c r="B1451" s="1">
        <v>45667.081006944441</v>
      </c>
      <c r="C1451" t="s">
        <v>0</v>
      </c>
      <c r="D1451" t="str">
        <f>VLOOKUP(A1451,MERCADO!A:B,2,0)</f>
        <v>Empreendedor</v>
      </c>
      <c r="E1451" t="str">
        <f>_xlfn.XLOOKUP(A1451, ORIGEM!A:A, ORIGEM!B:B)</f>
        <v>Orgânico</v>
      </c>
      <c r="F1451">
        <f>_xlfn.XLOOKUP(A1451, ORIGEM!A:A, ORIGEM!C:C)</f>
        <v>0</v>
      </c>
      <c r="G1451" t="str">
        <f>_xlfn.XLOOKUP(A1451, LOCAL!A:A, LOCAL!B:B)</f>
        <v>Betim - MG</v>
      </c>
      <c r="H1451" t="str">
        <f>_xlfn.XLOOKUP(A1451, PORTE!A:A, PORTE!B:B)</f>
        <v>0</v>
      </c>
      <c r="I1451" t="str">
        <f>_xlfn.XLOOKUP(A1451, OBJETIVO!A:A, OBJETIVO!B:B)</f>
        <v>Planejamento estratégico</v>
      </c>
      <c r="J1451">
        <f t="shared" si="22"/>
        <v>0</v>
      </c>
    </row>
    <row r="1452" spans="1:10" x14ac:dyDescent="0.25">
      <c r="A1452">
        <v>10922129</v>
      </c>
      <c r="B1452" s="1">
        <v>45667.318078703705</v>
      </c>
      <c r="C1452" t="s">
        <v>0</v>
      </c>
      <c r="D1452" t="str">
        <f>VLOOKUP(A1452,MERCADO!A:B,2,0)</f>
        <v>Empreendedor</v>
      </c>
      <c r="E1452" t="str">
        <f>_xlfn.XLOOKUP(A1452, ORIGEM!A:A, ORIGEM!B:B)</f>
        <v>Orgânico</v>
      </c>
      <c r="F1452">
        <f>_xlfn.XLOOKUP(A1452, ORIGEM!A:A, ORIGEM!C:C)</f>
        <v>0</v>
      </c>
      <c r="G1452" t="str">
        <f>_xlfn.XLOOKUP(A1452, LOCAL!A:A, LOCAL!B:B)</f>
        <v>Jaguare - ES</v>
      </c>
      <c r="H1452" t="str">
        <f>_xlfn.XLOOKUP(A1452, PORTE!A:A, PORTE!B:B)</f>
        <v>0</v>
      </c>
      <c r="I1452" t="str">
        <f>_xlfn.XLOOKUP(A1452, OBJETIVO!A:A, OBJETIVO!B:B)</f>
        <v>Outro</v>
      </c>
      <c r="J1452">
        <f t="shared" si="22"/>
        <v>0</v>
      </c>
    </row>
    <row r="1453" spans="1:10" x14ac:dyDescent="0.25">
      <c r="A1453">
        <v>10922222</v>
      </c>
      <c r="B1453" s="1">
        <v>45667.369930555556</v>
      </c>
      <c r="C1453" t="s">
        <v>0</v>
      </c>
      <c r="D1453" t="str">
        <f>VLOOKUP(A1453,MERCADO!A:B,2,0)</f>
        <v>Empreendedor</v>
      </c>
      <c r="E1453" t="str">
        <f>_xlfn.XLOOKUP(A1453, ORIGEM!A:A, ORIGEM!B:B)</f>
        <v>Orgânico</v>
      </c>
      <c r="F1453">
        <f>_xlfn.XLOOKUP(A1453, ORIGEM!A:A, ORIGEM!C:C)</f>
        <v>0</v>
      </c>
      <c r="G1453" t="str">
        <f>_xlfn.XLOOKUP(A1453, LOCAL!A:A, LOCAL!B:B)</f>
        <v>São Luís - MA</v>
      </c>
      <c r="H1453" t="str">
        <f>_xlfn.XLOOKUP(A1453, PORTE!A:A, PORTE!B:B)</f>
        <v>0</v>
      </c>
      <c r="I1453" t="str">
        <f>_xlfn.XLOOKUP(A1453, OBJETIVO!A:A, OBJETIVO!B:B)</f>
        <v>Abertura/Expansão</v>
      </c>
      <c r="J1453">
        <f t="shared" si="22"/>
        <v>0</v>
      </c>
    </row>
    <row r="1454" spans="1:10" x14ac:dyDescent="0.25">
      <c r="A1454">
        <v>10923561</v>
      </c>
      <c r="B1454" s="1">
        <v>45667.832696759258</v>
      </c>
      <c r="C1454" t="s">
        <v>0</v>
      </c>
      <c r="D1454" t="str">
        <f>VLOOKUP(A1454,MERCADO!A:B,2,0)</f>
        <v>Empreendedor</v>
      </c>
      <c r="E1454" t="str">
        <f>_xlfn.XLOOKUP(A1454, ORIGEM!A:A, ORIGEM!B:B)</f>
        <v>Orgânico</v>
      </c>
      <c r="F1454">
        <f>_xlfn.XLOOKUP(A1454, ORIGEM!A:A, ORIGEM!C:C)</f>
        <v>0</v>
      </c>
      <c r="G1454" t="str">
        <f>_xlfn.XLOOKUP(A1454, LOCAL!A:A, LOCAL!B:B)</f>
        <v>Belo Horizonte - MG</v>
      </c>
      <c r="H1454" t="str">
        <f>_xlfn.XLOOKUP(A1454, PORTE!A:A, PORTE!B:B)</f>
        <v>0</v>
      </c>
      <c r="I1454" t="str">
        <f>_xlfn.XLOOKUP(A1454, OBJETIVO!A:A, OBJETIVO!B:B)</f>
        <v>Abertura/Expansão</v>
      </c>
      <c r="J1454">
        <f t="shared" si="22"/>
        <v>0</v>
      </c>
    </row>
    <row r="1455" spans="1:10" x14ac:dyDescent="0.25">
      <c r="A1455">
        <v>10924032</v>
      </c>
      <c r="B1455" s="1">
        <v>45667.956354166665</v>
      </c>
      <c r="C1455" t="s">
        <v>0</v>
      </c>
      <c r="D1455" t="str">
        <f>VLOOKUP(A1455,MERCADO!A:B,2,0)</f>
        <v>Empreendedor</v>
      </c>
      <c r="E1455" t="str">
        <f>_xlfn.XLOOKUP(A1455, ORIGEM!A:A, ORIGEM!B:B)</f>
        <v>Orgânico</v>
      </c>
      <c r="F1455">
        <f>_xlfn.XLOOKUP(A1455, ORIGEM!A:A, ORIGEM!C:C)</f>
        <v>0</v>
      </c>
      <c r="G1455" t="str">
        <f>_xlfn.XLOOKUP(A1455, LOCAL!A:A, LOCAL!B:B)</f>
        <v>Bayeux - PB</v>
      </c>
      <c r="H1455" t="str">
        <f>_xlfn.XLOOKUP(A1455, PORTE!A:A, PORTE!B:B)</f>
        <v>0</v>
      </c>
      <c r="I1455" t="str">
        <f>_xlfn.XLOOKUP(A1455, OBJETIVO!A:A, OBJETIVO!B:B)</f>
        <v>Ações de marketing/vendas</v>
      </c>
      <c r="J1455">
        <f t="shared" si="22"/>
        <v>0</v>
      </c>
    </row>
    <row r="1456" spans="1:10" x14ac:dyDescent="0.25">
      <c r="A1456">
        <v>10925401</v>
      </c>
      <c r="B1456" s="1">
        <v>45668.269803240742</v>
      </c>
      <c r="C1456" t="s">
        <v>0</v>
      </c>
      <c r="D1456" t="str">
        <f>VLOOKUP(A1456,MERCADO!A:B,2,0)</f>
        <v>Empreendedor</v>
      </c>
      <c r="E1456" t="str">
        <f>_xlfn.XLOOKUP(A1456, ORIGEM!A:A, ORIGEM!B:B)</f>
        <v>Orgânico</v>
      </c>
      <c r="F1456">
        <f>_xlfn.XLOOKUP(A1456, ORIGEM!A:A, ORIGEM!C:C)</f>
        <v>0</v>
      </c>
      <c r="G1456" t="str">
        <f>_xlfn.XLOOKUP(A1456, LOCAL!A:A, LOCAL!B:B)</f>
        <v>Central - BA</v>
      </c>
      <c r="H1456" t="str">
        <f>_xlfn.XLOOKUP(A1456, PORTE!A:A, PORTE!B:B)</f>
        <v>0</v>
      </c>
      <c r="I1456" t="str">
        <f>_xlfn.XLOOKUP(A1456, OBJETIVO!A:A, OBJETIVO!B:B)</f>
        <v>Consultoria</v>
      </c>
      <c r="J1456">
        <f t="shared" si="22"/>
        <v>0</v>
      </c>
    </row>
    <row r="1457" spans="1:10" x14ac:dyDescent="0.25">
      <c r="A1457">
        <v>11739168</v>
      </c>
      <c r="B1457" s="1">
        <v>45740.354699074072</v>
      </c>
      <c r="C1457" t="s">
        <v>0</v>
      </c>
      <c r="D1457" t="str">
        <f>VLOOKUP(A1457,MERCADO!A:B,2,0)</f>
        <v>Empreendedor</v>
      </c>
      <c r="E1457" t="str">
        <f>_xlfn.XLOOKUP(A1457, ORIGEM!A:A, ORIGEM!B:B)</f>
        <v>Orgânico</v>
      </c>
      <c r="F1457">
        <f>_xlfn.XLOOKUP(A1457, ORIGEM!A:A, ORIGEM!C:C)</f>
        <v>0</v>
      </c>
      <c r="G1457" t="str">
        <f>_xlfn.XLOOKUP(A1457, LOCAL!A:A, LOCAL!B:B)</f>
        <v>Cabo de Santo Agostinho - PE</v>
      </c>
      <c r="H1457" t="str">
        <f>_xlfn.XLOOKUP(A1457, PORTE!A:A, PORTE!B:B)</f>
        <v>0</v>
      </c>
      <c r="I1457" t="str">
        <f>_xlfn.XLOOKUP(A1457, OBJETIVO!A:A, OBJETIVO!B:B)</f>
        <v>Ações de marketing/vendas</v>
      </c>
      <c r="J1457">
        <f t="shared" si="22"/>
        <v>0</v>
      </c>
    </row>
    <row r="1458" spans="1:10" x14ac:dyDescent="0.25">
      <c r="A1458">
        <v>11729594</v>
      </c>
      <c r="B1458" s="1">
        <v>45739.419942129629</v>
      </c>
      <c r="C1458" t="s">
        <v>0</v>
      </c>
      <c r="D1458" t="str">
        <f>VLOOKUP(A1458,MERCADO!A:B,2,0)</f>
        <v>Empreendedor</v>
      </c>
      <c r="E1458" t="str">
        <f>_xlfn.XLOOKUP(A1458, ORIGEM!A:A, ORIGEM!B:B)</f>
        <v>Orgânico</v>
      </c>
      <c r="F1458">
        <f>_xlfn.XLOOKUP(A1458, ORIGEM!A:A, ORIGEM!C:C)</f>
        <v>0</v>
      </c>
      <c r="G1458" t="str">
        <f>_xlfn.XLOOKUP(A1458, LOCAL!A:A, LOCAL!B:B)</f>
        <v>Rio Preto - SP</v>
      </c>
      <c r="H1458" t="str">
        <f>_xlfn.XLOOKUP(A1458, PORTE!A:A, PORTE!B:B)</f>
        <v>0</v>
      </c>
      <c r="I1458" t="str">
        <f>_xlfn.XLOOKUP(A1458, OBJETIVO!A:A, OBJETIVO!B:B)</f>
        <v>Abertura/Expansão</v>
      </c>
      <c r="J1458">
        <f t="shared" si="22"/>
        <v>0</v>
      </c>
    </row>
    <row r="1459" spans="1:10" x14ac:dyDescent="0.25">
      <c r="A1459">
        <v>11730136</v>
      </c>
      <c r="B1459" s="1">
        <v>45739.445300925923</v>
      </c>
      <c r="C1459" t="s">
        <v>0</v>
      </c>
      <c r="D1459" t="str">
        <f>VLOOKUP(A1459,MERCADO!A:B,2,0)</f>
        <v>Empreendedor</v>
      </c>
      <c r="E1459" t="str">
        <f>_xlfn.XLOOKUP(A1459, ORIGEM!A:A, ORIGEM!B:B)</f>
        <v>Orgânico</v>
      </c>
      <c r="F1459">
        <f>_xlfn.XLOOKUP(A1459, ORIGEM!A:A, ORIGEM!C:C)</f>
        <v>0</v>
      </c>
      <c r="G1459" t="str">
        <f>_xlfn.XLOOKUP(A1459, LOCAL!A:A, LOCAL!B:B)</f>
        <v>São Paulo - SP</v>
      </c>
      <c r="H1459" t="str">
        <f>_xlfn.XLOOKUP(A1459, PORTE!A:A, PORTE!B:B)</f>
        <v>1-10</v>
      </c>
      <c r="I1459" t="str">
        <f>_xlfn.XLOOKUP(A1459, OBJETIVO!A:A, OBJETIVO!B:B)</f>
        <v>Consultoria</v>
      </c>
      <c r="J1459">
        <f t="shared" si="22"/>
        <v>0</v>
      </c>
    </row>
    <row r="1460" spans="1:10" x14ac:dyDescent="0.25">
      <c r="A1460">
        <v>11543162</v>
      </c>
      <c r="B1460" s="1">
        <v>45720.861377314817</v>
      </c>
      <c r="C1460" t="s">
        <v>0</v>
      </c>
      <c r="D1460" t="str">
        <f>VLOOKUP(A1460,MERCADO!A:B,2,0)</f>
        <v>Empreendedor</v>
      </c>
      <c r="E1460" t="str">
        <f>_xlfn.XLOOKUP(A1460, ORIGEM!A:A, ORIGEM!B:B)</f>
        <v>Facebook</v>
      </c>
      <c r="F1460" t="str">
        <f>_xlfn.XLOOKUP(A1460, ORIGEM!A:A, ORIGEM!C:C)</f>
        <v>facebook - cpc</v>
      </c>
      <c r="G1460" t="str">
        <f>_xlfn.XLOOKUP(A1460, LOCAL!A:A, LOCAL!B:B)</f>
        <v>Brasília - DF</v>
      </c>
      <c r="H1460" t="str">
        <f>_xlfn.XLOOKUP(A1460, PORTE!A:A, PORTE!B:B)</f>
        <v>0</v>
      </c>
      <c r="I1460" t="str">
        <f>_xlfn.XLOOKUP(A1460, OBJETIVO!A:A, OBJETIVO!B:B)</f>
        <v>Ações de marketing/vendas</v>
      </c>
      <c r="J1460">
        <f t="shared" si="22"/>
        <v>0</v>
      </c>
    </row>
    <row r="1461" spans="1:10" x14ac:dyDescent="0.25">
      <c r="A1461">
        <v>11946313</v>
      </c>
      <c r="B1461" s="1">
        <v>45759.436828703707</v>
      </c>
      <c r="C1461" t="s">
        <v>0</v>
      </c>
      <c r="D1461" t="str">
        <f>VLOOKUP(A1461,MERCADO!A:B,2,0)</f>
        <v>Empreendedor</v>
      </c>
      <c r="E1461" t="str">
        <f>_xlfn.XLOOKUP(A1461, ORIGEM!A:A, ORIGEM!B:B)</f>
        <v>Google</v>
      </c>
      <c r="F1461">
        <f>_xlfn.XLOOKUP(A1461, ORIGEM!A:A, ORIGEM!C:C)</f>
        <v>0</v>
      </c>
      <c r="G1461" t="str">
        <f>_xlfn.XLOOKUP(A1461, LOCAL!A:A, LOCAL!B:B)</f>
        <v>Brasília - DF</v>
      </c>
      <c r="H1461" t="str">
        <f>_xlfn.XLOOKUP(A1461, PORTE!A:A, PORTE!B:B)</f>
        <v>1-10</v>
      </c>
      <c r="I1461" t="str">
        <f>_xlfn.XLOOKUP(A1461, OBJETIVO!A:A, OBJETIVO!B:B)</f>
        <v>Geração de leads b2b</v>
      </c>
      <c r="J1461">
        <f t="shared" si="22"/>
        <v>0</v>
      </c>
    </row>
    <row r="1462" spans="1:10" x14ac:dyDescent="0.25">
      <c r="A1462">
        <v>11667087</v>
      </c>
      <c r="B1462" s="1">
        <v>45733.398159722223</v>
      </c>
      <c r="C1462" t="s">
        <v>0</v>
      </c>
      <c r="D1462" t="str">
        <f>VLOOKUP(A1462,MERCADO!A:B,2,0)</f>
        <v>Empreendedor</v>
      </c>
      <c r="E1462" t="str">
        <f>_xlfn.XLOOKUP(A1462, ORIGEM!A:A, ORIGEM!B:B)</f>
        <v>Google</v>
      </c>
      <c r="F1462">
        <f>_xlfn.XLOOKUP(A1462, ORIGEM!A:A, ORIGEM!C:C)</f>
        <v>0</v>
      </c>
      <c r="G1462" t="str">
        <f>_xlfn.XLOOKUP(A1462, LOCAL!A:A, LOCAL!B:B)</f>
        <v>São Paulo, SP</v>
      </c>
      <c r="H1462" t="str">
        <f>_xlfn.XLOOKUP(A1462, PORTE!A:A, PORTE!B:B)</f>
        <v>1-10</v>
      </c>
      <c r="I1462" t="str">
        <f>_xlfn.XLOOKUP(A1462, OBJETIVO!A:A, OBJETIVO!B:B)</f>
        <v>Ações de marketing/vendas</v>
      </c>
      <c r="J1462">
        <f t="shared" si="22"/>
        <v>0</v>
      </c>
    </row>
    <row r="1463" spans="1:10" x14ac:dyDescent="0.25">
      <c r="A1463">
        <v>11577546</v>
      </c>
      <c r="B1463" s="1">
        <v>45724.853819444441</v>
      </c>
      <c r="C1463" t="s">
        <v>0</v>
      </c>
      <c r="D1463" t="str">
        <f>VLOOKUP(A1463,MERCADO!A:B,2,0)</f>
        <v>Empreendedor</v>
      </c>
      <c r="E1463" t="str">
        <f>_xlfn.XLOOKUP(A1463, ORIGEM!A:A, ORIGEM!B:B)</f>
        <v>Facebook</v>
      </c>
      <c r="F1463" t="str">
        <f>_xlfn.XLOOKUP(A1463, ORIGEM!A:A, ORIGEM!C:C)</f>
        <v>facebook - cpc</v>
      </c>
      <c r="G1463" t="str">
        <f>_xlfn.XLOOKUP(A1463, LOCAL!A:A, LOCAL!B:B)</f>
        <v>Cachoeirinha - RS</v>
      </c>
      <c r="H1463" t="str">
        <f>_xlfn.XLOOKUP(A1463, PORTE!A:A, PORTE!B:B)</f>
        <v>1-10</v>
      </c>
      <c r="I1463" t="str">
        <f>_xlfn.XLOOKUP(A1463, OBJETIVO!A:A, OBJETIVO!B:B)</f>
        <v>Geração de leads b2b</v>
      </c>
      <c r="J1463">
        <f t="shared" si="22"/>
        <v>0</v>
      </c>
    </row>
    <row r="1464" spans="1:10" x14ac:dyDescent="0.25">
      <c r="A1464">
        <v>11562515</v>
      </c>
      <c r="B1464" s="1">
        <v>45724.021493055552</v>
      </c>
      <c r="C1464" t="s">
        <v>0</v>
      </c>
      <c r="D1464" t="str">
        <f>VLOOKUP(A1464,MERCADO!A:B,2,0)</f>
        <v>Empreendedor</v>
      </c>
      <c r="E1464" t="str">
        <f>_xlfn.XLOOKUP(A1464, ORIGEM!A:A, ORIGEM!B:B)</f>
        <v>Facebook</v>
      </c>
      <c r="F1464" t="str">
        <f>_xlfn.XLOOKUP(A1464, ORIGEM!A:A, ORIGEM!C:C)</f>
        <v>facebook - cpc</v>
      </c>
      <c r="G1464" t="str">
        <f>_xlfn.XLOOKUP(A1464, LOCAL!A:A, LOCAL!B:B)</f>
        <v>São Luís - MA</v>
      </c>
      <c r="H1464" t="str">
        <f>_xlfn.XLOOKUP(A1464, PORTE!A:A, PORTE!B:B)</f>
        <v>0</v>
      </c>
      <c r="I1464" t="str">
        <f>_xlfn.XLOOKUP(A1464, OBJETIVO!A:A, OBJETIVO!B:B)</f>
        <v>Ações de marketing/vendas</v>
      </c>
      <c r="J1464">
        <f t="shared" si="22"/>
        <v>0</v>
      </c>
    </row>
    <row r="1465" spans="1:10" x14ac:dyDescent="0.25">
      <c r="A1465">
        <v>11569480</v>
      </c>
      <c r="B1465" s="1">
        <v>45724.547210648147</v>
      </c>
      <c r="C1465" t="s">
        <v>0</v>
      </c>
      <c r="D1465" t="str">
        <f>VLOOKUP(A1465,MERCADO!A:B,2,0)</f>
        <v>Empreendedor</v>
      </c>
      <c r="E1465" t="str">
        <f>_xlfn.XLOOKUP(A1465, ORIGEM!A:A, ORIGEM!B:B)</f>
        <v>Facebook</v>
      </c>
      <c r="F1465" t="str">
        <f>_xlfn.XLOOKUP(A1465, ORIGEM!A:A, ORIGEM!C:C)</f>
        <v>facebook - cpc</v>
      </c>
      <c r="G1465" t="str">
        <f>_xlfn.XLOOKUP(A1465, LOCAL!A:A, LOCAL!B:B)</f>
        <v>Heliopolis - BA</v>
      </c>
      <c r="H1465" t="str">
        <f>_xlfn.XLOOKUP(A1465, PORTE!A:A, PORTE!B:B)</f>
        <v>0</v>
      </c>
      <c r="I1465" t="str">
        <f>_xlfn.XLOOKUP(A1465, OBJETIVO!A:A, OBJETIVO!B:B)</f>
        <v>Ações de marketing/vendas</v>
      </c>
      <c r="J1465">
        <f t="shared" si="22"/>
        <v>0</v>
      </c>
    </row>
    <row r="1466" spans="1:10" x14ac:dyDescent="0.25">
      <c r="A1466">
        <v>11562083</v>
      </c>
      <c r="B1466" s="1">
        <v>45723.895185185182</v>
      </c>
      <c r="C1466" t="s">
        <v>0</v>
      </c>
      <c r="D1466" t="str">
        <f>VLOOKUP(A1466,MERCADO!A:B,2,0)</f>
        <v>Empreendedor</v>
      </c>
      <c r="E1466" t="str">
        <f>_xlfn.XLOOKUP(A1466, ORIGEM!A:A, ORIGEM!B:B)</f>
        <v>Facebook</v>
      </c>
      <c r="F1466" t="str">
        <f>_xlfn.XLOOKUP(A1466, ORIGEM!A:A, ORIGEM!C:C)</f>
        <v>facebook - cpc</v>
      </c>
      <c r="G1466" t="str">
        <f>_xlfn.XLOOKUP(A1466, LOCAL!A:A, LOCAL!B:B)</f>
        <v>Tamboré - SP</v>
      </c>
      <c r="H1466" t="str">
        <f>_xlfn.XLOOKUP(A1466, PORTE!A:A, PORTE!B:B)</f>
        <v>0</v>
      </c>
      <c r="I1466" t="str">
        <f>_xlfn.XLOOKUP(A1466, OBJETIVO!A:A, OBJETIVO!B:B)</f>
        <v>Outro</v>
      </c>
      <c r="J1466">
        <f t="shared" si="22"/>
        <v>0</v>
      </c>
    </row>
    <row r="1467" spans="1:10" x14ac:dyDescent="0.25">
      <c r="A1467">
        <v>11562391</v>
      </c>
      <c r="B1467" s="1">
        <v>45723.969652777778</v>
      </c>
      <c r="C1467" t="s">
        <v>0</v>
      </c>
      <c r="D1467" t="str">
        <f>VLOOKUP(A1467,MERCADO!A:B,2,0)</f>
        <v>Empreendedor</v>
      </c>
      <c r="E1467" t="str">
        <f>_xlfn.XLOOKUP(A1467, ORIGEM!A:A, ORIGEM!B:B)</f>
        <v>Facebook</v>
      </c>
      <c r="F1467" t="str">
        <f>_xlfn.XLOOKUP(A1467, ORIGEM!A:A, ORIGEM!C:C)</f>
        <v>facebook - cpc</v>
      </c>
      <c r="G1467" t="str">
        <f>_xlfn.XLOOKUP(A1467, LOCAL!A:A, LOCAL!B:B)</f>
        <v>Salvador - BA</v>
      </c>
      <c r="H1467" t="str">
        <f>_xlfn.XLOOKUP(A1467, PORTE!A:A, PORTE!B:B)</f>
        <v>0</v>
      </c>
      <c r="I1467" t="str">
        <f>_xlfn.XLOOKUP(A1467, OBJETIVO!A:A, OBJETIVO!B:B)</f>
        <v>Geração de leads b2b</v>
      </c>
      <c r="J1467">
        <f t="shared" si="22"/>
        <v>0</v>
      </c>
    </row>
    <row r="1468" spans="1:10" x14ac:dyDescent="0.25">
      <c r="A1468">
        <v>11557651</v>
      </c>
      <c r="B1468" s="1">
        <v>45721.919004629628</v>
      </c>
      <c r="C1468" t="s">
        <v>0</v>
      </c>
      <c r="D1468" t="str">
        <f>VLOOKUP(A1468,MERCADO!A:B,2,0)</f>
        <v>Empreendedor</v>
      </c>
      <c r="E1468" t="str">
        <f>_xlfn.XLOOKUP(A1468, ORIGEM!A:A, ORIGEM!B:B)</f>
        <v>Facebook</v>
      </c>
      <c r="F1468" t="str">
        <f>_xlfn.XLOOKUP(A1468, ORIGEM!A:A, ORIGEM!C:C)</f>
        <v>facebook - cpc</v>
      </c>
      <c r="G1468" t="str">
        <f>_xlfn.XLOOKUP(A1468, LOCAL!A:A, LOCAL!B:B)</f>
        <v>São Luís - MA</v>
      </c>
      <c r="H1468" t="str">
        <f>_xlfn.XLOOKUP(A1468, PORTE!A:A, PORTE!B:B)</f>
        <v>1-10</v>
      </c>
      <c r="I1468" t="str">
        <f>_xlfn.XLOOKUP(A1468, OBJETIVO!A:A, OBJETIVO!B:B)</f>
        <v>Abertura/Expansão</v>
      </c>
      <c r="J1468">
        <f t="shared" si="22"/>
        <v>0</v>
      </c>
    </row>
    <row r="1469" spans="1:10" x14ac:dyDescent="0.25">
      <c r="A1469">
        <v>11557901</v>
      </c>
      <c r="B1469" s="1">
        <v>45722.013993055552</v>
      </c>
      <c r="C1469" t="s">
        <v>0</v>
      </c>
      <c r="D1469" t="str">
        <f>VLOOKUP(A1469,MERCADO!A:B,2,0)</f>
        <v>Empreendedor</v>
      </c>
      <c r="E1469" t="str">
        <f>_xlfn.XLOOKUP(A1469, ORIGEM!A:A, ORIGEM!B:B)</f>
        <v>Facebook</v>
      </c>
      <c r="F1469" t="str">
        <f>_xlfn.XLOOKUP(A1469, ORIGEM!A:A, ORIGEM!C:C)</f>
        <v>facebook - cpc</v>
      </c>
      <c r="G1469" t="str">
        <f>_xlfn.XLOOKUP(A1469, LOCAL!A:A, LOCAL!B:B)</f>
        <v>São Paulo - SP</v>
      </c>
      <c r="H1469" t="str">
        <f>_xlfn.XLOOKUP(A1469, PORTE!A:A, PORTE!B:B)</f>
        <v>1-10</v>
      </c>
      <c r="I1469" t="str">
        <f>_xlfn.XLOOKUP(A1469, OBJETIVO!A:A, OBJETIVO!B:B)</f>
        <v>Geração de leads b2b</v>
      </c>
      <c r="J1469">
        <f t="shared" si="22"/>
        <v>0</v>
      </c>
    </row>
    <row r="1470" spans="1:10" x14ac:dyDescent="0.25">
      <c r="A1470">
        <v>11558254</v>
      </c>
      <c r="B1470" s="1">
        <v>45722.292118055557</v>
      </c>
      <c r="C1470" t="s">
        <v>0</v>
      </c>
      <c r="D1470" t="str">
        <f>VLOOKUP(A1470,MERCADO!A:B,2,0)</f>
        <v>Empreendedor</v>
      </c>
      <c r="E1470" t="str">
        <f>_xlfn.XLOOKUP(A1470, ORIGEM!A:A, ORIGEM!B:B)</f>
        <v>Facebook</v>
      </c>
      <c r="F1470" t="str">
        <f>_xlfn.XLOOKUP(A1470, ORIGEM!A:A, ORIGEM!C:C)</f>
        <v>facebook - cpc</v>
      </c>
      <c r="G1470" t="str">
        <f>_xlfn.XLOOKUP(A1470, LOCAL!A:A, LOCAL!B:B)</f>
        <v>Porto Alegre - RS</v>
      </c>
      <c r="H1470" t="str">
        <f>_xlfn.XLOOKUP(A1470, PORTE!A:A, PORTE!B:B)</f>
        <v>0</v>
      </c>
      <c r="I1470" t="str">
        <f>_xlfn.XLOOKUP(A1470, OBJETIVO!A:A, OBJETIVO!B:B)</f>
        <v>Abertura/Expansão</v>
      </c>
      <c r="J1470">
        <f t="shared" si="22"/>
        <v>0</v>
      </c>
    </row>
    <row r="1471" spans="1:10" x14ac:dyDescent="0.25">
      <c r="A1471">
        <v>11558657</v>
      </c>
      <c r="B1471" s="1">
        <v>45722.437048611115</v>
      </c>
      <c r="C1471" t="s">
        <v>0</v>
      </c>
      <c r="D1471" t="str">
        <f>VLOOKUP(A1471,MERCADO!A:B,2,0)</f>
        <v>Empreendedor</v>
      </c>
      <c r="E1471" t="str">
        <f>_xlfn.XLOOKUP(A1471, ORIGEM!A:A, ORIGEM!B:B)</f>
        <v>Facebook</v>
      </c>
      <c r="F1471" t="str">
        <f>_xlfn.XLOOKUP(A1471, ORIGEM!A:A, ORIGEM!C:C)</f>
        <v>facebook - cpc</v>
      </c>
      <c r="G1471" t="str">
        <f>_xlfn.XLOOKUP(A1471, LOCAL!A:A, LOCAL!B:B)</f>
        <v>Fortaleza - CE</v>
      </c>
      <c r="H1471" t="str">
        <f>_xlfn.XLOOKUP(A1471, PORTE!A:A, PORTE!B:B)</f>
        <v>1-10</v>
      </c>
      <c r="I1471" t="str">
        <f>_xlfn.XLOOKUP(A1471, OBJETIVO!A:A, OBJETIVO!B:B)</f>
        <v>Abertura/Expansão</v>
      </c>
      <c r="J1471">
        <f t="shared" si="22"/>
        <v>0</v>
      </c>
    </row>
    <row r="1472" spans="1:10" x14ac:dyDescent="0.25">
      <c r="A1472">
        <v>11559057</v>
      </c>
      <c r="B1472" s="1">
        <v>45722.582673611112</v>
      </c>
      <c r="C1472" t="s">
        <v>0</v>
      </c>
      <c r="D1472" t="str">
        <f>VLOOKUP(A1472,MERCADO!A:B,2,0)</f>
        <v>Empreendedor</v>
      </c>
      <c r="E1472" t="str">
        <f>_xlfn.XLOOKUP(A1472, ORIGEM!A:A, ORIGEM!B:B)</f>
        <v>Facebook</v>
      </c>
      <c r="F1472" t="str">
        <f>_xlfn.XLOOKUP(A1472, ORIGEM!A:A, ORIGEM!C:C)</f>
        <v>facebook - cpc</v>
      </c>
      <c r="G1472" t="str">
        <f>_xlfn.XLOOKUP(A1472, LOCAL!A:A, LOCAL!B:B)</f>
        <v>Brasília - DF</v>
      </c>
      <c r="H1472" t="str">
        <f>_xlfn.XLOOKUP(A1472, PORTE!A:A, PORTE!B:B)</f>
        <v>0</v>
      </c>
      <c r="I1472" t="str">
        <f>_xlfn.XLOOKUP(A1472, OBJETIVO!A:A, OBJETIVO!B:B)</f>
        <v>Geração de leads b2b</v>
      </c>
      <c r="J1472">
        <f t="shared" si="22"/>
        <v>0</v>
      </c>
    </row>
    <row r="1473" spans="1:10" x14ac:dyDescent="0.25">
      <c r="A1473">
        <v>11560307</v>
      </c>
      <c r="B1473" s="1">
        <v>45723.310636574075</v>
      </c>
      <c r="C1473" t="s">
        <v>0</v>
      </c>
      <c r="D1473" t="str">
        <f>VLOOKUP(A1473,MERCADO!A:B,2,0)</f>
        <v>Empreendedor</v>
      </c>
      <c r="E1473" t="str">
        <f>_xlfn.XLOOKUP(A1473, ORIGEM!A:A, ORIGEM!B:B)</f>
        <v>Facebook</v>
      </c>
      <c r="F1473" t="str">
        <f>_xlfn.XLOOKUP(A1473, ORIGEM!A:A, ORIGEM!C:C)</f>
        <v>facebook - cpc</v>
      </c>
      <c r="G1473" t="str">
        <f>_xlfn.XLOOKUP(A1473, LOCAL!A:A, LOCAL!B:B)</f>
        <v>Lajeado - RS</v>
      </c>
      <c r="H1473" t="str">
        <f>_xlfn.XLOOKUP(A1473, PORTE!A:A, PORTE!B:B)</f>
        <v>0</v>
      </c>
      <c r="I1473" t="str">
        <f>_xlfn.XLOOKUP(A1473, OBJETIVO!A:A, OBJETIVO!B:B)</f>
        <v>Ações de marketing/vendas</v>
      </c>
      <c r="J1473">
        <f t="shared" si="22"/>
        <v>0</v>
      </c>
    </row>
    <row r="1474" spans="1:10" x14ac:dyDescent="0.25">
      <c r="A1474">
        <v>11272837</v>
      </c>
      <c r="B1474" s="1">
        <v>45695.883611111109</v>
      </c>
      <c r="C1474" t="s">
        <v>0</v>
      </c>
      <c r="D1474" t="str">
        <f>VLOOKUP(A1474,MERCADO!A:B,2,0)</f>
        <v>Empreendedor</v>
      </c>
      <c r="E1474" t="str">
        <f>_xlfn.XLOOKUP(A1474, ORIGEM!A:A, ORIGEM!B:B)</f>
        <v>Orgânico</v>
      </c>
      <c r="F1474">
        <f>_xlfn.XLOOKUP(A1474, ORIGEM!A:A, ORIGEM!C:C)</f>
        <v>0</v>
      </c>
      <c r="G1474" t="str">
        <f>_xlfn.XLOOKUP(A1474, LOCAL!A:A, LOCAL!B:B)</f>
        <v>São Paulo - SP</v>
      </c>
      <c r="H1474" t="str">
        <f>_xlfn.XLOOKUP(A1474, PORTE!A:A, PORTE!B:B)</f>
        <v>0</v>
      </c>
      <c r="I1474" t="str">
        <f>_xlfn.XLOOKUP(A1474, OBJETIVO!A:A, OBJETIVO!B:B)</f>
        <v>Abertura/Expansão</v>
      </c>
      <c r="J1474">
        <f t="shared" si="22"/>
        <v>0</v>
      </c>
    </row>
    <row r="1475" spans="1:10" x14ac:dyDescent="0.25">
      <c r="A1475">
        <v>11305477</v>
      </c>
      <c r="B1475" s="1">
        <v>45698.021817129629</v>
      </c>
      <c r="C1475" t="s">
        <v>0</v>
      </c>
      <c r="D1475" t="str">
        <f>VLOOKUP(A1475,MERCADO!A:B,2,0)</f>
        <v>Empreendedor</v>
      </c>
      <c r="E1475" t="str">
        <f>_xlfn.XLOOKUP(A1475, ORIGEM!A:A, ORIGEM!B:B)</f>
        <v>Orgânico</v>
      </c>
      <c r="F1475">
        <f>_xlfn.XLOOKUP(A1475, ORIGEM!A:A, ORIGEM!C:C)</f>
        <v>0</v>
      </c>
      <c r="G1475" t="str">
        <f>_xlfn.XLOOKUP(A1475, LOCAL!A:A, LOCAL!B:B)</f>
        <v>Porto Velho - RO</v>
      </c>
      <c r="H1475" t="str">
        <f>_xlfn.XLOOKUP(A1475, PORTE!A:A, PORTE!B:B)</f>
        <v>0</v>
      </c>
      <c r="I1475" t="str">
        <f>_xlfn.XLOOKUP(A1475, OBJETIVO!A:A, OBJETIVO!B:B)</f>
        <v>Outro</v>
      </c>
      <c r="J1475">
        <f t="shared" ref="J1475:J1538" si="23">IF(C1475="SIM",1,0)</f>
        <v>0</v>
      </c>
    </row>
    <row r="1476" spans="1:10" x14ac:dyDescent="0.25">
      <c r="A1476">
        <v>11298984</v>
      </c>
      <c r="B1476" s="1">
        <v>45697.555949074071</v>
      </c>
      <c r="C1476" t="s">
        <v>0</v>
      </c>
      <c r="D1476" t="str">
        <f>VLOOKUP(A1476,MERCADO!A:B,2,0)</f>
        <v>Empreendedor</v>
      </c>
      <c r="E1476" t="str">
        <f>_xlfn.XLOOKUP(A1476, ORIGEM!A:A, ORIGEM!B:B)</f>
        <v>Orgânico</v>
      </c>
      <c r="F1476">
        <f>_xlfn.XLOOKUP(A1476, ORIGEM!A:A, ORIGEM!C:C)</f>
        <v>0</v>
      </c>
      <c r="G1476" t="str">
        <f>_xlfn.XLOOKUP(A1476, LOCAL!A:A, LOCAL!B:B)</f>
        <v>Uberlândia - MG</v>
      </c>
      <c r="H1476" t="str">
        <f>_xlfn.XLOOKUP(A1476, PORTE!A:A, PORTE!B:B)</f>
        <v>0</v>
      </c>
      <c r="I1476" t="str">
        <f>_xlfn.XLOOKUP(A1476, OBJETIVO!A:A, OBJETIVO!B:B)</f>
        <v>Abertura/Expansão</v>
      </c>
      <c r="J1476">
        <f t="shared" si="23"/>
        <v>0</v>
      </c>
    </row>
    <row r="1477" spans="1:10" x14ac:dyDescent="0.25">
      <c r="A1477">
        <v>11269572</v>
      </c>
      <c r="B1477" s="1">
        <v>45694.664212962962</v>
      </c>
      <c r="C1477" t="s">
        <v>0</v>
      </c>
      <c r="D1477" t="str">
        <f>VLOOKUP(A1477,MERCADO!A:B,2,0)</f>
        <v>Empreendedor</v>
      </c>
      <c r="E1477" t="str">
        <f>_xlfn.XLOOKUP(A1477, ORIGEM!A:A, ORIGEM!B:B)</f>
        <v>Orgânico</v>
      </c>
      <c r="F1477">
        <f>_xlfn.XLOOKUP(A1477, ORIGEM!A:A, ORIGEM!C:C)</f>
        <v>0</v>
      </c>
      <c r="G1477" t="str">
        <f>_xlfn.XLOOKUP(A1477, LOCAL!A:A, LOCAL!B:B)</f>
        <v>São Paulo - SP</v>
      </c>
      <c r="H1477" t="str">
        <f>_xlfn.XLOOKUP(A1477, PORTE!A:A, PORTE!B:B)</f>
        <v>0</v>
      </c>
      <c r="I1477" t="str">
        <f>_xlfn.XLOOKUP(A1477, OBJETIVO!A:A, OBJETIVO!B:B)</f>
        <v>Abertura/Expansão</v>
      </c>
      <c r="J1477">
        <f t="shared" si="23"/>
        <v>0</v>
      </c>
    </row>
    <row r="1478" spans="1:10" x14ac:dyDescent="0.25">
      <c r="A1478">
        <v>11229397</v>
      </c>
      <c r="B1478" s="1">
        <v>45690.850092592591</v>
      </c>
      <c r="C1478" t="s">
        <v>0</v>
      </c>
      <c r="D1478" t="str">
        <f>VLOOKUP(A1478,MERCADO!A:B,2,0)</f>
        <v>Empreendedor</v>
      </c>
      <c r="E1478" t="str">
        <f>_xlfn.XLOOKUP(A1478, ORIGEM!A:A, ORIGEM!B:B)</f>
        <v>Orgânico</v>
      </c>
      <c r="F1478">
        <f>_xlfn.XLOOKUP(A1478, ORIGEM!A:A, ORIGEM!C:C)</f>
        <v>0</v>
      </c>
      <c r="G1478" t="str">
        <f>_xlfn.XLOOKUP(A1478, LOCAL!A:A, LOCAL!B:B)</f>
        <v>Rio de Janeiro - RJ</v>
      </c>
      <c r="H1478" t="str">
        <f>_xlfn.XLOOKUP(A1478, PORTE!A:A, PORTE!B:B)</f>
        <v>0</v>
      </c>
      <c r="I1478" t="str">
        <f>_xlfn.XLOOKUP(A1478, OBJETIVO!A:A, OBJETIVO!B:B)</f>
        <v>Abertura/Expansão</v>
      </c>
      <c r="J1478">
        <f t="shared" si="23"/>
        <v>0</v>
      </c>
    </row>
    <row r="1479" spans="1:10" x14ac:dyDescent="0.25">
      <c r="A1479">
        <v>11238632</v>
      </c>
      <c r="B1479" s="1">
        <v>45691.633206018516</v>
      </c>
      <c r="C1479" t="s">
        <v>0</v>
      </c>
      <c r="D1479" t="str">
        <f>VLOOKUP(A1479,MERCADO!A:B,2,0)</f>
        <v>Empreendedor</v>
      </c>
      <c r="E1479" t="str">
        <f>_xlfn.XLOOKUP(A1479, ORIGEM!A:A, ORIGEM!B:B)</f>
        <v>Orgânico</v>
      </c>
      <c r="F1479">
        <f>_xlfn.XLOOKUP(A1479, ORIGEM!A:A, ORIGEM!C:C)</f>
        <v>0</v>
      </c>
      <c r="G1479" t="str">
        <f>_xlfn.XLOOKUP(A1479, LOCAL!A:A, LOCAL!B:B)</f>
        <v>Florianópolis - SC</v>
      </c>
      <c r="H1479" t="str">
        <f>_xlfn.XLOOKUP(A1479, PORTE!A:A, PORTE!B:B)</f>
        <v>0</v>
      </c>
      <c r="I1479" t="str">
        <f>_xlfn.XLOOKUP(A1479, OBJETIVO!A:A, OBJETIVO!B:B)</f>
        <v>Outro</v>
      </c>
      <c r="J1479">
        <f t="shared" si="23"/>
        <v>0</v>
      </c>
    </row>
    <row r="1480" spans="1:10" x14ac:dyDescent="0.25">
      <c r="A1480">
        <v>11241375</v>
      </c>
      <c r="B1480" s="1">
        <v>45691.742465277777</v>
      </c>
      <c r="C1480" t="s">
        <v>0</v>
      </c>
      <c r="D1480" t="str">
        <f>VLOOKUP(A1480,MERCADO!A:B,2,0)</f>
        <v>Empreendedor</v>
      </c>
      <c r="E1480" t="str">
        <f>_xlfn.XLOOKUP(A1480, ORIGEM!A:A, ORIGEM!B:B)</f>
        <v>Orgânico</v>
      </c>
      <c r="F1480">
        <f>_xlfn.XLOOKUP(A1480, ORIGEM!A:A, ORIGEM!C:C)</f>
        <v>0</v>
      </c>
      <c r="G1480" t="str">
        <f>_xlfn.XLOOKUP(A1480, LOCAL!A:A, LOCAL!B:B)</f>
        <v>São Paulo - SP</v>
      </c>
      <c r="H1480" t="str">
        <f>_xlfn.XLOOKUP(A1480, PORTE!A:A, PORTE!B:B)</f>
        <v>0</v>
      </c>
      <c r="I1480" t="str">
        <f>_xlfn.XLOOKUP(A1480, OBJETIVO!A:A, OBJETIVO!B:B)</f>
        <v>Planejamento estratégico</v>
      </c>
      <c r="J1480">
        <f t="shared" si="23"/>
        <v>0</v>
      </c>
    </row>
    <row r="1481" spans="1:10" x14ac:dyDescent="0.25">
      <c r="A1481">
        <v>11302947</v>
      </c>
      <c r="B1481" s="1">
        <v>45697.698101851849</v>
      </c>
      <c r="C1481" t="s">
        <v>0</v>
      </c>
      <c r="D1481" t="str">
        <f>VLOOKUP(A1481,MERCADO!A:B,2,0)</f>
        <v>Empreendedor</v>
      </c>
      <c r="E1481" t="str">
        <f>_xlfn.XLOOKUP(A1481, ORIGEM!A:A, ORIGEM!B:B)</f>
        <v>Orgânico</v>
      </c>
      <c r="F1481">
        <f>_xlfn.XLOOKUP(A1481, ORIGEM!A:A, ORIGEM!C:C)</f>
        <v>0</v>
      </c>
      <c r="G1481" t="str">
        <f>_xlfn.XLOOKUP(A1481, LOCAL!A:A, LOCAL!B:B)</f>
        <v>São Paulo - SP</v>
      </c>
      <c r="H1481" t="str">
        <f>_xlfn.XLOOKUP(A1481, PORTE!A:A, PORTE!B:B)</f>
        <v>1-10</v>
      </c>
      <c r="I1481" t="str">
        <f>_xlfn.XLOOKUP(A1481, OBJETIVO!A:A, OBJETIVO!B:B)</f>
        <v>Abertura/Expansão</v>
      </c>
      <c r="J1481">
        <f t="shared" si="23"/>
        <v>0</v>
      </c>
    </row>
    <row r="1482" spans="1:10" x14ac:dyDescent="0.25">
      <c r="A1482">
        <v>11331246</v>
      </c>
      <c r="B1482" s="1">
        <v>45699.814432870371</v>
      </c>
      <c r="C1482" t="s">
        <v>0</v>
      </c>
      <c r="D1482" t="str">
        <f>VLOOKUP(A1482,MERCADO!A:B,2,0)</f>
        <v>Empreendedor</v>
      </c>
      <c r="E1482" t="str">
        <f>_xlfn.XLOOKUP(A1482, ORIGEM!A:A, ORIGEM!B:B)</f>
        <v>Orgânico</v>
      </c>
      <c r="F1482">
        <f>_xlfn.XLOOKUP(A1482, ORIGEM!A:A, ORIGEM!C:C)</f>
        <v>0</v>
      </c>
      <c r="G1482" t="str">
        <f>_xlfn.XLOOKUP(A1482, LOCAL!A:A, LOCAL!B:B)</f>
        <v>Fortaleza - CE</v>
      </c>
      <c r="H1482" t="str">
        <f>_xlfn.XLOOKUP(A1482, PORTE!A:A, PORTE!B:B)</f>
        <v>1-10</v>
      </c>
      <c r="I1482" t="str">
        <f>_xlfn.XLOOKUP(A1482, OBJETIVO!A:A, OBJETIVO!B:B)</f>
        <v>Abertura/Expansão</v>
      </c>
      <c r="J1482">
        <f t="shared" si="23"/>
        <v>0</v>
      </c>
    </row>
    <row r="1483" spans="1:10" x14ac:dyDescent="0.25">
      <c r="A1483">
        <v>11338338</v>
      </c>
      <c r="B1483" s="1">
        <v>45700.630069444444</v>
      </c>
      <c r="C1483" t="s">
        <v>0</v>
      </c>
      <c r="D1483" t="str">
        <f>VLOOKUP(A1483,MERCADO!A:B,2,0)</f>
        <v>Empreendedor</v>
      </c>
      <c r="E1483" t="str">
        <f>_xlfn.XLOOKUP(A1483, ORIGEM!A:A, ORIGEM!B:B)</f>
        <v>Orgânico</v>
      </c>
      <c r="F1483">
        <f>_xlfn.XLOOKUP(A1483, ORIGEM!A:A, ORIGEM!C:C)</f>
        <v>0</v>
      </c>
      <c r="G1483" t="str">
        <f>_xlfn.XLOOKUP(A1483, LOCAL!A:A, LOCAL!B:B)</f>
        <v>Americana - SP</v>
      </c>
      <c r="H1483" t="str">
        <f>_xlfn.XLOOKUP(A1483, PORTE!A:A, PORTE!B:B)</f>
        <v>1-10</v>
      </c>
      <c r="I1483" t="str">
        <f>_xlfn.XLOOKUP(A1483, OBJETIVO!A:A, OBJETIVO!B:B)</f>
        <v>Abertura/Expansão</v>
      </c>
      <c r="J1483">
        <f t="shared" si="23"/>
        <v>0</v>
      </c>
    </row>
    <row r="1484" spans="1:10" x14ac:dyDescent="0.25">
      <c r="A1484">
        <v>11344378</v>
      </c>
      <c r="B1484" s="1">
        <v>45701.474768518521</v>
      </c>
      <c r="C1484" t="s">
        <v>0</v>
      </c>
      <c r="D1484" t="str">
        <f>VLOOKUP(A1484,MERCADO!A:B,2,0)</f>
        <v>Empreendedor</v>
      </c>
      <c r="E1484" t="str">
        <f>_xlfn.XLOOKUP(A1484, ORIGEM!A:A, ORIGEM!B:B)</f>
        <v>Orgânico</v>
      </c>
      <c r="F1484">
        <f>_xlfn.XLOOKUP(A1484, ORIGEM!A:A, ORIGEM!C:C)</f>
        <v>0</v>
      </c>
      <c r="G1484" t="str">
        <f>_xlfn.XLOOKUP(A1484, LOCAL!A:A, LOCAL!B:B)</f>
        <v>Linhares - ES</v>
      </c>
      <c r="H1484" t="str">
        <f>_xlfn.XLOOKUP(A1484, PORTE!A:A, PORTE!B:B)</f>
        <v>1-10</v>
      </c>
      <c r="I1484" t="str">
        <f>_xlfn.XLOOKUP(A1484, OBJETIVO!A:A, OBJETIVO!B:B)</f>
        <v>Outro</v>
      </c>
      <c r="J1484">
        <f t="shared" si="23"/>
        <v>0</v>
      </c>
    </row>
    <row r="1485" spans="1:10" x14ac:dyDescent="0.25">
      <c r="A1485">
        <v>11345547</v>
      </c>
      <c r="B1485" s="1">
        <v>45701.767928240741</v>
      </c>
      <c r="C1485" t="s">
        <v>0</v>
      </c>
      <c r="D1485" t="str">
        <f>VLOOKUP(A1485,MERCADO!A:B,2,0)</f>
        <v>Empreendedor</v>
      </c>
      <c r="E1485" t="str">
        <f>_xlfn.XLOOKUP(A1485, ORIGEM!A:A, ORIGEM!B:B)</f>
        <v>Orgânico</v>
      </c>
      <c r="F1485">
        <f>_xlfn.XLOOKUP(A1485, ORIGEM!A:A, ORIGEM!C:C)</f>
        <v>0</v>
      </c>
      <c r="G1485" t="str">
        <f>_xlfn.XLOOKUP(A1485, LOCAL!A:A, LOCAL!B:B)</f>
        <v>Ariquemes - RO</v>
      </c>
      <c r="H1485" t="str">
        <f>_xlfn.XLOOKUP(A1485, PORTE!A:A, PORTE!B:B)</f>
        <v>0</v>
      </c>
      <c r="I1485" t="str">
        <f>_xlfn.XLOOKUP(A1485, OBJETIVO!A:A, OBJETIVO!B:B)</f>
        <v>Geração de leads b2b</v>
      </c>
      <c r="J1485">
        <f t="shared" si="23"/>
        <v>0</v>
      </c>
    </row>
    <row r="1486" spans="1:10" x14ac:dyDescent="0.25">
      <c r="A1486">
        <v>11345826</v>
      </c>
      <c r="B1486" s="1">
        <v>45701.870671296296</v>
      </c>
      <c r="C1486" t="s">
        <v>0</v>
      </c>
      <c r="D1486" t="str">
        <f>VLOOKUP(A1486,MERCADO!A:B,2,0)</f>
        <v>Empreendedor</v>
      </c>
      <c r="E1486" t="str">
        <f>_xlfn.XLOOKUP(A1486, ORIGEM!A:A, ORIGEM!B:B)</f>
        <v>Orgânico</v>
      </c>
      <c r="F1486">
        <f>_xlfn.XLOOKUP(A1486, ORIGEM!A:A, ORIGEM!C:C)</f>
        <v>0</v>
      </c>
      <c r="G1486" t="str">
        <f>_xlfn.XLOOKUP(A1486, LOCAL!A:A, LOCAL!B:B)</f>
        <v>Brasília - DF</v>
      </c>
      <c r="H1486" t="str">
        <f>_xlfn.XLOOKUP(A1486, PORTE!A:A, PORTE!B:B)</f>
        <v>1-10</v>
      </c>
      <c r="I1486" t="str">
        <f>_xlfn.XLOOKUP(A1486, OBJETIVO!A:A, OBJETIVO!B:B)</f>
        <v>Abertura/Expansão</v>
      </c>
      <c r="J1486">
        <f t="shared" si="23"/>
        <v>0</v>
      </c>
    </row>
    <row r="1487" spans="1:10" x14ac:dyDescent="0.25">
      <c r="A1487">
        <v>11348282</v>
      </c>
      <c r="B1487" s="1">
        <v>45702.976747685185</v>
      </c>
      <c r="C1487" t="s">
        <v>0</v>
      </c>
      <c r="D1487" t="str">
        <f>VLOOKUP(A1487,MERCADO!A:B,2,0)</f>
        <v>Empreendedor</v>
      </c>
      <c r="E1487" t="str">
        <f>_xlfn.XLOOKUP(A1487, ORIGEM!A:A, ORIGEM!B:B)</f>
        <v>Orgânico</v>
      </c>
      <c r="F1487">
        <f>_xlfn.XLOOKUP(A1487, ORIGEM!A:A, ORIGEM!C:C)</f>
        <v>0</v>
      </c>
      <c r="G1487" t="str">
        <f>_xlfn.XLOOKUP(A1487, LOCAL!A:A, LOCAL!B:B)</f>
        <v>Fortaleza - CE</v>
      </c>
      <c r="H1487" t="str">
        <f>_xlfn.XLOOKUP(A1487, PORTE!A:A, PORTE!B:B)</f>
        <v>0</v>
      </c>
      <c r="I1487" t="str">
        <f>_xlfn.XLOOKUP(A1487, OBJETIVO!A:A, OBJETIVO!B:B)</f>
        <v>Abertura/Expansão</v>
      </c>
      <c r="J1487">
        <f t="shared" si="23"/>
        <v>0</v>
      </c>
    </row>
    <row r="1488" spans="1:10" x14ac:dyDescent="0.25">
      <c r="A1488">
        <v>11359877</v>
      </c>
      <c r="B1488" s="1">
        <v>45704.362037037034</v>
      </c>
      <c r="C1488" t="s">
        <v>0</v>
      </c>
      <c r="D1488" t="str">
        <f>VLOOKUP(A1488,MERCADO!A:B,2,0)</f>
        <v>Empreendedor</v>
      </c>
      <c r="E1488" t="str">
        <f>_xlfn.XLOOKUP(A1488, ORIGEM!A:A, ORIGEM!B:B)</f>
        <v>Orgânico</v>
      </c>
      <c r="F1488">
        <f>_xlfn.XLOOKUP(A1488, ORIGEM!A:A, ORIGEM!C:C)</f>
        <v>0</v>
      </c>
      <c r="G1488" t="str">
        <f>_xlfn.XLOOKUP(A1488, LOCAL!A:A, LOCAL!B:B)</f>
        <v>Aparecida de Goiania - GO</v>
      </c>
      <c r="H1488" t="str">
        <f>_xlfn.XLOOKUP(A1488, PORTE!A:A, PORTE!B:B)</f>
        <v>0</v>
      </c>
      <c r="I1488" t="str">
        <f>_xlfn.XLOOKUP(A1488, OBJETIVO!A:A, OBJETIVO!B:B)</f>
        <v>Planejamento estratégico</v>
      </c>
      <c r="J1488">
        <f t="shared" si="23"/>
        <v>0</v>
      </c>
    </row>
    <row r="1489" spans="1:10" x14ac:dyDescent="0.25">
      <c r="A1489">
        <v>11409218</v>
      </c>
      <c r="B1489" s="1">
        <v>45709.523182870369</v>
      </c>
      <c r="C1489" t="s">
        <v>0</v>
      </c>
      <c r="D1489" t="str">
        <f>VLOOKUP(A1489,MERCADO!A:B,2,0)</f>
        <v>Empreendedor</v>
      </c>
      <c r="E1489" t="str">
        <f>_xlfn.XLOOKUP(A1489, ORIGEM!A:A, ORIGEM!B:B)</f>
        <v>Orgânico</v>
      </c>
      <c r="F1489">
        <f>_xlfn.XLOOKUP(A1489, ORIGEM!A:A, ORIGEM!C:C)</f>
        <v>0</v>
      </c>
      <c r="G1489" t="str">
        <f>_xlfn.XLOOKUP(A1489, LOCAL!A:A, LOCAL!B:B)</f>
        <v>Montes Claros - MG</v>
      </c>
      <c r="H1489" t="str">
        <f>_xlfn.XLOOKUP(A1489, PORTE!A:A, PORTE!B:B)</f>
        <v>0</v>
      </c>
      <c r="I1489" t="str">
        <f>_xlfn.XLOOKUP(A1489, OBJETIVO!A:A, OBJETIVO!B:B)</f>
        <v>Abertura/Expansão</v>
      </c>
      <c r="J1489">
        <f t="shared" si="23"/>
        <v>0</v>
      </c>
    </row>
    <row r="1490" spans="1:10" x14ac:dyDescent="0.25">
      <c r="A1490">
        <v>11440238</v>
      </c>
      <c r="B1490" s="1">
        <v>45711.76021990741</v>
      </c>
      <c r="C1490" t="s">
        <v>0</v>
      </c>
      <c r="D1490" t="str">
        <f>VLOOKUP(A1490,MERCADO!A:B,2,0)</f>
        <v>Empreendedor</v>
      </c>
      <c r="E1490" t="str">
        <f>_xlfn.XLOOKUP(A1490, ORIGEM!A:A, ORIGEM!B:B)</f>
        <v>Orgânico</v>
      </c>
      <c r="F1490">
        <f>_xlfn.XLOOKUP(A1490, ORIGEM!A:A, ORIGEM!C:C)</f>
        <v>0</v>
      </c>
      <c r="G1490" t="str">
        <f>_xlfn.XLOOKUP(A1490, LOCAL!A:A, LOCAL!B:B)</f>
        <v>Duque de Caxias - RJ</v>
      </c>
      <c r="H1490" t="str">
        <f>_xlfn.XLOOKUP(A1490, PORTE!A:A, PORTE!B:B)</f>
        <v>0</v>
      </c>
      <c r="I1490" t="str">
        <f>_xlfn.XLOOKUP(A1490, OBJETIVO!A:A, OBJETIVO!B:B)</f>
        <v>Abertura/Expansão</v>
      </c>
      <c r="J1490">
        <f t="shared" si="23"/>
        <v>0</v>
      </c>
    </row>
    <row r="1491" spans="1:10" x14ac:dyDescent="0.25">
      <c r="A1491">
        <v>11518743</v>
      </c>
      <c r="B1491" s="1">
        <v>45719.544282407405</v>
      </c>
      <c r="C1491" t="s">
        <v>0</v>
      </c>
      <c r="D1491" t="str">
        <f>VLOOKUP(A1491,MERCADO!A:B,2,0)</f>
        <v>Empreendedor</v>
      </c>
      <c r="E1491" t="str">
        <f>_xlfn.XLOOKUP(A1491, ORIGEM!A:A, ORIGEM!B:B)</f>
        <v>Orgânico</v>
      </c>
      <c r="F1491">
        <f>_xlfn.XLOOKUP(A1491, ORIGEM!A:A, ORIGEM!C:C)</f>
        <v>0</v>
      </c>
      <c r="G1491" t="str">
        <f>_xlfn.XLOOKUP(A1491, LOCAL!A:A, LOCAL!B:B)</f>
        <v>São Paulo - SP</v>
      </c>
      <c r="H1491" t="str">
        <f>_xlfn.XLOOKUP(A1491, PORTE!A:A, PORTE!B:B)</f>
        <v>0</v>
      </c>
      <c r="I1491" t="str">
        <f>_xlfn.XLOOKUP(A1491, OBJETIVO!A:A, OBJETIVO!B:B)</f>
        <v>Outro</v>
      </c>
      <c r="J1491">
        <f t="shared" si="23"/>
        <v>0</v>
      </c>
    </row>
    <row r="1492" spans="1:10" x14ac:dyDescent="0.25">
      <c r="A1492">
        <v>11520506</v>
      </c>
      <c r="B1492" s="1">
        <v>45719.606909722221</v>
      </c>
      <c r="C1492" t="s">
        <v>0</v>
      </c>
      <c r="D1492" t="str">
        <f>VLOOKUP(A1492,MERCADO!A:B,2,0)</f>
        <v>Empreendedor</v>
      </c>
      <c r="E1492" t="str">
        <f>_xlfn.XLOOKUP(A1492, ORIGEM!A:A, ORIGEM!B:B)</f>
        <v>Orgânico</v>
      </c>
      <c r="F1492">
        <f>_xlfn.XLOOKUP(A1492, ORIGEM!A:A, ORIGEM!C:C)</f>
        <v>0</v>
      </c>
      <c r="G1492" t="str">
        <f>_xlfn.XLOOKUP(A1492, LOCAL!A:A, LOCAL!B:B)</f>
        <v>Campinas - SP</v>
      </c>
      <c r="H1492" t="str">
        <f>_xlfn.XLOOKUP(A1492, PORTE!A:A, PORTE!B:B)</f>
        <v>0</v>
      </c>
      <c r="I1492" t="str">
        <f>_xlfn.XLOOKUP(A1492, OBJETIVO!A:A, OBJETIVO!B:B)</f>
        <v>Consultoria</v>
      </c>
      <c r="J1492">
        <f t="shared" si="23"/>
        <v>0</v>
      </c>
    </row>
    <row r="1493" spans="1:10" x14ac:dyDescent="0.25">
      <c r="A1493">
        <v>11462140</v>
      </c>
      <c r="B1493" s="1">
        <v>45713.620300925926</v>
      </c>
      <c r="C1493" t="s">
        <v>0</v>
      </c>
      <c r="D1493" t="str">
        <f>VLOOKUP(A1493,MERCADO!A:B,2,0)</f>
        <v>Empreendedor</v>
      </c>
      <c r="E1493" t="str">
        <f>_xlfn.XLOOKUP(A1493, ORIGEM!A:A, ORIGEM!B:B)</f>
        <v>Orgânico</v>
      </c>
      <c r="F1493">
        <f>_xlfn.XLOOKUP(A1493, ORIGEM!A:A, ORIGEM!C:C)</f>
        <v>0</v>
      </c>
      <c r="G1493" t="str">
        <f>_xlfn.XLOOKUP(A1493, LOCAL!A:A, LOCAL!B:B)</f>
        <v>São Luís - MA</v>
      </c>
      <c r="H1493" t="str">
        <f>_xlfn.XLOOKUP(A1493, PORTE!A:A, PORTE!B:B)</f>
        <v>0</v>
      </c>
      <c r="I1493" t="str">
        <f>_xlfn.XLOOKUP(A1493, OBJETIVO!A:A, OBJETIVO!B:B)</f>
        <v>Abertura/Expansão</v>
      </c>
      <c r="J1493">
        <f t="shared" si="23"/>
        <v>0</v>
      </c>
    </row>
    <row r="1494" spans="1:10" x14ac:dyDescent="0.25">
      <c r="A1494">
        <v>11472198</v>
      </c>
      <c r="B1494" s="1">
        <v>45714.494745370372</v>
      </c>
      <c r="C1494" t="s">
        <v>0</v>
      </c>
      <c r="D1494" t="str">
        <f>VLOOKUP(A1494,MERCADO!A:B,2,0)</f>
        <v>Empreendedor</v>
      </c>
      <c r="E1494" t="str">
        <f>_xlfn.XLOOKUP(A1494, ORIGEM!A:A, ORIGEM!B:B)</f>
        <v>Orgânico</v>
      </c>
      <c r="F1494">
        <f>_xlfn.XLOOKUP(A1494, ORIGEM!A:A, ORIGEM!C:C)</f>
        <v>0</v>
      </c>
      <c r="G1494" t="str">
        <f>_xlfn.XLOOKUP(A1494, LOCAL!A:A, LOCAL!B:B)</f>
        <v>Itupeva - SP</v>
      </c>
      <c r="H1494" t="str">
        <f>_xlfn.XLOOKUP(A1494, PORTE!A:A, PORTE!B:B)</f>
        <v>1-10</v>
      </c>
      <c r="I1494" t="str">
        <f>_xlfn.XLOOKUP(A1494, OBJETIVO!A:A, OBJETIVO!B:B)</f>
        <v>Abertura/Expansão</v>
      </c>
      <c r="J1494">
        <f t="shared" si="23"/>
        <v>0</v>
      </c>
    </row>
    <row r="1495" spans="1:10" x14ac:dyDescent="0.25">
      <c r="A1495">
        <v>11445743</v>
      </c>
      <c r="B1495" s="1">
        <v>45712.481550925928</v>
      </c>
      <c r="C1495" t="s">
        <v>0</v>
      </c>
      <c r="D1495" t="str">
        <f>VLOOKUP(A1495,MERCADO!A:B,2,0)</f>
        <v>Empreendedor</v>
      </c>
      <c r="E1495" t="str">
        <f>_xlfn.XLOOKUP(A1495, ORIGEM!A:A, ORIGEM!B:B)</f>
        <v>Orgânico</v>
      </c>
      <c r="F1495">
        <f>_xlfn.XLOOKUP(A1495, ORIGEM!A:A, ORIGEM!C:C)</f>
        <v>0</v>
      </c>
      <c r="G1495" t="str">
        <f>_xlfn.XLOOKUP(A1495, LOCAL!A:A, LOCAL!B:B)</f>
        <v>São Leopoldo - RS</v>
      </c>
      <c r="H1495" t="str">
        <f>_xlfn.XLOOKUP(A1495, PORTE!A:A, PORTE!B:B)</f>
        <v>0</v>
      </c>
      <c r="I1495" t="str">
        <f>_xlfn.XLOOKUP(A1495, OBJETIVO!A:A, OBJETIVO!B:B)</f>
        <v>Abertura/Expansão</v>
      </c>
      <c r="J1495">
        <f t="shared" si="23"/>
        <v>0</v>
      </c>
    </row>
    <row r="1496" spans="1:10" x14ac:dyDescent="0.25">
      <c r="A1496">
        <v>11446310</v>
      </c>
      <c r="B1496" s="1">
        <v>45712.508946759262</v>
      </c>
      <c r="C1496" t="s">
        <v>0</v>
      </c>
      <c r="D1496" t="str">
        <f>VLOOKUP(A1496,MERCADO!A:B,2,0)</f>
        <v>Empreendedor</v>
      </c>
      <c r="E1496" t="str">
        <f>_xlfn.XLOOKUP(A1496, ORIGEM!A:A, ORIGEM!B:B)</f>
        <v>Orgânico</v>
      </c>
      <c r="F1496">
        <f>_xlfn.XLOOKUP(A1496, ORIGEM!A:A, ORIGEM!C:C)</f>
        <v>0</v>
      </c>
      <c r="G1496" t="str">
        <f>_xlfn.XLOOKUP(A1496, LOCAL!A:A, LOCAL!B:B)</f>
        <v>São Paulo - SP</v>
      </c>
      <c r="H1496" t="str">
        <f>_xlfn.XLOOKUP(A1496, PORTE!A:A, PORTE!B:B)</f>
        <v>0</v>
      </c>
      <c r="I1496" t="str">
        <f>_xlfn.XLOOKUP(A1496, OBJETIVO!A:A, OBJETIVO!B:B)</f>
        <v>Outro</v>
      </c>
      <c r="J1496">
        <f t="shared" si="23"/>
        <v>0</v>
      </c>
    </row>
    <row r="1497" spans="1:10" x14ac:dyDescent="0.25">
      <c r="A1497">
        <v>11223824</v>
      </c>
      <c r="B1497" s="1">
        <v>45690.614398148151</v>
      </c>
      <c r="C1497" t="s">
        <v>0</v>
      </c>
      <c r="D1497" t="str">
        <f>VLOOKUP(A1497,MERCADO!A:B,2,0)</f>
        <v>Empreendedor</v>
      </c>
      <c r="E1497" t="str">
        <f>_xlfn.XLOOKUP(A1497, ORIGEM!A:A, ORIGEM!B:B)</f>
        <v>Orgânico</v>
      </c>
      <c r="F1497">
        <f>_xlfn.XLOOKUP(A1497, ORIGEM!A:A, ORIGEM!C:C)</f>
        <v>0</v>
      </c>
      <c r="G1497" t="str">
        <f>_xlfn.XLOOKUP(A1497, LOCAL!A:A, LOCAL!B:B)</f>
        <v>Niterói - RJ</v>
      </c>
      <c r="H1497" t="str">
        <f>_xlfn.XLOOKUP(A1497, PORTE!A:A, PORTE!B:B)</f>
        <v>0</v>
      </c>
      <c r="I1497" t="str">
        <f>_xlfn.XLOOKUP(A1497, OBJETIVO!A:A, OBJETIVO!B:B)</f>
        <v>Abertura/Expansão</v>
      </c>
      <c r="J1497">
        <f t="shared" si="23"/>
        <v>0</v>
      </c>
    </row>
    <row r="1498" spans="1:10" x14ac:dyDescent="0.25">
      <c r="A1498">
        <v>11214324</v>
      </c>
      <c r="B1498" s="1">
        <v>45689.889432870368</v>
      </c>
      <c r="C1498" t="s">
        <v>0</v>
      </c>
      <c r="D1498" t="str">
        <f>VLOOKUP(A1498,MERCADO!A:B,2,0)</f>
        <v>Empreendedor</v>
      </c>
      <c r="E1498" t="str">
        <f>_xlfn.XLOOKUP(A1498, ORIGEM!A:A, ORIGEM!B:B)</f>
        <v>Orgânico</v>
      </c>
      <c r="F1498">
        <f>_xlfn.XLOOKUP(A1498, ORIGEM!A:A, ORIGEM!C:C)</f>
        <v>0</v>
      </c>
      <c r="G1498" t="str">
        <f>_xlfn.XLOOKUP(A1498, LOCAL!A:A, LOCAL!B:B)</f>
        <v>Rio de Janeiro - RJ</v>
      </c>
      <c r="H1498" t="str">
        <f>_xlfn.XLOOKUP(A1498, PORTE!A:A, PORTE!B:B)</f>
        <v>51-300</v>
      </c>
      <c r="I1498" t="str">
        <f>_xlfn.XLOOKUP(A1498, OBJETIVO!A:A, OBJETIVO!B:B)</f>
        <v>Abertura/Expansão</v>
      </c>
      <c r="J1498">
        <f t="shared" si="23"/>
        <v>0</v>
      </c>
    </row>
    <row r="1499" spans="1:10" x14ac:dyDescent="0.25">
      <c r="A1499">
        <v>11206139</v>
      </c>
      <c r="B1499" s="1">
        <v>45689.548344907409</v>
      </c>
      <c r="C1499" t="s">
        <v>0</v>
      </c>
      <c r="D1499" t="str">
        <f>VLOOKUP(A1499,MERCADO!A:B,2,0)</f>
        <v>Empreendedor</v>
      </c>
      <c r="E1499" t="str">
        <f>_xlfn.XLOOKUP(A1499, ORIGEM!A:A, ORIGEM!B:B)</f>
        <v>Orgânico</v>
      </c>
      <c r="F1499">
        <f>_xlfn.XLOOKUP(A1499, ORIGEM!A:A, ORIGEM!C:C)</f>
        <v>0</v>
      </c>
      <c r="G1499" t="str">
        <f>_xlfn.XLOOKUP(A1499, LOCAL!A:A, LOCAL!B:B)</f>
        <v>Porto Alegre - RS</v>
      </c>
      <c r="H1499" t="str">
        <f>_xlfn.XLOOKUP(A1499, PORTE!A:A, PORTE!B:B)</f>
        <v>0</v>
      </c>
      <c r="I1499" t="str">
        <f>_xlfn.XLOOKUP(A1499, OBJETIVO!A:A, OBJETIVO!B:B)</f>
        <v>Outro</v>
      </c>
      <c r="J1499">
        <f t="shared" si="23"/>
        <v>0</v>
      </c>
    </row>
    <row r="1500" spans="1:10" x14ac:dyDescent="0.25">
      <c r="A1500">
        <v>11166775</v>
      </c>
      <c r="B1500" s="1">
        <v>45685.707951388889</v>
      </c>
      <c r="C1500" t="s">
        <v>0</v>
      </c>
      <c r="D1500" t="str">
        <f>VLOOKUP(A1500,MERCADO!A:B,2,0)</f>
        <v>Empreendedor</v>
      </c>
      <c r="E1500" t="str">
        <f>_xlfn.XLOOKUP(A1500, ORIGEM!A:A, ORIGEM!B:B)</f>
        <v>Orgânico</v>
      </c>
      <c r="F1500">
        <f>_xlfn.XLOOKUP(A1500, ORIGEM!A:A, ORIGEM!C:C)</f>
        <v>0</v>
      </c>
      <c r="G1500" t="str">
        <f>_xlfn.XLOOKUP(A1500, LOCAL!A:A, LOCAL!B:B)</f>
        <v>Vicosa do Ceara - CE</v>
      </c>
      <c r="H1500" t="str">
        <f>_xlfn.XLOOKUP(A1500, PORTE!A:A, PORTE!B:B)</f>
        <v>0</v>
      </c>
      <c r="I1500" t="str">
        <f>_xlfn.XLOOKUP(A1500, OBJETIVO!A:A, OBJETIVO!B:B)</f>
        <v>Abertura/Expansão</v>
      </c>
      <c r="J1500">
        <f t="shared" si="23"/>
        <v>0</v>
      </c>
    </row>
    <row r="1501" spans="1:10" x14ac:dyDescent="0.25">
      <c r="A1501">
        <v>11170231</v>
      </c>
      <c r="B1501" s="1">
        <v>45685.753333333334</v>
      </c>
      <c r="C1501" t="s">
        <v>0</v>
      </c>
      <c r="D1501" t="str">
        <f>VLOOKUP(A1501,MERCADO!A:B,2,0)</f>
        <v>Empreendedor</v>
      </c>
      <c r="E1501" t="str">
        <f>_xlfn.XLOOKUP(A1501, ORIGEM!A:A, ORIGEM!B:B)</f>
        <v>Orgânico</v>
      </c>
      <c r="F1501">
        <f>_xlfn.XLOOKUP(A1501, ORIGEM!A:A, ORIGEM!C:C)</f>
        <v>0</v>
      </c>
      <c r="G1501" t="str">
        <f>_xlfn.XLOOKUP(A1501, LOCAL!A:A, LOCAL!B:B)</f>
        <v>Niterói - RJ</v>
      </c>
      <c r="H1501" t="str">
        <f>_xlfn.XLOOKUP(A1501, PORTE!A:A, PORTE!B:B)</f>
        <v>0</v>
      </c>
      <c r="I1501" t="str">
        <f>_xlfn.XLOOKUP(A1501, OBJETIVO!A:A, OBJETIVO!B:B)</f>
        <v>Consultoria</v>
      </c>
      <c r="J1501">
        <f t="shared" si="23"/>
        <v>0</v>
      </c>
    </row>
    <row r="1502" spans="1:10" x14ac:dyDescent="0.25">
      <c r="A1502">
        <v>11182612</v>
      </c>
      <c r="B1502" s="1">
        <v>45686.653356481482</v>
      </c>
      <c r="C1502" t="s">
        <v>0</v>
      </c>
      <c r="D1502" t="str">
        <f>VLOOKUP(A1502,MERCADO!A:B,2,0)</f>
        <v>Empreendedor</v>
      </c>
      <c r="E1502" t="str">
        <f>_xlfn.XLOOKUP(A1502, ORIGEM!A:A, ORIGEM!B:B)</f>
        <v>Orgânico</v>
      </c>
      <c r="F1502">
        <f>_xlfn.XLOOKUP(A1502, ORIGEM!A:A, ORIGEM!C:C)</f>
        <v>0</v>
      </c>
      <c r="G1502" t="str">
        <f>_xlfn.XLOOKUP(A1502, LOCAL!A:A, LOCAL!B:B)</f>
        <v>Aracaju - SE</v>
      </c>
      <c r="H1502" t="str">
        <f>_xlfn.XLOOKUP(A1502, PORTE!A:A, PORTE!B:B)</f>
        <v>51-300</v>
      </c>
      <c r="I1502" t="str">
        <f>_xlfn.XLOOKUP(A1502, OBJETIVO!A:A, OBJETIVO!B:B)</f>
        <v>Planejamento estratégico</v>
      </c>
      <c r="J1502">
        <f t="shared" si="23"/>
        <v>0</v>
      </c>
    </row>
    <row r="1503" spans="1:10" x14ac:dyDescent="0.25">
      <c r="A1503">
        <v>11194510</v>
      </c>
      <c r="B1503" s="1">
        <v>45687.442453703705</v>
      </c>
      <c r="C1503" t="s">
        <v>0</v>
      </c>
      <c r="D1503" t="str">
        <f>VLOOKUP(A1503,MERCADO!A:B,2,0)</f>
        <v>Empreendedor</v>
      </c>
      <c r="E1503" t="str">
        <f>_xlfn.XLOOKUP(A1503, ORIGEM!A:A, ORIGEM!B:B)</f>
        <v>Orgânico</v>
      </c>
      <c r="F1503">
        <f>_xlfn.XLOOKUP(A1503, ORIGEM!A:A, ORIGEM!C:C)</f>
        <v>0</v>
      </c>
      <c r="G1503" t="str">
        <f>_xlfn.XLOOKUP(A1503, LOCAL!A:A, LOCAL!B:B)</f>
        <v>Porto Alegre - RS</v>
      </c>
      <c r="H1503" t="str">
        <f>_xlfn.XLOOKUP(A1503, PORTE!A:A, PORTE!B:B)</f>
        <v>0</v>
      </c>
      <c r="I1503" t="str">
        <f>_xlfn.XLOOKUP(A1503, OBJETIVO!A:A, OBJETIVO!B:B)</f>
        <v>Planejamento estratégico</v>
      </c>
      <c r="J1503">
        <f t="shared" si="23"/>
        <v>0</v>
      </c>
    </row>
    <row r="1504" spans="1:10" x14ac:dyDescent="0.25">
      <c r="A1504">
        <v>11081282</v>
      </c>
      <c r="B1504" s="1">
        <v>45679.401979166665</v>
      </c>
      <c r="C1504" t="s">
        <v>0</v>
      </c>
      <c r="D1504" t="str">
        <f>VLOOKUP(A1504,MERCADO!A:B,2,0)</f>
        <v>Empreendedor</v>
      </c>
      <c r="E1504" t="str">
        <f>_xlfn.XLOOKUP(A1504, ORIGEM!A:A, ORIGEM!B:B)</f>
        <v>Orgânico</v>
      </c>
      <c r="F1504">
        <f>_xlfn.XLOOKUP(A1504, ORIGEM!A:A, ORIGEM!C:C)</f>
        <v>0</v>
      </c>
      <c r="G1504" t="str">
        <f>_xlfn.XLOOKUP(A1504, LOCAL!A:A, LOCAL!B:B)</f>
        <v>Salvador - BA</v>
      </c>
      <c r="H1504" t="str">
        <f>_xlfn.XLOOKUP(A1504, PORTE!A:A, PORTE!B:B)</f>
        <v>0</v>
      </c>
      <c r="I1504" t="str">
        <f>_xlfn.XLOOKUP(A1504, OBJETIVO!A:A, OBJETIVO!B:B)</f>
        <v>Abertura/Expansão</v>
      </c>
      <c r="J1504">
        <f t="shared" si="23"/>
        <v>0</v>
      </c>
    </row>
    <row r="1505" spans="1:10" x14ac:dyDescent="0.25">
      <c r="A1505">
        <v>10846796</v>
      </c>
      <c r="B1505" s="1">
        <v>45657.040625000001</v>
      </c>
      <c r="C1505" t="s">
        <v>0</v>
      </c>
      <c r="D1505" t="str">
        <f>VLOOKUP(A1505,MERCADO!A:B,2,0)</f>
        <v>Empreendedor</v>
      </c>
      <c r="E1505" t="str">
        <f>_xlfn.XLOOKUP(A1505, ORIGEM!A:A, ORIGEM!B:B)</f>
        <v>Facebook</v>
      </c>
      <c r="F1505" t="str">
        <f>_xlfn.XLOOKUP(A1505, ORIGEM!A:A, ORIGEM!C:C)</f>
        <v>facebook - cpc</v>
      </c>
      <c r="G1505" t="str">
        <f>_xlfn.XLOOKUP(A1505, LOCAL!A:A, LOCAL!B:B)</f>
        <v>São Paulo - SP</v>
      </c>
      <c r="H1505" t="str">
        <f>_xlfn.XLOOKUP(A1505, PORTE!A:A, PORTE!B:B)</f>
        <v>1-10</v>
      </c>
      <c r="I1505" t="str">
        <f>_xlfn.XLOOKUP(A1505, OBJETIVO!A:A, OBJETIVO!B:B)</f>
        <v>Ações de marketing/vendas</v>
      </c>
      <c r="J1505">
        <f t="shared" si="23"/>
        <v>0</v>
      </c>
    </row>
    <row r="1506" spans="1:10" x14ac:dyDescent="0.25">
      <c r="A1506">
        <v>11336228</v>
      </c>
      <c r="B1506" s="1">
        <v>45700.502013888887</v>
      </c>
      <c r="C1506" t="s">
        <v>0</v>
      </c>
      <c r="D1506" t="str">
        <f>VLOOKUP(A1506,MERCADO!A:B,2,0)</f>
        <v>Empreendedor</v>
      </c>
      <c r="E1506" t="str">
        <f>_xlfn.XLOOKUP(A1506, ORIGEM!A:A, ORIGEM!B:B)</f>
        <v>Facebook</v>
      </c>
      <c r="F1506" t="str">
        <f>_xlfn.XLOOKUP(A1506, ORIGEM!A:A, ORIGEM!C:C)</f>
        <v>facebook - cpc</v>
      </c>
      <c r="G1506" t="str">
        <f>_xlfn.XLOOKUP(A1506, LOCAL!A:A, LOCAL!B:B)</f>
        <v>Sao Pedro do Turvo - SP</v>
      </c>
      <c r="H1506" t="str">
        <f>_xlfn.XLOOKUP(A1506, PORTE!A:A, PORTE!B:B)</f>
        <v>0</v>
      </c>
      <c r="I1506" t="str">
        <f>_xlfn.XLOOKUP(A1506, OBJETIVO!A:A, OBJETIVO!B:B)</f>
        <v>Abertura/Expansão</v>
      </c>
      <c r="J1506">
        <f t="shared" si="23"/>
        <v>0</v>
      </c>
    </row>
    <row r="1507" spans="1:10" x14ac:dyDescent="0.25">
      <c r="A1507">
        <v>10838812</v>
      </c>
      <c r="B1507" s="1">
        <v>45656.477534722224</v>
      </c>
      <c r="C1507" t="s">
        <v>0</v>
      </c>
      <c r="D1507" t="str">
        <f>VLOOKUP(A1507,MERCADO!A:B,2,0)</f>
        <v>Empreendedor</v>
      </c>
      <c r="E1507" t="str">
        <f>_xlfn.XLOOKUP(A1507, ORIGEM!A:A, ORIGEM!B:B)</f>
        <v>Facebook</v>
      </c>
      <c r="F1507" t="str">
        <f>_xlfn.XLOOKUP(A1507, ORIGEM!A:A, ORIGEM!C:C)</f>
        <v>facebook - cpc</v>
      </c>
      <c r="G1507" t="str">
        <f>_xlfn.XLOOKUP(A1507, LOCAL!A:A, LOCAL!B:B)</f>
        <v>Colmeia - TO</v>
      </c>
      <c r="H1507" t="str">
        <f>_xlfn.XLOOKUP(A1507, PORTE!A:A, PORTE!B:B)</f>
        <v>1-10</v>
      </c>
      <c r="I1507" t="str">
        <f>_xlfn.XLOOKUP(A1507, OBJETIVO!A:A, OBJETIVO!B:B)</f>
        <v>Consultoria</v>
      </c>
      <c r="J1507">
        <f t="shared" si="23"/>
        <v>0</v>
      </c>
    </row>
    <row r="1508" spans="1:10" x14ac:dyDescent="0.25">
      <c r="A1508">
        <v>11067784</v>
      </c>
      <c r="B1508" s="1">
        <v>45678.431817129633</v>
      </c>
      <c r="C1508" t="s">
        <v>0</v>
      </c>
      <c r="D1508" t="str">
        <f>VLOOKUP(A1508,MERCADO!A:B,2,0)</f>
        <v>Industria</v>
      </c>
      <c r="E1508" t="str">
        <f>_xlfn.XLOOKUP(A1508, ORIGEM!A:A, ORIGEM!B:B)</f>
        <v>Prospecção Ativa</v>
      </c>
      <c r="F1508">
        <f>_xlfn.XLOOKUP(A1508, ORIGEM!A:A, ORIGEM!C:C)</f>
        <v>0</v>
      </c>
      <c r="G1508" t="str">
        <f>_xlfn.XLOOKUP(A1508, LOCAL!A:A, LOCAL!B:B)</f>
        <v>-</v>
      </c>
      <c r="H1508">
        <f>_xlfn.XLOOKUP(A1508, PORTE!A:A, PORTE!B:B)</f>
        <v>0</v>
      </c>
      <c r="I1508">
        <f>_xlfn.XLOOKUP(A1508, OBJETIVO!A:A, OBJETIVO!B:B)</f>
        <v>0</v>
      </c>
      <c r="J1508">
        <f t="shared" si="23"/>
        <v>0</v>
      </c>
    </row>
    <row r="1509" spans="1:10" x14ac:dyDescent="0.25">
      <c r="A1509">
        <v>11067828</v>
      </c>
      <c r="B1509" s="1">
        <v>45678.434155092589</v>
      </c>
      <c r="C1509" t="s">
        <v>0</v>
      </c>
      <c r="D1509" t="str">
        <f>VLOOKUP(A1509,MERCADO!A:B,2,0)</f>
        <v>Industria</v>
      </c>
      <c r="E1509" t="str">
        <f>_xlfn.XLOOKUP(A1509, ORIGEM!A:A, ORIGEM!B:B)</f>
        <v>Prospecção Ativa</v>
      </c>
      <c r="F1509">
        <f>_xlfn.XLOOKUP(A1509, ORIGEM!A:A, ORIGEM!C:C)</f>
        <v>0</v>
      </c>
      <c r="G1509" t="str">
        <f>_xlfn.XLOOKUP(A1509, LOCAL!A:A, LOCAL!B:B)</f>
        <v>-</v>
      </c>
      <c r="H1509">
        <f>_xlfn.XLOOKUP(A1509, PORTE!A:A, PORTE!B:B)</f>
        <v>0</v>
      </c>
      <c r="I1509">
        <f>_xlfn.XLOOKUP(A1509, OBJETIVO!A:A, OBJETIVO!B:B)</f>
        <v>0</v>
      </c>
      <c r="J1509">
        <f t="shared" si="23"/>
        <v>0</v>
      </c>
    </row>
    <row r="1510" spans="1:10" x14ac:dyDescent="0.25">
      <c r="A1510">
        <v>11068056</v>
      </c>
      <c r="B1510" s="1">
        <v>45678.448900462965</v>
      </c>
      <c r="C1510" t="s">
        <v>0</v>
      </c>
      <c r="D1510" t="str">
        <f>VLOOKUP(A1510,MERCADO!A:B,2,0)</f>
        <v>Industria</v>
      </c>
      <c r="E1510" t="str">
        <f>_xlfn.XLOOKUP(A1510, ORIGEM!A:A, ORIGEM!B:B)</f>
        <v>Prospecção Ativa</v>
      </c>
      <c r="F1510">
        <f>_xlfn.XLOOKUP(A1510, ORIGEM!A:A, ORIGEM!C:C)</f>
        <v>0</v>
      </c>
      <c r="G1510" t="str">
        <f>_xlfn.XLOOKUP(A1510, LOCAL!A:A, LOCAL!B:B)</f>
        <v>-</v>
      </c>
      <c r="H1510">
        <f>_xlfn.XLOOKUP(A1510, PORTE!A:A, PORTE!B:B)</f>
        <v>0</v>
      </c>
      <c r="I1510">
        <f>_xlfn.XLOOKUP(A1510, OBJETIVO!A:A, OBJETIVO!B:B)</f>
        <v>0</v>
      </c>
      <c r="J1510">
        <f t="shared" si="23"/>
        <v>0</v>
      </c>
    </row>
    <row r="1511" spans="1:10" x14ac:dyDescent="0.25">
      <c r="A1511">
        <v>11068081</v>
      </c>
      <c r="B1511" s="1">
        <v>45678.450138888889</v>
      </c>
      <c r="C1511" t="s">
        <v>0</v>
      </c>
      <c r="D1511" t="str">
        <f>VLOOKUP(A1511,MERCADO!A:B,2,0)</f>
        <v>Industria</v>
      </c>
      <c r="E1511" t="str">
        <f>_xlfn.XLOOKUP(A1511, ORIGEM!A:A, ORIGEM!B:B)</f>
        <v>Prospecção Ativa</v>
      </c>
      <c r="F1511">
        <f>_xlfn.XLOOKUP(A1511, ORIGEM!A:A, ORIGEM!C:C)</f>
        <v>0</v>
      </c>
      <c r="G1511" t="str">
        <f>_xlfn.XLOOKUP(A1511, LOCAL!A:A, LOCAL!B:B)</f>
        <v>-</v>
      </c>
      <c r="H1511">
        <f>_xlfn.XLOOKUP(A1511, PORTE!A:A, PORTE!B:B)</f>
        <v>0</v>
      </c>
      <c r="I1511">
        <f>_xlfn.XLOOKUP(A1511, OBJETIVO!A:A, OBJETIVO!B:B)</f>
        <v>0</v>
      </c>
      <c r="J1511">
        <f t="shared" si="23"/>
        <v>0</v>
      </c>
    </row>
    <row r="1512" spans="1:10" x14ac:dyDescent="0.25">
      <c r="A1512">
        <v>11068126</v>
      </c>
      <c r="B1512" s="1">
        <v>45678.452685185184</v>
      </c>
      <c r="C1512" t="s">
        <v>0</v>
      </c>
      <c r="D1512" t="str">
        <f>VLOOKUP(A1512,MERCADO!A:B,2,0)</f>
        <v>Industria</v>
      </c>
      <c r="E1512" t="str">
        <f>_xlfn.XLOOKUP(A1512, ORIGEM!A:A, ORIGEM!B:B)</f>
        <v>Prospecção Ativa</v>
      </c>
      <c r="F1512">
        <f>_xlfn.XLOOKUP(A1512, ORIGEM!A:A, ORIGEM!C:C)</f>
        <v>0</v>
      </c>
      <c r="G1512" t="str">
        <f>_xlfn.XLOOKUP(A1512, LOCAL!A:A, LOCAL!B:B)</f>
        <v>-</v>
      </c>
      <c r="H1512">
        <f>_xlfn.XLOOKUP(A1512, PORTE!A:A, PORTE!B:B)</f>
        <v>0</v>
      </c>
      <c r="I1512">
        <f>_xlfn.XLOOKUP(A1512, OBJETIVO!A:A, OBJETIVO!B:B)</f>
        <v>0</v>
      </c>
      <c r="J1512">
        <f t="shared" si="23"/>
        <v>0</v>
      </c>
    </row>
    <row r="1513" spans="1:10" x14ac:dyDescent="0.25">
      <c r="A1513">
        <v>11068184</v>
      </c>
      <c r="B1513" s="1">
        <v>45678.455868055556</v>
      </c>
      <c r="C1513" t="s">
        <v>0</v>
      </c>
      <c r="D1513" t="str">
        <f>VLOOKUP(A1513,MERCADO!A:B,2,0)</f>
        <v>Industria</v>
      </c>
      <c r="E1513" t="str">
        <f>_xlfn.XLOOKUP(A1513, ORIGEM!A:A, ORIGEM!B:B)</f>
        <v>Prospecção Ativa</v>
      </c>
      <c r="F1513">
        <f>_xlfn.XLOOKUP(A1513, ORIGEM!A:A, ORIGEM!C:C)</f>
        <v>0</v>
      </c>
      <c r="G1513" t="str">
        <f>_xlfn.XLOOKUP(A1513, LOCAL!A:A, LOCAL!B:B)</f>
        <v>-</v>
      </c>
      <c r="H1513">
        <f>_xlfn.XLOOKUP(A1513, PORTE!A:A, PORTE!B:B)</f>
        <v>0</v>
      </c>
      <c r="I1513">
        <f>_xlfn.XLOOKUP(A1513, OBJETIVO!A:A, OBJETIVO!B:B)</f>
        <v>0</v>
      </c>
      <c r="J1513">
        <f t="shared" si="23"/>
        <v>0</v>
      </c>
    </row>
    <row r="1514" spans="1:10" x14ac:dyDescent="0.25">
      <c r="A1514">
        <v>11068200</v>
      </c>
      <c r="B1514" s="1">
        <v>45678.456504629627</v>
      </c>
      <c r="C1514" t="s">
        <v>0</v>
      </c>
      <c r="D1514" t="str">
        <f>VLOOKUP(A1514,MERCADO!A:B,2,0)</f>
        <v>Industria</v>
      </c>
      <c r="E1514" t="str">
        <f>_xlfn.XLOOKUP(A1514, ORIGEM!A:A, ORIGEM!B:B)</f>
        <v>Prospecção Ativa</v>
      </c>
      <c r="F1514">
        <f>_xlfn.XLOOKUP(A1514, ORIGEM!A:A, ORIGEM!C:C)</f>
        <v>0</v>
      </c>
      <c r="G1514" t="str">
        <f>_xlfn.XLOOKUP(A1514, LOCAL!A:A, LOCAL!B:B)</f>
        <v>-</v>
      </c>
      <c r="H1514">
        <f>_xlfn.XLOOKUP(A1514, PORTE!A:A, PORTE!B:B)</f>
        <v>0</v>
      </c>
      <c r="I1514">
        <f>_xlfn.XLOOKUP(A1514, OBJETIVO!A:A, OBJETIVO!B:B)</f>
        <v>0</v>
      </c>
      <c r="J1514">
        <f t="shared" si="23"/>
        <v>0</v>
      </c>
    </row>
    <row r="1515" spans="1:10" x14ac:dyDescent="0.25">
      <c r="A1515">
        <v>11068221</v>
      </c>
      <c r="B1515" s="1">
        <v>45678.457754629628</v>
      </c>
      <c r="C1515" t="s">
        <v>0</v>
      </c>
      <c r="D1515" t="str">
        <f>VLOOKUP(A1515,MERCADO!A:B,2,0)</f>
        <v>Industria</v>
      </c>
      <c r="E1515" t="str">
        <f>_xlfn.XLOOKUP(A1515, ORIGEM!A:A, ORIGEM!B:B)</f>
        <v>Prospecção Ativa</v>
      </c>
      <c r="F1515">
        <f>_xlfn.XLOOKUP(A1515, ORIGEM!A:A, ORIGEM!C:C)</f>
        <v>0</v>
      </c>
      <c r="G1515" t="str">
        <f>_xlfn.XLOOKUP(A1515, LOCAL!A:A, LOCAL!B:B)</f>
        <v>-</v>
      </c>
      <c r="H1515">
        <f>_xlfn.XLOOKUP(A1515, PORTE!A:A, PORTE!B:B)</f>
        <v>0</v>
      </c>
      <c r="I1515">
        <f>_xlfn.XLOOKUP(A1515, OBJETIVO!A:A, OBJETIVO!B:B)</f>
        <v>0</v>
      </c>
      <c r="J1515">
        <f t="shared" si="23"/>
        <v>0</v>
      </c>
    </row>
    <row r="1516" spans="1:10" x14ac:dyDescent="0.25">
      <c r="A1516">
        <v>11068372</v>
      </c>
      <c r="B1516" s="1">
        <v>45678.462800925925</v>
      </c>
      <c r="C1516" t="s">
        <v>0</v>
      </c>
      <c r="D1516" t="str">
        <f>VLOOKUP(A1516,MERCADO!A:B,2,0)</f>
        <v>Industria</v>
      </c>
      <c r="E1516" t="str">
        <f>_xlfn.XLOOKUP(A1516, ORIGEM!A:A, ORIGEM!B:B)</f>
        <v>Prospecção Ativa</v>
      </c>
      <c r="F1516">
        <f>_xlfn.XLOOKUP(A1516, ORIGEM!A:A, ORIGEM!C:C)</f>
        <v>0</v>
      </c>
      <c r="G1516" t="str">
        <f>_xlfn.XLOOKUP(A1516, LOCAL!A:A, LOCAL!B:B)</f>
        <v>-</v>
      </c>
      <c r="H1516">
        <f>_xlfn.XLOOKUP(A1516, PORTE!A:A, PORTE!B:B)</f>
        <v>0</v>
      </c>
      <c r="I1516">
        <f>_xlfn.XLOOKUP(A1516, OBJETIVO!A:A, OBJETIVO!B:B)</f>
        <v>0</v>
      </c>
      <c r="J1516">
        <f t="shared" si="23"/>
        <v>0</v>
      </c>
    </row>
    <row r="1517" spans="1:10" x14ac:dyDescent="0.25">
      <c r="A1517">
        <v>11070025</v>
      </c>
      <c r="B1517" s="1">
        <v>45678.559363425928</v>
      </c>
      <c r="C1517" t="s">
        <v>0</v>
      </c>
      <c r="D1517" t="str">
        <f>VLOOKUP(A1517,MERCADO!A:B,2,0)</f>
        <v>Industria</v>
      </c>
      <c r="E1517" t="str">
        <f>_xlfn.XLOOKUP(A1517, ORIGEM!A:A, ORIGEM!B:B)</f>
        <v>Prospecção Ativa</v>
      </c>
      <c r="F1517">
        <f>_xlfn.XLOOKUP(A1517, ORIGEM!A:A, ORIGEM!C:C)</f>
        <v>0</v>
      </c>
      <c r="G1517" t="str">
        <f>_xlfn.XLOOKUP(A1517, LOCAL!A:A, LOCAL!B:B)</f>
        <v>-</v>
      </c>
      <c r="H1517">
        <f>_xlfn.XLOOKUP(A1517, PORTE!A:A, PORTE!B:B)</f>
        <v>0</v>
      </c>
      <c r="I1517">
        <f>_xlfn.XLOOKUP(A1517, OBJETIVO!A:A, OBJETIVO!B:B)</f>
        <v>0</v>
      </c>
      <c r="J1517">
        <f t="shared" si="23"/>
        <v>0</v>
      </c>
    </row>
    <row r="1518" spans="1:10" x14ac:dyDescent="0.25">
      <c r="A1518">
        <v>11067233</v>
      </c>
      <c r="B1518" s="1">
        <v>45678.413541666669</v>
      </c>
      <c r="C1518" t="s">
        <v>0</v>
      </c>
      <c r="D1518" t="str">
        <f>VLOOKUP(A1518,MERCADO!A:B,2,0)</f>
        <v>Industria</v>
      </c>
      <c r="E1518" t="str">
        <f>_xlfn.XLOOKUP(A1518, ORIGEM!A:A, ORIGEM!B:B)</f>
        <v>Prospecção Ativa</v>
      </c>
      <c r="F1518">
        <f>_xlfn.XLOOKUP(A1518, ORIGEM!A:A, ORIGEM!C:C)</f>
        <v>0</v>
      </c>
      <c r="G1518" t="str">
        <f>_xlfn.XLOOKUP(A1518, LOCAL!A:A, LOCAL!B:B)</f>
        <v>-</v>
      </c>
      <c r="H1518">
        <f>_xlfn.XLOOKUP(A1518, PORTE!A:A, PORTE!B:B)</f>
        <v>0</v>
      </c>
      <c r="I1518">
        <f>_xlfn.XLOOKUP(A1518, OBJETIVO!A:A, OBJETIVO!B:B)</f>
        <v>0</v>
      </c>
      <c r="J1518">
        <f t="shared" si="23"/>
        <v>0</v>
      </c>
    </row>
    <row r="1519" spans="1:10" x14ac:dyDescent="0.25">
      <c r="A1519">
        <v>11067257</v>
      </c>
      <c r="B1519" s="1">
        <v>45678.41479166667</v>
      </c>
      <c r="C1519" t="s">
        <v>0</v>
      </c>
      <c r="D1519" t="str">
        <f>VLOOKUP(A1519,MERCADO!A:B,2,0)</f>
        <v>Industria</v>
      </c>
      <c r="E1519" t="str">
        <f>_xlfn.XLOOKUP(A1519, ORIGEM!A:A, ORIGEM!B:B)</f>
        <v>Prospecção Ativa</v>
      </c>
      <c r="F1519">
        <f>_xlfn.XLOOKUP(A1519, ORIGEM!A:A, ORIGEM!C:C)</f>
        <v>0</v>
      </c>
      <c r="G1519" t="str">
        <f>_xlfn.XLOOKUP(A1519, LOCAL!A:A, LOCAL!B:B)</f>
        <v>-</v>
      </c>
      <c r="H1519">
        <f>_xlfn.XLOOKUP(A1519, PORTE!A:A, PORTE!B:B)</f>
        <v>0</v>
      </c>
      <c r="I1519">
        <f>_xlfn.XLOOKUP(A1519, OBJETIVO!A:A, OBJETIVO!B:B)</f>
        <v>0</v>
      </c>
      <c r="J1519">
        <f t="shared" si="23"/>
        <v>0</v>
      </c>
    </row>
    <row r="1520" spans="1:10" x14ac:dyDescent="0.25">
      <c r="A1520">
        <v>11067273</v>
      </c>
      <c r="B1520" s="1">
        <v>45678.415555555555</v>
      </c>
      <c r="C1520" t="s">
        <v>0</v>
      </c>
      <c r="D1520" t="str">
        <f>VLOOKUP(A1520,MERCADO!A:B,2,0)</f>
        <v>Industria</v>
      </c>
      <c r="E1520" t="str">
        <f>_xlfn.XLOOKUP(A1520, ORIGEM!A:A, ORIGEM!B:B)</f>
        <v>Prospecção Ativa</v>
      </c>
      <c r="F1520">
        <f>_xlfn.XLOOKUP(A1520, ORIGEM!A:A, ORIGEM!C:C)</f>
        <v>0</v>
      </c>
      <c r="G1520" t="str">
        <f>_xlfn.XLOOKUP(A1520, LOCAL!A:A, LOCAL!B:B)</f>
        <v>-</v>
      </c>
      <c r="H1520">
        <f>_xlfn.XLOOKUP(A1520, PORTE!A:A, PORTE!B:B)</f>
        <v>0</v>
      </c>
      <c r="I1520">
        <f>_xlfn.XLOOKUP(A1520, OBJETIVO!A:A, OBJETIVO!B:B)</f>
        <v>0</v>
      </c>
      <c r="J1520">
        <f t="shared" si="23"/>
        <v>0</v>
      </c>
    </row>
    <row r="1521" spans="1:10" x14ac:dyDescent="0.25">
      <c r="A1521">
        <v>10613590</v>
      </c>
      <c r="B1521" s="1">
        <v>45630.437384259261</v>
      </c>
      <c r="C1521" t="s">
        <v>0</v>
      </c>
      <c r="D1521" t="str">
        <f>VLOOKUP(A1521,MERCADO!A:B,2,0)</f>
        <v>Industria</v>
      </c>
      <c r="E1521" t="str">
        <f>_xlfn.XLOOKUP(A1521, ORIGEM!A:A, ORIGEM!B:B)</f>
        <v>Orgânico</v>
      </c>
      <c r="F1521">
        <f>_xlfn.XLOOKUP(A1521, ORIGEM!A:A, ORIGEM!C:C)</f>
        <v>0</v>
      </c>
      <c r="G1521" t="str">
        <f>_xlfn.XLOOKUP(A1521, LOCAL!A:A, LOCAL!B:B)</f>
        <v>Pato Branco - PR</v>
      </c>
      <c r="H1521" t="str">
        <f>_xlfn.XLOOKUP(A1521, PORTE!A:A, PORTE!B:B)</f>
        <v>+ 1000</v>
      </c>
      <c r="I1521" t="str">
        <f>_xlfn.XLOOKUP(A1521, OBJETIVO!A:A, OBJETIVO!B:B)</f>
        <v>Outro</v>
      </c>
      <c r="J1521">
        <f t="shared" si="23"/>
        <v>0</v>
      </c>
    </row>
    <row r="1522" spans="1:10" x14ac:dyDescent="0.25">
      <c r="A1522">
        <v>11461136</v>
      </c>
      <c r="B1522" s="1">
        <v>45713.591793981483</v>
      </c>
      <c r="C1522" t="s">
        <v>0</v>
      </c>
      <c r="D1522" t="str">
        <f>VLOOKUP(A1522,MERCADO!A:B,2,0)</f>
        <v>Empreendedor</v>
      </c>
      <c r="E1522" t="str">
        <f>_xlfn.XLOOKUP(A1522, ORIGEM!A:A, ORIGEM!B:B)</f>
        <v>Google</v>
      </c>
      <c r="F1522" t="str">
        <f>_xlfn.XLOOKUP(A1522, ORIGEM!A:A, ORIGEM!C:C)</f>
        <v>google - cpc</v>
      </c>
      <c r="G1522" t="str">
        <f>_xlfn.XLOOKUP(A1522, LOCAL!A:A, LOCAL!B:B)</f>
        <v>Belo Horizonte - MG</v>
      </c>
      <c r="H1522" t="str">
        <f>_xlfn.XLOOKUP(A1522, PORTE!A:A, PORTE!B:B)</f>
        <v>0</v>
      </c>
      <c r="I1522" t="str">
        <f>_xlfn.XLOOKUP(A1522, OBJETIVO!A:A, OBJETIVO!B:B)</f>
        <v>Abertura/Expansão</v>
      </c>
      <c r="J1522">
        <f t="shared" si="23"/>
        <v>0</v>
      </c>
    </row>
    <row r="1523" spans="1:10" x14ac:dyDescent="0.25">
      <c r="A1523">
        <v>11479039</v>
      </c>
      <c r="B1523" s="1">
        <v>45714.745474537034</v>
      </c>
      <c r="C1523" t="s">
        <v>0</v>
      </c>
      <c r="D1523" t="str">
        <f>VLOOKUP(A1523,MERCADO!A:B,2,0)</f>
        <v>Empreendedor</v>
      </c>
      <c r="E1523" t="str">
        <f>_xlfn.XLOOKUP(A1523, ORIGEM!A:A, ORIGEM!B:B)</f>
        <v>Google</v>
      </c>
      <c r="F1523" t="str">
        <f>_xlfn.XLOOKUP(A1523, ORIGEM!A:A, ORIGEM!C:C)</f>
        <v>google - cpc</v>
      </c>
      <c r="G1523" t="str">
        <f>_xlfn.XLOOKUP(A1523, LOCAL!A:A, LOCAL!B:B)</f>
        <v>Itaguai - RJ</v>
      </c>
      <c r="H1523" t="str">
        <f>_xlfn.XLOOKUP(A1523, PORTE!A:A, PORTE!B:B)</f>
        <v>0</v>
      </c>
      <c r="I1523" t="str">
        <f>_xlfn.XLOOKUP(A1523, OBJETIVO!A:A, OBJETIVO!B:B)</f>
        <v>Consultoria</v>
      </c>
      <c r="J1523">
        <f t="shared" si="23"/>
        <v>0</v>
      </c>
    </row>
    <row r="1524" spans="1:10" x14ac:dyDescent="0.25">
      <c r="A1524">
        <v>11454152</v>
      </c>
      <c r="B1524" s="1">
        <v>45713.018113425926</v>
      </c>
      <c r="C1524" t="s">
        <v>0</v>
      </c>
      <c r="D1524" t="str">
        <f>VLOOKUP(A1524,MERCADO!A:B,2,0)</f>
        <v>Empreendedor</v>
      </c>
      <c r="E1524" t="str">
        <f>_xlfn.XLOOKUP(A1524, ORIGEM!A:A, ORIGEM!B:B)</f>
        <v>Google</v>
      </c>
      <c r="F1524" t="str">
        <f>_xlfn.XLOOKUP(A1524, ORIGEM!A:A, ORIGEM!C:C)</f>
        <v>google - cpc</v>
      </c>
      <c r="G1524" t="str">
        <f>_xlfn.XLOOKUP(A1524, LOCAL!A:A, LOCAL!B:B)</f>
        <v>Rio de Janeiro - RJ</v>
      </c>
      <c r="H1524" t="str">
        <f>_xlfn.XLOOKUP(A1524, PORTE!A:A, PORTE!B:B)</f>
        <v>0</v>
      </c>
      <c r="I1524" t="str">
        <f>_xlfn.XLOOKUP(A1524, OBJETIVO!A:A, OBJETIVO!B:B)</f>
        <v>Abertura/Expansão</v>
      </c>
      <c r="J1524">
        <f t="shared" si="23"/>
        <v>0</v>
      </c>
    </row>
    <row r="1525" spans="1:10" x14ac:dyDescent="0.25">
      <c r="A1525">
        <v>11425020</v>
      </c>
      <c r="B1525" s="1">
        <v>45710.754363425927</v>
      </c>
      <c r="C1525" t="s">
        <v>0</v>
      </c>
      <c r="D1525" t="str">
        <f>VLOOKUP(A1525,MERCADO!A:B,2,0)</f>
        <v>Empreendedor</v>
      </c>
      <c r="E1525" t="str">
        <f>_xlfn.XLOOKUP(A1525, ORIGEM!A:A, ORIGEM!B:B)</f>
        <v>Google</v>
      </c>
      <c r="F1525" t="str">
        <f>_xlfn.XLOOKUP(A1525, ORIGEM!A:A, ORIGEM!C:C)</f>
        <v>google - cpc</v>
      </c>
      <c r="G1525" t="str">
        <f>_xlfn.XLOOKUP(A1525, LOCAL!A:A, LOCAL!B:B)</f>
        <v>Manaus - AM</v>
      </c>
      <c r="H1525" t="str">
        <f>_xlfn.XLOOKUP(A1525, PORTE!A:A, PORTE!B:B)</f>
        <v>0</v>
      </c>
      <c r="I1525" t="str">
        <f>_xlfn.XLOOKUP(A1525, OBJETIVO!A:A, OBJETIVO!B:B)</f>
        <v>Ações de marketing/vendas</v>
      </c>
      <c r="J1525">
        <f t="shared" si="23"/>
        <v>0</v>
      </c>
    </row>
    <row r="1526" spans="1:10" x14ac:dyDescent="0.25">
      <c r="A1526">
        <v>11425395</v>
      </c>
      <c r="B1526" s="1">
        <v>45710.819513888891</v>
      </c>
      <c r="C1526" t="s">
        <v>0</v>
      </c>
      <c r="D1526" t="str">
        <f>VLOOKUP(A1526,MERCADO!A:B,2,0)</f>
        <v>Empreendedor</v>
      </c>
      <c r="E1526" t="str">
        <f>_xlfn.XLOOKUP(A1526, ORIGEM!A:A, ORIGEM!B:B)</f>
        <v>Google</v>
      </c>
      <c r="F1526" t="str">
        <f>_xlfn.XLOOKUP(A1526, ORIGEM!A:A, ORIGEM!C:C)</f>
        <v>google - cpc</v>
      </c>
      <c r="G1526" t="str">
        <f>_xlfn.XLOOKUP(A1526, LOCAL!A:A, LOCAL!B:B)</f>
        <v>São Paulo - SP</v>
      </c>
      <c r="H1526" t="str">
        <f>_xlfn.XLOOKUP(A1526, PORTE!A:A, PORTE!B:B)</f>
        <v>1-10</v>
      </c>
      <c r="I1526" t="str">
        <f>_xlfn.XLOOKUP(A1526, OBJETIVO!A:A, OBJETIVO!B:B)</f>
        <v>Abertura/Expansão</v>
      </c>
      <c r="J1526">
        <f t="shared" si="23"/>
        <v>0</v>
      </c>
    </row>
    <row r="1527" spans="1:10" x14ac:dyDescent="0.25">
      <c r="A1527">
        <v>11390282</v>
      </c>
      <c r="B1527" s="1">
        <v>45706.615532407406</v>
      </c>
      <c r="C1527" t="s">
        <v>0</v>
      </c>
      <c r="D1527" t="str">
        <f>VLOOKUP(A1527,MERCADO!A:B,2,0)</f>
        <v>Empreendedor</v>
      </c>
      <c r="E1527" t="str">
        <f>_xlfn.XLOOKUP(A1527, ORIGEM!A:A, ORIGEM!B:B)</f>
        <v>Google</v>
      </c>
      <c r="F1527" t="str">
        <f>_xlfn.XLOOKUP(A1527, ORIGEM!A:A, ORIGEM!C:C)</f>
        <v>google - cpc</v>
      </c>
      <c r="G1527" t="str">
        <f>_xlfn.XLOOKUP(A1527, LOCAL!A:A, LOCAL!B:B)</f>
        <v>São José dos Campos - SP</v>
      </c>
      <c r="H1527" t="str">
        <f>_xlfn.XLOOKUP(A1527, PORTE!A:A, PORTE!B:B)</f>
        <v>1-10</v>
      </c>
      <c r="I1527" t="str">
        <f>_xlfn.XLOOKUP(A1527, OBJETIVO!A:A, OBJETIVO!B:B)</f>
        <v>Abertura/Expansão</v>
      </c>
      <c r="J1527">
        <f t="shared" si="23"/>
        <v>0</v>
      </c>
    </row>
    <row r="1528" spans="1:10" x14ac:dyDescent="0.25">
      <c r="A1528">
        <v>11406911</v>
      </c>
      <c r="B1528" s="1">
        <v>45708.44809027778</v>
      </c>
      <c r="C1528" t="s">
        <v>0</v>
      </c>
      <c r="D1528" t="str">
        <f>VLOOKUP(A1528,MERCADO!A:B,2,0)</f>
        <v>Empreendedor</v>
      </c>
      <c r="E1528" t="str">
        <f>_xlfn.XLOOKUP(A1528, ORIGEM!A:A, ORIGEM!B:B)</f>
        <v>Google</v>
      </c>
      <c r="F1528" t="str">
        <f>_xlfn.XLOOKUP(A1528, ORIGEM!A:A, ORIGEM!C:C)</f>
        <v>google - cpc</v>
      </c>
      <c r="G1528" t="str">
        <f>_xlfn.XLOOKUP(A1528, LOCAL!A:A, LOCAL!B:B)</f>
        <v>Brasília - DF</v>
      </c>
      <c r="H1528" t="str">
        <f>_xlfn.XLOOKUP(A1528, PORTE!A:A, PORTE!B:B)</f>
        <v>1-10</v>
      </c>
      <c r="I1528" t="str">
        <f>_xlfn.XLOOKUP(A1528, OBJETIVO!A:A, OBJETIVO!B:B)</f>
        <v>Abertura/Expansão</v>
      </c>
      <c r="J1528">
        <f t="shared" si="23"/>
        <v>0</v>
      </c>
    </row>
    <row r="1529" spans="1:10" x14ac:dyDescent="0.25">
      <c r="A1529">
        <v>11402207</v>
      </c>
      <c r="B1529" s="1">
        <v>45707.603159722225</v>
      </c>
      <c r="C1529" t="s">
        <v>0</v>
      </c>
      <c r="D1529" t="str">
        <f>VLOOKUP(A1529,MERCADO!A:B,2,0)</f>
        <v>Empreendedor</v>
      </c>
      <c r="E1529" t="str">
        <f>_xlfn.XLOOKUP(A1529, ORIGEM!A:A, ORIGEM!B:B)</f>
        <v>Google</v>
      </c>
      <c r="F1529" t="str">
        <f>_xlfn.XLOOKUP(A1529, ORIGEM!A:A, ORIGEM!C:C)</f>
        <v>google - cpc</v>
      </c>
      <c r="G1529" t="str">
        <f>_xlfn.XLOOKUP(A1529, LOCAL!A:A, LOCAL!B:B)</f>
        <v>Niterói - RJ</v>
      </c>
      <c r="H1529" t="str">
        <f>_xlfn.XLOOKUP(A1529, PORTE!A:A, PORTE!B:B)</f>
        <v>0</v>
      </c>
      <c r="I1529" t="str">
        <f>_xlfn.XLOOKUP(A1529, OBJETIVO!A:A, OBJETIVO!B:B)</f>
        <v>Consultoria</v>
      </c>
      <c r="J1529">
        <f t="shared" si="23"/>
        <v>0</v>
      </c>
    </row>
    <row r="1530" spans="1:10" x14ac:dyDescent="0.25">
      <c r="A1530">
        <v>11409145</v>
      </c>
      <c r="B1530" s="1">
        <v>45709.494050925925</v>
      </c>
      <c r="C1530" t="s">
        <v>0</v>
      </c>
      <c r="D1530" t="str">
        <f>VLOOKUP(A1530,MERCADO!A:B,2,0)</f>
        <v>Empreendedor</v>
      </c>
      <c r="E1530" t="str">
        <f>_xlfn.XLOOKUP(A1530, ORIGEM!A:A, ORIGEM!B:B)</f>
        <v>Google</v>
      </c>
      <c r="F1530" t="str">
        <f>_xlfn.XLOOKUP(A1530, ORIGEM!A:A, ORIGEM!C:C)</f>
        <v>google - cpc</v>
      </c>
      <c r="G1530" t="str">
        <f>_xlfn.XLOOKUP(A1530, LOCAL!A:A, LOCAL!B:B)</f>
        <v>Mineiros - GO</v>
      </c>
      <c r="H1530" t="str">
        <f>_xlfn.XLOOKUP(A1530, PORTE!A:A, PORTE!B:B)</f>
        <v>0</v>
      </c>
      <c r="I1530" t="str">
        <f>_xlfn.XLOOKUP(A1530, OBJETIVO!A:A, OBJETIVO!B:B)</f>
        <v>Abertura/Expansão</v>
      </c>
      <c r="J1530">
        <f t="shared" si="23"/>
        <v>0</v>
      </c>
    </row>
    <row r="1531" spans="1:10" x14ac:dyDescent="0.25">
      <c r="A1531">
        <v>11409637</v>
      </c>
      <c r="B1531" s="1">
        <v>45709.677430555559</v>
      </c>
      <c r="C1531" t="s">
        <v>0</v>
      </c>
      <c r="D1531" t="str">
        <f>VLOOKUP(A1531,MERCADO!A:B,2,0)</f>
        <v>Empreendedor</v>
      </c>
      <c r="E1531" t="str">
        <f>_xlfn.XLOOKUP(A1531, ORIGEM!A:A, ORIGEM!B:B)</f>
        <v>Google</v>
      </c>
      <c r="F1531" t="str">
        <f>_xlfn.XLOOKUP(A1531, ORIGEM!A:A, ORIGEM!C:C)</f>
        <v>google - cpc</v>
      </c>
      <c r="G1531" t="str">
        <f>_xlfn.XLOOKUP(A1531, LOCAL!A:A, LOCAL!B:B)</f>
        <v>Para de Minas - MG</v>
      </c>
      <c r="H1531" t="str">
        <f>_xlfn.XLOOKUP(A1531, PORTE!A:A, PORTE!B:B)</f>
        <v>0</v>
      </c>
      <c r="I1531" t="str">
        <f>_xlfn.XLOOKUP(A1531, OBJETIVO!A:A, OBJETIVO!B:B)</f>
        <v>Abertura/Expansão</v>
      </c>
      <c r="J1531">
        <f t="shared" si="23"/>
        <v>0</v>
      </c>
    </row>
    <row r="1532" spans="1:10" x14ac:dyDescent="0.25">
      <c r="A1532">
        <v>11391608</v>
      </c>
      <c r="B1532" s="1">
        <v>45706.657962962963</v>
      </c>
      <c r="C1532" t="s">
        <v>0</v>
      </c>
      <c r="D1532" t="str">
        <f>VLOOKUP(A1532,MERCADO!A:B,2,0)</f>
        <v>Empreendedor</v>
      </c>
      <c r="E1532" t="str">
        <f>_xlfn.XLOOKUP(A1532, ORIGEM!A:A, ORIGEM!B:B)</f>
        <v>Google</v>
      </c>
      <c r="F1532" t="str">
        <f>_xlfn.XLOOKUP(A1532, ORIGEM!A:A, ORIGEM!C:C)</f>
        <v>google - cpc</v>
      </c>
      <c r="G1532" t="str">
        <f>_xlfn.XLOOKUP(A1532, LOCAL!A:A, LOCAL!B:B)</f>
        <v>Recife - PE</v>
      </c>
      <c r="H1532" t="str">
        <f>_xlfn.XLOOKUP(A1532, PORTE!A:A, PORTE!B:B)</f>
        <v>0</v>
      </c>
      <c r="I1532" t="str">
        <f>_xlfn.XLOOKUP(A1532, OBJETIVO!A:A, OBJETIVO!B:B)</f>
        <v>Abertura/Expansão</v>
      </c>
      <c r="J1532">
        <f t="shared" si="23"/>
        <v>0</v>
      </c>
    </row>
    <row r="1533" spans="1:10" x14ac:dyDescent="0.25">
      <c r="A1533">
        <v>11380143</v>
      </c>
      <c r="B1533" s="1">
        <v>45705.691817129627</v>
      </c>
      <c r="C1533" t="s">
        <v>0</v>
      </c>
      <c r="D1533" t="str">
        <f>VLOOKUP(A1533,MERCADO!A:B,2,0)</f>
        <v>Industria</v>
      </c>
      <c r="E1533" t="str">
        <f>_xlfn.XLOOKUP(A1533, ORIGEM!A:A, ORIGEM!B:B)</f>
        <v>Orgânico</v>
      </c>
      <c r="F1533">
        <f>_xlfn.XLOOKUP(A1533, ORIGEM!A:A, ORIGEM!C:C)</f>
        <v>0</v>
      </c>
      <c r="G1533" t="str">
        <f>_xlfn.XLOOKUP(A1533, LOCAL!A:A, LOCAL!B:B)</f>
        <v>Teresina - PI</v>
      </c>
      <c r="H1533" t="str">
        <f>_xlfn.XLOOKUP(A1533, PORTE!A:A, PORTE!B:B)</f>
        <v>1-10</v>
      </c>
      <c r="I1533" t="str">
        <f>_xlfn.XLOOKUP(A1533, OBJETIVO!A:A, OBJETIVO!B:B)</f>
        <v>Planejamento estratégico</v>
      </c>
      <c r="J1533">
        <f t="shared" si="23"/>
        <v>0</v>
      </c>
    </row>
    <row r="1534" spans="1:10" x14ac:dyDescent="0.25">
      <c r="A1534">
        <v>11379368</v>
      </c>
      <c r="B1534" s="1">
        <v>45705.664131944446</v>
      </c>
      <c r="C1534" t="s">
        <v>0</v>
      </c>
      <c r="D1534" t="str">
        <f>VLOOKUP(A1534,MERCADO!A:B,2,0)</f>
        <v>Empreendedor</v>
      </c>
      <c r="E1534" t="str">
        <f>_xlfn.XLOOKUP(A1534, ORIGEM!A:A, ORIGEM!B:B)</f>
        <v>Google</v>
      </c>
      <c r="F1534" t="str">
        <f>_xlfn.XLOOKUP(A1534, ORIGEM!A:A, ORIGEM!C:C)</f>
        <v>google - cpc</v>
      </c>
      <c r="G1534" t="str">
        <f>_xlfn.XLOOKUP(A1534, LOCAL!A:A, LOCAL!B:B)</f>
        <v>Niterói - RJ</v>
      </c>
      <c r="H1534" t="str">
        <f>_xlfn.XLOOKUP(A1534, PORTE!A:A, PORTE!B:B)</f>
        <v>1-10</v>
      </c>
      <c r="I1534" t="str">
        <f>_xlfn.XLOOKUP(A1534, OBJETIVO!A:A, OBJETIVO!B:B)</f>
        <v>Abertura/Expansão</v>
      </c>
      <c r="J1534">
        <f t="shared" si="23"/>
        <v>0</v>
      </c>
    </row>
    <row r="1535" spans="1:10" x14ac:dyDescent="0.25">
      <c r="A1535">
        <v>11361973</v>
      </c>
      <c r="B1535" s="1">
        <v>45704.445034722223</v>
      </c>
      <c r="C1535" t="s">
        <v>0</v>
      </c>
      <c r="D1535" t="str">
        <f>VLOOKUP(A1535,MERCADO!A:B,2,0)</f>
        <v>Empreendedor</v>
      </c>
      <c r="E1535" t="str">
        <f>_xlfn.XLOOKUP(A1535, ORIGEM!A:A, ORIGEM!B:B)</f>
        <v>Google</v>
      </c>
      <c r="F1535" t="str">
        <f>_xlfn.XLOOKUP(A1535, ORIGEM!A:A, ORIGEM!C:C)</f>
        <v>google - cpc</v>
      </c>
      <c r="G1535" t="str">
        <f>_xlfn.XLOOKUP(A1535, LOCAL!A:A, LOCAL!B:B)</f>
        <v>Mogi das Cruzes - SP</v>
      </c>
      <c r="H1535" t="str">
        <f>_xlfn.XLOOKUP(A1535, PORTE!A:A, PORTE!B:B)</f>
        <v>1-10</v>
      </c>
      <c r="I1535" t="str">
        <f>_xlfn.XLOOKUP(A1535, OBJETIVO!A:A, OBJETIVO!B:B)</f>
        <v>Ações de marketing/vendas</v>
      </c>
      <c r="J1535">
        <f t="shared" si="23"/>
        <v>0</v>
      </c>
    </row>
    <row r="1536" spans="1:10" x14ac:dyDescent="0.25">
      <c r="A1536">
        <v>11357653</v>
      </c>
      <c r="B1536" s="1">
        <v>45703.747696759259</v>
      </c>
      <c r="C1536" t="s">
        <v>0</v>
      </c>
      <c r="D1536" t="str">
        <f>VLOOKUP(A1536,MERCADO!A:B,2,0)</f>
        <v>Empreendedor</v>
      </c>
      <c r="E1536" t="str">
        <f>_xlfn.XLOOKUP(A1536, ORIGEM!A:A, ORIGEM!B:B)</f>
        <v>Google</v>
      </c>
      <c r="F1536" t="str">
        <f>_xlfn.XLOOKUP(A1536, ORIGEM!A:A, ORIGEM!C:C)</f>
        <v>google - cpc</v>
      </c>
      <c r="G1536" t="str">
        <f>_xlfn.XLOOKUP(A1536, LOCAL!A:A, LOCAL!B:B)</f>
        <v>Jaboatao dos Guararapes - PE</v>
      </c>
      <c r="H1536" t="str">
        <f>_xlfn.XLOOKUP(A1536, PORTE!A:A, PORTE!B:B)</f>
        <v>1-10</v>
      </c>
      <c r="I1536" t="str">
        <f>_xlfn.XLOOKUP(A1536, OBJETIVO!A:A, OBJETIVO!B:B)</f>
        <v>Outro</v>
      </c>
      <c r="J1536">
        <f t="shared" si="23"/>
        <v>0</v>
      </c>
    </row>
    <row r="1537" spans="1:10" x14ac:dyDescent="0.25">
      <c r="A1537">
        <v>11363311</v>
      </c>
      <c r="B1537" s="1">
        <v>45704.523043981484</v>
      </c>
      <c r="C1537" t="s">
        <v>0</v>
      </c>
      <c r="D1537" t="str">
        <f>VLOOKUP(A1537,MERCADO!A:B,2,0)</f>
        <v>Empreendedor</v>
      </c>
      <c r="E1537" t="str">
        <f>_xlfn.XLOOKUP(A1537, ORIGEM!A:A, ORIGEM!B:B)</f>
        <v>Google</v>
      </c>
      <c r="F1537" t="str">
        <f>_xlfn.XLOOKUP(A1537, ORIGEM!A:A, ORIGEM!C:C)</f>
        <v>google - cpc</v>
      </c>
      <c r="G1537" t="str">
        <f>_xlfn.XLOOKUP(A1537, LOCAL!A:A, LOCAL!B:B)</f>
        <v>Rio Claro - SP</v>
      </c>
      <c r="H1537" t="str">
        <f>_xlfn.XLOOKUP(A1537, PORTE!A:A, PORTE!B:B)</f>
        <v>0</v>
      </c>
      <c r="I1537" t="str">
        <f>_xlfn.XLOOKUP(A1537, OBJETIVO!A:A, OBJETIVO!B:B)</f>
        <v>Abertura/Expansão</v>
      </c>
      <c r="J1537">
        <f t="shared" si="23"/>
        <v>0</v>
      </c>
    </row>
    <row r="1538" spans="1:10" x14ac:dyDescent="0.25">
      <c r="A1538">
        <v>11348490</v>
      </c>
      <c r="B1538" s="1">
        <v>45703.106956018521</v>
      </c>
      <c r="C1538" t="s">
        <v>0</v>
      </c>
      <c r="D1538" t="str">
        <f>VLOOKUP(A1538,MERCADO!A:B,2,0)</f>
        <v>Empreendedor</v>
      </c>
      <c r="E1538" t="str">
        <f>_xlfn.XLOOKUP(A1538, ORIGEM!A:A, ORIGEM!B:B)</f>
        <v>Google</v>
      </c>
      <c r="F1538" t="str">
        <f>_xlfn.XLOOKUP(A1538, ORIGEM!A:A, ORIGEM!C:C)</f>
        <v>google - cpc</v>
      </c>
      <c r="G1538" t="str">
        <f>_xlfn.XLOOKUP(A1538, LOCAL!A:A, LOCAL!B:B)</f>
        <v>Palmas - TO</v>
      </c>
      <c r="H1538" t="str">
        <f>_xlfn.XLOOKUP(A1538, PORTE!A:A, PORTE!B:B)</f>
        <v>0</v>
      </c>
      <c r="I1538" t="str">
        <f>_xlfn.XLOOKUP(A1538, OBJETIVO!A:A, OBJETIVO!B:B)</f>
        <v>Abertura/Expansão</v>
      </c>
      <c r="J1538">
        <f t="shared" si="23"/>
        <v>0</v>
      </c>
    </row>
    <row r="1539" spans="1:10" x14ac:dyDescent="0.25">
      <c r="A1539">
        <v>11349932</v>
      </c>
      <c r="B1539" s="1">
        <v>45703.407048611109</v>
      </c>
      <c r="C1539" t="s">
        <v>0</v>
      </c>
      <c r="D1539" t="str">
        <f>VLOOKUP(A1539,MERCADO!A:B,2,0)</f>
        <v>Empreendedor</v>
      </c>
      <c r="E1539" t="str">
        <f>_xlfn.XLOOKUP(A1539, ORIGEM!A:A, ORIGEM!B:B)</f>
        <v>Google</v>
      </c>
      <c r="F1539" t="str">
        <f>_xlfn.XLOOKUP(A1539, ORIGEM!A:A, ORIGEM!C:C)</f>
        <v>google - cpc</v>
      </c>
      <c r="G1539" t="str">
        <f>_xlfn.XLOOKUP(A1539, LOCAL!A:A, LOCAL!B:B)</f>
        <v>São Paulo - SP</v>
      </c>
      <c r="H1539" t="str">
        <f>_xlfn.XLOOKUP(A1539, PORTE!A:A, PORTE!B:B)</f>
        <v>0</v>
      </c>
      <c r="I1539" t="str">
        <f>_xlfn.XLOOKUP(A1539, OBJETIVO!A:A, OBJETIVO!B:B)</f>
        <v>Abertura/Expansão</v>
      </c>
      <c r="J1539">
        <f t="shared" ref="J1539:J1602" si="24">IF(C1539="SIM",1,0)</f>
        <v>0</v>
      </c>
    </row>
    <row r="1540" spans="1:10" x14ac:dyDescent="0.25">
      <c r="A1540">
        <v>11350424</v>
      </c>
      <c r="B1540" s="1">
        <v>45703.422546296293</v>
      </c>
      <c r="C1540" t="s">
        <v>0</v>
      </c>
      <c r="D1540" t="str">
        <f>VLOOKUP(A1540,MERCADO!A:B,2,0)</f>
        <v>Empreendedor</v>
      </c>
      <c r="E1540" t="str">
        <f>_xlfn.XLOOKUP(A1540, ORIGEM!A:A, ORIGEM!B:B)</f>
        <v>Google</v>
      </c>
      <c r="F1540" t="str">
        <f>_xlfn.XLOOKUP(A1540, ORIGEM!A:A, ORIGEM!C:C)</f>
        <v>google - cpc</v>
      </c>
      <c r="G1540" t="str">
        <f>_xlfn.XLOOKUP(A1540, LOCAL!A:A, LOCAL!B:B)</f>
        <v>Ourinhos - SP</v>
      </c>
      <c r="H1540" t="str">
        <f>_xlfn.XLOOKUP(A1540, PORTE!A:A, PORTE!B:B)</f>
        <v>1-10</v>
      </c>
      <c r="I1540" t="str">
        <f>_xlfn.XLOOKUP(A1540, OBJETIVO!A:A, OBJETIVO!B:B)</f>
        <v>Abertura/Expansão</v>
      </c>
      <c r="J1540">
        <f t="shared" si="24"/>
        <v>0</v>
      </c>
    </row>
    <row r="1541" spans="1:10" x14ac:dyDescent="0.25">
      <c r="A1541">
        <v>11351897</v>
      </c>
      <c r="B1541" s="1">
        <v>45703.474780092591</v>
      </c>
      <c r="C1541" t="s">
        <v>0</v>
      </c>
      <c r="D1541" t="str">
        <f>VLOOKUP(A1541,MERCADO!A:B,2,0)</f>
        <v>Empreendedor</v>
      </c>
      <c r="E1541" t="str">
        <f>_xlfn.XLOOKUP(A1541, ORIGEM!A:A, ORIGEM!B:B)</f>
        <v>Google</v>
      </c>
      <c r="F1541" t="str">
        <f>_xlfn.XLOOKUP(A1541, ORIGEM!A:A, ORIGEM!C:C)</f>
        <v>google - cpc</v>
      </c>
      <c r="G1541" t="str">
        <f>_xlfn.XLOOKUP(A1541, LOCAL!A:A, LOCAL!B:B)</f>
        <v>Paulista - PE</v>
      </c>
      <c r="H1541" t="str">
        <f>_xlfn.XLOOKUP(A1541, PORTE!A:A, PORTE!B:B)</f>
        <v>0</v>
      </c>
      <c r="I1541" t="str">
        <f>_xlfn.XLOOKUP(A1541, OBJETIVO!A:A, OBJETIVO!B:B)</f>
        <v>Abertura/Expansão</v>
      </c>
      <c r="J1541">
        <f t="shared" si="24"/>
        <v>0</v>
      </c>
    </row>
    <row r="1542" spans="1:10" x14ac:dyDescent="0.25">
      <c r="A1542">
        <v>11348628</v>
      </c>
      <c r="B1542" s="1">
        <v>45703.237986111111</v>
      </c>
      <c r="C1542" t="s">
        <v>0</v>
      </c>
      <c r="D1542" t="str">
        <f>VLOOKUP(A1542,MERCADO!A:B,2,0)</f>
        <v>Empreendedor</v>
      </c>
      <c r="E1542" t="str">
        <f>_xlfn.XLOOKUP(A1542, ORIGEM!A:A, ORIGEM!B:B)</f>
        <v>Instagram</v>
      </c>
      <c r="F1542" t="str">
        <f>_xlfn.XLOOKUP(A1542, ORIGEM!A:A, ORIGEM!C:C)</f>
        <v>instagram - social</v>
      </c>
      <c r="G1542" t="str">
        <f>_xlfn.XLOOKUP(A1542, LOCAL!A:A, LOCAL!B:B)</f>
        <v>Fortaleza - CE</v>
      </c>
      <c r="H1542" t="str">
        <f>_xlfn.XLOOKUP(A1542, PORTE!A:A, PORTE!B:B)</f>
        <v>1-10</v>
      </c>
      <c r="I1542" t="str">
        <f>_xlfn.XLOOKUP(A1542, OBJETIVO!A:A, OBJETIVO!B:B)</f>
        <v>Ações de marketing/vendas</v>
      </c>
      <c r="J1542">
        <f t="shared" si="24"/>
        <v>0</v>
      </c>
    </row>
    <row r="1543" spans="1:10" x14ac:dyDescent="0.25">
      <c r="A1543">
        <v>11348719</v>
      </c>
      <c r="B1543" s="1">
        <v>45703.312002314815</v>
      </c>
      <c r="C1543" t="s">
        <v>0</v>
      </c>
      <c r="D1543" t="str">
        <f>VLOOKUP(A1543,MERCADO!A:B,2,0)</f>
        <v>Empreendedor</v>
      </c>
      <c r="E1543" t="str">
        <f>_xlfn.XLOOKUP(A1543, ORIGEM!A:A, ORIGEM!B:B)</f>
        <v>Instagram</v>
      </c>
      <c r="F1543" t="str">
        <f>_xlfn.XLOOKUP(A1543, ORIGEM!A:A, ORIGEM!C:C)</f>
        <v>instagram - social</v>
      </c>
      <c r="G1543" t="str">
        <f>_xlfn.XLOOKUP(A1543, LOCAL!A:A, LOCAL!B:B)</f>
        <v>Maracanau - CE</v>
      </c>
      <c r="H1543" t="str">
        <f>_xlfn.XLOOKUP(A1543, PORTE!A:A, PORTE!B:B)</f>
        <v>1-10</v>
      </c>
      <c r="I1543" t="str">
        <f>_xlfn.XLOOKUP(A1543, OBJETIVO!A:A, OBJETIVO!B:B)</f>
        <v>Ações de marketing/vendas</v>
      </c>
      <c r="J1543">
        <f t="shared" si="24"/>
        <v>0</v>
      </c>
    </row>
    <row r="1544" spans="1:10" x14ac:dyDescent="0.25">
      <c r="A1544">
        <v>11349608</v>
      </c>
      <c r="B1544" s="1">
        <v>45703.39166666667</v>
      </c>
      <c r="C1544" t="s">
        <v>0</v>
      </c>
      <c r="D1544" t="str">
        <f>VLOOKUP(A1544,MERCADO!A:B,2,0)</f>
        <v>Empreendedor</v>
      </c>
      <c r="E1544" t="str">
        <f>_xlfn.XLOOKUP(A1544, ORIGEM!A:A, ORIGEM!B:B)</f>
        <v>Instagram</v>
      </c>
      <c r="F1544" t="str">
        <f>_xlfn.XLOOKUP(A1544, ORIGEM!A:A, ORIGEM!C:C)</f>
        <v>instagram - social</v>
      </c>
      <c r="G1544" t="str">
        <f>_xlfn.XLOOKUP(A1544, LOCAL!A:A, LOCAL!B:B)</f>
        <v>Uberlândia - MG</v>
      </c>
      <c r="H1544" t="str">
        <f>_xlfn.XLOOKUP(A1544, PORTE!A:A, PORTE!B:B)</f>
        <v>0</v>
      </c>
      <c r="I1544" t="str">
        <f>_xlfn.XLOOKUP(A1544, OBJETIVO!A:A, OBJETIVO!B:B)</f>
        <v>Abertura/Expansão</v>
      </c>
      <c r="J1544">
        <f t="shared" si="24"/>
        <v>0</v>
      </c>
    </row>
    <row r="1545" spans="1:10" x14ac:dyDescent="0.25">
      <c r="A1545">
        <v>11441042</v>
      </c>
      <c r="B1545" s="1">
        <v>45711.883738425924</v>
      </c>
      <c r="C1545" t="s">
        <v>0</v>
      </c>
      <c r="D1545" t="str">
        <f>VLOOKUP(A1545,MERCADO!A:B,2,0)</f>
        <v>Empreendedor</v>
      </c>
      <c r="E1545" t="str">
        <f>_xlfn.XLOOKUP(A1545, ORIGEM!A:A, ORIGEM!B:B)</f>
        <v>Instagram</v>
      </c>
      <c r="F1545" t="str">
        <f>_xlfn.XLOOKUP(A1545, ORIGEM!A:A, ORIGEM!C:C)</f>
        <v>instagram - social</v>
      </c>
      <c r="G1545" t="str">
        <f>_xlfn.XLOOKUP(A1545, LOCAL!A:A, LOCAL!B:B)</f>
        <v>Fortaleza - CE</v>
      </c>
      <c r="H1545" t="str">
        <f>_xlfn.XLOOKUP(A1545, PORTE!A:A, PORTE!B:B)</f>
        <v>0</v>
      </c>
      <c r="I1545" t="str">
        <f>_xlfn.XLOOKUP(A1545, OBJETIVO!A:A, OBJETIVO!B:B)</f>
        <v>Outro</v>
      </c>
      <c r="J1545">
        <f t="shared" si="24"/>
        <v>0</v>
      </c>
    </row>
    <row r="1546" spans="1:10" x14ac:dyDescent="0.25">
      <c r="A1546">
        <v>11482585</v>
      </c>
      <c r="B1546" s="1">
        <v>45715.852002314816</v>
      </c>
      <c r="C1546" t="s">
        <v>0</v>
      </c>
      <c r="D1546" t="str">
        <f>VLOOKUP(A1546,MERCADO!A:B,2,0)</f>
        <v>Empreendedor</v>
      </c>
      <c r="E1546" t="str">
        <f>_xlfn.XLOOKUP(A1546, ORIGEM!A:A, ORIGEM!B:B)</f>
        <v>Instagram</v>
      </c>
      <c r="F1546" t="str">
        <f>_xlfn.XLOOKUP(A1546, ORIGEM!A:A, ORIGEM!C:C)</f>
        <v>instagram - social</v>
      </c>
      <c r="G1546" t="str">
        <f>_xlfn.XLOOKUP(A1546, LOCAL!A:A, LOCAL!B:B)</f>
        <v>Rio de Janeiro - RJ</v>
      </c>
      <c r="H1546" t="str">
        <f>_xlfn.XLOOKUP(A1546, PORTE!A:A, PORTE!B:B)</f>
        <v>0</v>
      </c>
      <c r="I1546" t="str">
        <f>_xlfn.XLOOKUP(A1546, OBJETIVO!A:A, OBJETIVO!B:B)</f>
        <v>Abertura/Expansão</v>
      </c>
      <c r="J1546">
        <f t="shared" si="24"/>
        <v>0</v>
      </c>
    </row>
    <row r="1547" spans="1:10" x14ac:dyDescent="0.25">
      <c r="A1547">
        <v>11408638</v>
      </c>
      <c r="B1547" s="1">
        <v>45709.214490740742</v>
      </c>
      <c r="C1547" t="s">
        <v>0</v>
      </c>
      <c r="D1547" t="str">
        <f>VLOOKUP(A1547,MERCADO!A:B,2,0)</f>
        <v>Empreendedor</v>
      </c>
      <c r="E1547" t="str">
        <f>_xlfn.XLOOKUP(A1547, ORIGEM!A:A, ORIGEM!B:B)</f>
        <v>Instagram</v>
      </c>
      <c r="F1547" t="str">
        <f>_xlfn.XLOOKUP(A1547, ORIGEM!A:A, ORIGEM!C:C)</f>
        <v>instagram - social</v>
      </c>
      <c r="G1547" t="str">
        <f>_xlfn.XLOOKUP(A1547, LOCAL!A:A, LOCAL!B:B)</f>
        <v>Tamboré - SP</v>
      </c>
      <c r="H1547" t="str">
        <f>_xlfn.XLOOKUP(A1547, PORTE!A:A, PORTE!B:B)</f>
        <v>0</v>
      </c>
      <c r="I1547" t="str">
        <f>_xlfn.XLOOKUP(A1547, OBJETIVO!A:A, OBJETIVO!B:B)</f>
        <v>Abertura/Expansão</v>
      </c>
      <c r="J1547">
        <f t="shared" si="24"/>
        <v>0</v>
      </c>
    </row>
    <row r="1548" spans="1:10" x14ac:dyDescent="0.25">
      <c r="A1548">
        <v>11562442</v>
      </c>
      <c r="B1548" s="1">
        <v>45723.989884259259</v>
      </c>
      <c r="C1548" t="s">
        <v>0</v>
      </c>
      <c r="D1548" t="str">
        <f>VLOOKUP(A1548,MERCADO!A:B,2,0)</f>
        <v>Empreendedor</v>
      </c>
      <c r="E1548" t="str">
        <f>_xlfn.XLOOKUP(A1548, ORIGEM!A:A, ORIGEM!B:B)</f>
        <v>Instagram</v>
      </c>
      <c r="F1548" t="str">
        <f>_xlfn.XLOOKUP(A1548, ORIGEM!A:A, ORIGEM!C:C)</f>
        <v>instagram - social</v>
      </c>
      <c r="G1548" t="str">
        <f>_xlfn.XLOOKUP(A1548, LOCAL!A:A, LOCAL!B:B)</f>
        <v>Conceicao da Barra - ES</v>
      </c>
      <c r="H1548" t="str">
        <f>_xlfn.XLOOKUP(A1548, PORTE!A:A, PORTE!B:B)</f>
        <v>1-10</v>
      </c>
      <c r="I1548" t="str">
        <f>_xlfn.XLOOKUP(A1548, OBJETIVO!A:A, OBJETIVO!B:B)</f>
        <v>Ações de marketing/vendas</v>
      </c>
      <c r="J1548">
        <f t="shared" si="24"/>
        <v>0</v>
      </c>
    </row>
    <row r="1549" spans="1:10" x14ac:dyDescent="0.25">
      <c r="A1549">
        <v>11572631</v>
      </c>
      <c r="B1549" s="1">
        <v>45724.651469907411</v>
      </c>
      <c r="C1549" t="s">
        <v>0</v>
      </c>
      <c r="D1549" t="str">
        <f>VLOOKUP(A1549,MERCADO!A:B,2,0)</f>
        <v>Empreendedor</v>
      </c>
      <c r="E1549" t="str">
        <f>_xlfn.XLOOKUP(A1549, ORIGEM!A:A, ORIGEM!B:B)</f>
        <v>Instagram</v>
      </c>
      <c r="F1549" t="str">
        <f>_xlfn.XLOOKUP(A1549, ORIGEM!A:A, ORIGEM!C:C)</f>
        <v>instagram - social</v>
      </c>
      <c r="G1549" t="str">
        <f>_xlfn.XLOOKUP(A1549, LOCAL!A:A, LOCAL!B:B)</f>
        <v>Campina Grande - PB</v>
      </c>
      <c r="H1549" t="str">
        <f>_xlfn.XLOOKUP(A1549, PORTE!A:A, PORTE!B:B)</f>
        <v>1-10</v>
      </c>
      <c r="I1549" t="str">
        <f>_xlfn.XLOOKUP(A1549, OBJETIVO!A:A, OBJETIVO!B:B)</f>
        <v>Abertura/Expansão</v>
      </c>
      <c r="J1549">
        <f t="shared" si="24"/>
        <v>0</v>
      </c>
    </row>
    <row r="1550" spans="1:10" x14ac:dyDescent="0.25">
      <c r="A1550">
        <v>11585282</v>
      </c>
      <c r="B1550" s="1">
        <v>45725.565520833334</v>
      </c>
      <c r="C1550" t="s">
        <v>0</v>
      </c>
      <c r="D1550" t="str">
        <f>VLOOKUP(A1550,MERCADO!A:B,2,0)</f>
        <v>Empreendedor</v>
      </c>
      <c r="E1550" t="str">
        <f>_xlfn.XLOOKUP(A1550, ORIGEM!A:A, ORIGEM!B:B)</f>
        <v>Instagram</v>
      </c>
      <c r="F1550" t="str">
        <f>_xlfn.XLOOKUP(A1550, ORIGEM!A:A, ORIGEM!C:C)</f>
        <v>instagram - social</v>
      </c>
      <c r="G1550" t="str">
        <f>_xlfn.XLOOKUP(A1550, LOCAL!A:A, LOCAL!B:B)</f>
        <v>Três Lagoas - MS</v>
      </c>
      <c r="H1550" t="str">
        <f>_xlfn.XLOOKUP(A1550, PORTE!A:A, PORTE!B:B)</f>
        <v>0</v>
      </c>
      <c r="I1550" t="str">
        <f>_xlfn.XLOOKUP(A1550, OBJETIVO!A:A, OBJETIVO!B:B)</f>
        <v>Abertura/Expansão</v>
      </c>
      <c r="J1550">
        <f t="shared" si="24"/>
        <v>0</v>
      </c>
    </row>
    <row r="1551" spans="1:10" x14ac:dyDescent="0.25">
      <c r="A1551">
        <v>11607816</v>
      </c>
      <c r="B1551" s="1">
        <v>45727.263749999998</v>
      </c>
      <c r="C1551" t="s">
        <v>0</v>
      </c>
      <c r="D1551" t="str">
        <f>VLOOKUP(A1551,MERCADO!A:B,2,0)</f>
        <v>Empreendedor</v>
      </c>
      <c r="E1551" t="str">
        <f>_xlfn.XLOOKUP(A1551, ORIGEM!A:A, ORIGEM!B:B)</f>
        <v>Instagram</v>
      </c>
      <c r="F1551" t="str">
        <f>_xlfn.XLOOKUP(A1551, ORIGEM!A:A, ORIGEM!C:C)</f>
        <v>instagram - social</v>
      </c>
      <c r="G1551" t="str">
        <f>_xlfn.XLOOKUP(A1551, LOCAL!A:A, LOCAL!B:B)</f>
        <v>Fortaleza - CE</v>
      </c>
      <c r="H1551" t="str">
        <f>_xlfn.XLOOKUP(A1551, PORTE!A:A, PORTE!B:B)</f>
        <v>1-10</v>
      </c>
      <c r="I1551" t="str">
        <f>_xlfn.XLOOKUP(A1551, OBJETIVO!A:A, OBJETIVO!B:B)</f>
        <v>Abertura/Expansão</v>
      </c>
      <c r="J1551">
        <f t="shared" si="24"/>
        <v>0</v>
      </c>
    </row>
    <row r="1552" spans="1:10" x14ac:dyDescent="0.25">
      <c r="A1552">
        <v>11617032</v>
      </c>
      <c r="B1552" s="1">
        <v>45727.835543981484</v>
      </c>
      <c r="C1552" t="s">
        <v>0</v>
      </c>
      <c r="D1552" t="str">
        <f>VLOOKUP(A1552,MERCADO!A:B,2,0)</f>
        <v>Empreendedor</v>
      </c>
      <c r="E1552" t="str">
        <f>_xlfn.XLOOKUP(A1552, ORIGEM!A:A, ORIGEM!B:B)</f>
        <v>Instagram</v>
      </c>
      <c r="F1552" t="str">
        <f>_xlfn.XLOOKUP(A1552, ORIGEM!A:A, ORIGEM!C:C)</f>
        <v>instagram - social</v>
      </c>
      <c r="G1552" t="str">
        <f>_xlfn.XLOOKUP(A1552, LOCAL!A:A, LOCAL!B:B)</f>
        <v>Belém - PA</v>
      </c>
      <c r="H1552" t="str">
        <f>_xlfn.XLOOKUP(A1552, PORTE!A:A, PORTE!B:B)</f>
        <v>1-10</v>
      </c>
      <c r="I1552" t="str">
        <f>_xlfn.XLOOKUP(A1552, OBJETIVO!A:A, OBJETIVO!B:B)</f>
        <v>Abertura/Expansão</v>
      </c>
      <c r="J1552">
        <f t="shared" si="24"/>
        <v>0</v>
      </c>
    </row>
    <row r="1553" spans="1:10" x14ac:dyDescent="0.25">
      <c r="A1553">
        <v>11324040</v>
      </c>
      <c r="B1553" s="1">
        <v>45699.544733796298</v>
      </c>
      <c r="C1553" t="s">
        <v>0</v>
      </c>
      <c r="D1553" t="str">
        <f>VLOOKUP(A1553,MERCADO!A:B,2,0)</f>
        <v>Empreendedor</v>
      </c>
      <c r="E1553" t="str">
        <f>_xlfn.XLOOKUP(A1553, ORIGEM!A:A, ORIGEM!B:B)</f>
        <v>Instagram</v>
      </c>
      <c r="F1553" t="str">
        <f>_xlfn.XLOOKUP(A1553, ORIGEM!A:A, ORIGEM!C:C)</f>
        <v>instagram - social</v>
      </c>
      <c r="G1553" t="str">
        <f>_xlfn.XLOOKUP(A1553, LOCAL!A:A, LOCAL!B:B)</f>
        <v>Caseiros - RS</v>
      </c>
      <c r="H1553" t="str">
        <f>_xlfn.XLOOKUP(A1553, PORTE!A:A, PORTE!B:B)</f>
        <v>0</v>
      </c>
      <c r="I1553" t="str">
        <f>_xlfn.XLOOKUP(A1553, OBJETIVO!A:A, OBJETIVO!B:B)</f>
        <v>Abertura/Expansão</v>
      </c>
      <c r="J1553">
        <f t="shared" si="24"/>
        <v>0</v>
      </c>
    </row>
    <row r="1554" spans="1:10" x14ac:dyDescent="0.25">
      <c r="A1554">
        <v>10855107</v>
      </c>
      <c r="B1554" s="1">
        <v>45661.350775462961</v>
      </c>
      <c r="C1554" t="s">
        <v>0</v>
      </c>
      <c r="D1554" t="str">
        <f>VLOOKUP(A1554,MERCADO!A:B,2,0)</f>
        <v>Empreendedor</v>
      </c>
      <c r="E1554" t="str">
        <f>_xlfn.XLOOKUP(A1554, ORIGEM!A:A, ORIGEM!B:B)</f>
        <v>Google</v>
      </c>
      <c r="F1554" t="str">
        <f>_xlfn.XLOOKUP(A1554, ORIGEM!A:A, ORIGEM!C:C)</f>
        <v>google - cpc</v>
      </c>
      <c r="G1554" t="str">
        <f>_xlfn.XLOOKUP(A1554, LOCAL!A:A, LOCAL!B:B)</f>
        <v>São Paulo - SP</v>
      </c>
      <c r="H1554" t="str">
        <f>_xlfn.XLOOKUP(A1554, PORTE!A:A, PORTE!B:B)</f>
        <v>1-10</v>
      </c>
      <c r="I1554" t="str">
        <f>_xlfn.XLOOKUP(A1554, OBJETIVO!A:A, OBJETIVO!B:B)</f>
        <v>Abertura/Expansão</v>
      </c>
      <c r="J1554">
        <f t="shared" si="24"/>
        <v>0</v>
      </c>
    </row>
    <row r="1555" spans="1:10" x14ac:dyDescent="0.25">
      <c r="A1555">
        <v>10868647</v>
      </c>
      <c r="B1555" s="1">
        <v>45661.750150462962</v>
      </c>
      <c r="C1555" t="s">
        <v>0</v>
      </c>
      <c r="D1555" t="str">
        <f>VLOOKUP(A1555,MERCADO!A:B,2,0)</f>
        <v>Empreendedor</v>
      </c>
      <c r="E1555" t="str">
        <f>_xlfn.XLOOKUP(A1555, ORIGEM!A:A, ORIGEM!B:B)</f>
        <v>Google</v>
      </c>
      <c r="F1555" t="str">
        <f>_xlfn.XLOOKUP(A1555, ORIGEM!A:A, ORIGEM!C:C)</f>
        <v>google - cpc</v>
      </c>
      <c r="G1555" t="str">
        <f>_xlfn.XLOOKUP(A1555, LOCAL!A:A, LOCAL!B:B)</f>
        <v>São Paulo - SP</v>
      </c>
      <c r="H1555" t="str">
        <f>_xlfn.XLOOKUP(A1555, PORTE!A:A, PORTE!B:B)</f>
        <v>1-10</v>
      </c>
      <c r="I1555" t="str">
        <f>_xlfn.XLOOKUP(A1555, OBJETIVO!A:A, OBJETIVO!B:B)</f>
        <v>Abertura/Expansão</v>
      </c>
      <c r="J1555">
        <f t="shared" si="24"/>
        <v>0</v>
      </c>
    </row>
    <row r="1556" spans="1:10" x14ac:dyDescent="0.25">
      <c r="A1556">
        <v>10868908</v>
      </c>
      <c r="B1556" s="1">
        <v>45661.783078703702</v>
      </c>
      <c r="C1556" t="s">
        <v>0</v>
      </c>
      <c r="D1556" t="str">
        <f>VLOOKUP(A1556,MERCADO!A:B,2,0)</f>
        <v>Empreendedor</v>
      </c>
      <c r="E1556" t="str">
        <f>_xlfn.XLOOKUP(A1556, ORIGEM!A:A, ORIGEM!B:B)</f>
        <v>Google</v>
      </c>
      <c r="F1556" t="str">
        <f>_xlfn.XLOOKUP(A1556, ORIGEM!A:A, ORIGEM!C:C)</f>
        <v>google - cpc</v>
      </c>
      <c r="G1556" t="str">
        <f>_xlfn.XLOOKUP(A1556, LOCAL!A:A, LOCAL!B:B)</f>
        <v>Florianópolis - SC</v>
      </c>
      <c r="H1556" t="str">
        <f>_xlfn.XLOOKUP(A1556, PORTE!A:A, PORTE!B:B)</f>
        <v>0</v>
      </c>
      <c r="I1556" t="str">
        <f>_xlfn.XLOOKUP(A1556, OBJETIVO!A:A, OBJETIVO!B:B)</f>
        <v>Abertura/Expansão</v>
      </c>
      <c r="J1556">
        <f t="shared" si="24"/>
        <v>0</v>
      </c>
    </row>
    <row r="1557" spans="1:10" x14ac:dyDescent="0.25">
      <c r="A1557">
        <v>10869521</v>
      </c>
      <c r="B1557" s="1">
        <v>45661.907685185186</v>
      </c>
      <c r="C1557" t="s">
        <v>0</v>
      </c>
      <c r="D1557" t="str">
        <f>VLOOKUP(A1557,MERCADO!A:B,2,0)</f>
        <v>Empreendedor</v>
      </c>
      <c r="E1557" t="str">
        <f>_xlfn.XLOOKUP(A1557, ORIGEM!A:A, ORIGEM!B:B)</f>
        <v>Google</v>
      </c>
      <c r="F1557" t="str">
        <f>_xlfn.XLOOKUP(A1557, ORIGEM!A:A, ORIGEM!C:C)</f>
        <v>google - cpc</v>
      </c>
      <c r="G1557" t="str">
        <f>_xlfn.XLOOKUP(A1557, LOCAL!A:A, LOCAL!B:B)</f>
        <v>São Paulo - SP</v>
      </c>
      <c r="H1557" t="str">
        <f>_xlfn.XLOOKUP(A1557, PORTE!A:A, PORTE!B:B)</f>
        <v>0</v>
      </c>
      <c r="I1557" t="str">
        <f>_xlfn.XLOOKUP(A1557, OBJETIVO!A:A, OBJETIVO!B:B)</f>
        <v>Geração de leads b2b</v>
      </c>
      <c r="J1557">
        <f t="shared" si="24"/>
        <v>0</v>
      </c>
    </row>
    <row r="1558" spans="1:10" x14ac:dyDescent="0.25">
      <c r="A1558">
        <v>10906664</v>
      </c>
      <c r="B1558" s="1">
        <v>45664.84412037037</v>
      </c>
      <c r="C1558" t="s">
        <v>0</v>
      </c>
      <c r="D1558" t="str">
        <f>VLOOKUP(A1558,MERCADO!A:B,2,0)</f>
        <v>Empreendedor</v>
      </c>
      <c r="E1558" t="str">
        <f>_xlfn.XLOOKUP(A1558, ORIGEM!A:A, ORIGEM!B:B)</f>
        <v>Google</v>
      </c>
      <c r="F1558" t="str">
        <f>_xlfn.XLOOKUP(A1558, ORIGEM!A:A, ORIGEM!C:C)</f>
        <v>google - cpc</v>
      </c>
      <c r="G1558" t="str">
        <f>_xlfn.XLOOKUP(A1558, LOCAL!A:A, LOCAL!B:B)</f>
        <v>Aracaju - SE</v>
      </c>
      <c r="H1558" t="str">
        <f>_xlfn.XLOOKUP(A1558, PORTE!A:A, PORTE!B:B)</f>
        <v>1-10</v>
      </c>
      <c r="I1558" t="str">
        <f>_xlfn.XLOOKUP(A1558, OBJETIVO!A:A, OBJETIVO!B:B)</f>
        <v>Abertura/Expansão</v>
      </c>
      <c r="J1558">
        <f t="shared" si="24"/>
        <v>0</v>
      </c>
    </row>
    <row r="1559" spans="1:10" x14ac:dyDescent="0.25">
      <c r="A1559">
        <v>10923727</v>
      </c>
      <c r="B1559" s="1">
        <v>45667.894733796296</v>
      </c>
      <c r="C1559" t="s">
        <v>0</v>
      </c>
      <c r="D1559" t="str">
        <f>VLOOKUP(A1559,MERCADO!A:B,2,0)</f>
        <v>Empreendedor</v>
      </c>
      <c r="E1559" t="str">
        <f>_xlfn.XLOOKUP(A1559, ORIGEM!A:A, ORIGEM!B:B)</f>
        <v>Google</v>
      </c>
      <c r="F1559" t="str">
        <f>_xlfn.XLOOKUP(A1559, ORIGEM!A:A, ORIGEM!C:C)</f>
        <v>google - cpc</v>
      </c>
      <c r="G1559" t="str">
        <f>_xlfn.XLOOKUP(A1559, LOCAL!A:A, LOCAL!B:B)</f>
        <v>Olinda - PE</v>
      </c>
      <c r="H1559" t="str">
        <f>_xlfn.XLOOKUP(A1559, PORTE!A:A, PORTE!B:B)</f>
        <v>0</v>
      </c>
      <c r="I1559" t="str">
        <f>_xlfn.XLOOKUP(A1559, OBJETIVO!A:A, OBJETIVO!B:B)</f>
        <v>Planejamento estratégico</v>
      </c>
      <c r="J1559">
        <f t="shared" si="24"/>
        <v>0</v>
      </c>
    </row>
    <row r="1560" spans="1:10" x14ac:dyDescent="0.25">
      <c r="A1560">
        <v>10934309</v>
      </c>
      <c r="B1560" s="1">
        <v>45668.611388888887</v>
      </c>
      <c r="C1560" t="s">
        <v>0</v>
      </c>
      <c r="D1560" t="str">
        <f>VLOOKUP(A1560,MERCADO!A:B,2,0)</f>
        <v>Empreendedor</v>
      </c>
      <c r="E1560" t="str">
        <f>_xlfn.XLOOKUP(A1560, ORIGEM!A:A, ORIGEM!B:B)</f>
        <v>Google</v>
      </c>
      <c r="F1560" t="str">
        <f>_xlfn.XLOOKUP(A1560, ORIGEM!A:A, ORIGEM!C:C)</f>
        <v>google - cpc</v>
      </c>
      <c r="G1560" t="str">
        <f>_xlfn.XLOOKUP(A1560, LOCAL!A:A, LOCAL!B:B)</f>
        <v>São Paulo - SP</v>
      </c>
      <c r="H1560" t="str">
        <f>_xlfn.XLOOKUP(A1560, PORTE!A:A, PORTE!B:B)</f>
        <v>0</v>
      </c>
      <c r="I1560" t="str">
        <f>_xlfn.XLOOKUP(A1560, OBJETIVO!A:A, OBJETIVO!B:B)</f>
        <v>Abertura/Expansão</v>
      </c>
      <c r="J1560">
        <f t="shared" si="24"/>
        <v>0</v>
      </c>
    </row>
    <row r="1561" spans="1:10" x14ac:dyDescent="0.25">
      <c r="A1561">
        <v>10894019</v>
      </c>
      <c r="B1561" s="1">
        <v>45663.958657407406</v>
      </c>
      <c r="C1561" t="s">
        <v>0</v>
      </c>
      <c r="D1561" t="str">
        <f>VLOOKUP(A1561,MERCADO!A:B,2,0)</f>
        <v>Empreendedor</v>
      </c>
      <c r="E1561" t="str">
        <f>_xlfn.XLOOKUP(A1561, ORIGEM!A:A, ORIGEM!B:B)</f>
        <v>Google</v>
      </c>
      <c r="F1561" t="str">
        <f>_xlfn.XLOOKUP(A1561, ORIGEM!A:A, ORIGEM!C:C)</f>
        <v>google - cpc</v>
      </c>
      <c r="G1561" t="str">
        <f>_xlfn.XLOOKUP(A1561, LOCAL!A:A, LOCAL!B:B)</f>
        <v>Mogi das Cruzes - SP</v>
      </c>
      <c r="H1561" t="str">
        <f>_xlfn.XLOOKUP(A1561, PORTE!A:A, PORTE!B:B)</f>
        <v>1-10</v>
      </c>
      <c r="I1561" t="str">
        <f>_xlfn.XLOOKUP(A1561, OBJETIVO!A:A, OBJETIVO!B:B)</f>
        <v>Abertura/Expansão</v>
      </c>
      <c r="J1561">
        <f t="shared" si="24"/>
        <v>0</v>
      </c>
    </row>
    <row r="1562" spans="1:10" x14ac:dyDescent="0.25">
      <c r="A1562">
        <v>10881130</v>
      </c>
      <c r="B1562" s="1">
        <v>45662.832071759258</v>
      </c>
      <c r="C1562" t="s">
        <v>0</v>
      </c>
      <c r="D1562" t="str">
        <f>VLOOKUP(A1562,MERCADO!A:B,2,0)</f>
        <v>Empreendedor</v>
      </c>
      <c r="E1562" t="str">
        <f>_xlfn.XLOOKUP(A1562, ORIGEM!A:A, ORIGEM!B:B)</f>
        <v>Google</v>
      </c>
      <c r="F1562" t="str">
        <f>_xlfn.XLOOKUP(A1562, ORIGEM!A:A, ORIGEM!C:C)</f>
        <v>google - cpc</v>
      </c>
      <c r="G1562" t="str">
        <f>_xlfn.XLOOKUP(A1562, LOCAL!A:A, LOCAL!B:B)</f>
        <v>Uberaba - MG</v>
      </c>
      <c r="H1562" t="str">
        <f>_xlfn.XLOOKUP(A1562, PORTE!A:A, PORTE!B:B)</f>
        <v>1-10</v>
      </c>
      <c r="I1562" t="str">
        <f>_xlfn.XLOOKUP(A1562, OBJETIVO!A:A, OBJETIVO!B:B)</f>
        <v>Abertura/Expansão</v>
      </c>
      <c r="J1562">
        <f t="shared" si="24"/>
        <v>0</v>
      </c>
    </row>
    <row r="1563" spans="1:10" x14ac:dyDescent="0.25">
      <c r="A1563">
        <v>10806010</v>
      </c>
      <c r="B1563" s="1">
        <v>45649.395497685182</v>
      </c>
      <c r="C1563" t="s">
        <v>0</v>
      </c>
      <c r="D1563" t="str">
        <f>VLOOKUP(A1563,MERCADO!A:B,2,0)</f>
        <v>Empreendedor</v>
      </c>
      <c r="E1563" t="str">
        <f>_xlfn.XLOOKUP(A1563, ORIGEM!A:A, ORIGEM!B:B)</f>
        <v>Google</v>
      </c>
      <c r="F1563" t="str">
        <f>_xlfn.XLOOKUP(A1563, ORIGEM!A:A, ORIGEM!C:C)</f>
        <v>google - cpc</v>
      </c>
      <c r="G1563" t="str">
        <f>_xlfn.XLOOKUP(A1563, LOCAL!A:A, LOCAL!B:B)</f>
        <v>São Paulo - SP</v>
      </c>
      <c r="H1563" t="str">
        <f>_xlfn.XLOOKUP(A1563, PORTE!A:A, PORTE!B:B)</f>
        <v>1-10</v>
      </c>
      <c r="I1563" t="str">
        <f>_xlfn.XLOOKUP(A1563, OBJETIVO!A:A, OBJETIVO!B:B)</f>
        <v>Abertura/Expansão</v>
      </c>
      <c r="J1563">
        <f t="shared" si="24"/>
        <v>0</v>
      </c>
    </row>
    <row r="1564" spans="1:10" x14ac:dyDescent="0.25">
      <c r="A1564">
        <v>10810914</v>
      </c>
      <c r="B1564" s="1">
        <v>45649.713217592594</v>
      </c>
      <c r="C1564" t="s">
        <v>0</v>
      </c>
      <c r="D1564" t="str">
        <f>VLOOKUP(A1564,MERCADO!A:B,2,0)</f>
        <v>Empreendedor</v>
      </c>
      <c r="E1564" t="str">
        <f>_xlfn.XLOOKUP(A1564, ORIGEM!A:A, ORIGEM!B:B)</f>
        <v>Google</v>
      </c>
      <c r="F1564" t="str">
        <f>_xlfn.XLOOKUP(A1564, ORIGEM!A:A, ORIGEM!C:C)</f>
        <v>google - cpc</v>
      </c>
      <c r="G1564" t="str">
        <f>_xlfn.XLOOKUP(A1564, LOCAL!A:A, LOCAL!B:B)</f>
        <v>São Paulo - SP</v>
      </c>
      <c r="H1564" t="str">
        <f>_xlfn.XLOOKUP(A1564, PORTE!A:A, PORTE!B:B)</f>
        <v>1-10</v>
      </c>
      <c r="I1564" t="str">
        <f>_xlfn.XLOOKUP(A1564, OBJETIVO!A:A, OBJETIVO!B:B)</f>
        <v>Abertura/Expansão</v>
      </c>
      <c r="J1564">
        <f t="shared" si="24"/>
        <v>0</v>
      </c>
    </row>
    <row r="1565" spans="1:10" x14ac:dyDescent="0.25">
      <c r="A1565">
        <v>10802696</v>
      </c>
      <c r="B1565" s="1">
        <v>45648.703773148147</v>
      </c>
      <c r="C1565" t="s">
        <v>0</v>
      </c>
      <c r="D1565" t="str">
        <f>VLOOKUP(A1565,MERCADO!A:B,2,0)</f>
        <v>Empreendedor</v>
      </c>
      <c r="E1565" t="str">
        <f>_xlfn.XLOOKUP(A1565, ORIGEM!A:A, ORIGEM!B:B)</f>
        <v>Google</v>
      </c>
      <c r="F1565" t="str">
        <f>_xlfn.XLOOKUP(A1565, ORIGEM!A:A, ORIGEM!C:C)</f>
        <v>google - cpc</v>
      </c>
      <c r="G1565" t="str">
        <f>_xlfn.XLOOKUP(A1565, LOCAL!A:A, LOCAL!B:B)</f>
        <v>Fortaleza - CE</v>
      </c>
      <c r="H1565" t="str">
        <f>_xlfn.XLOOKUP(A1565, PORTE!A:A, PORTE!B:B)</f>
        <v>0</v>
      </c>
      <c r="I1565" t="str">
        <f>_xlfn.XLOOKUP(A1565, OBJETIVO!A:A, OBJETIVO!B:B)</f>
        <v>Abertura/Expansão</v>
      </c>
      <c r="J1565">
        <f t="shared" si="24"/>
        <v>0</v>
      </c>
    </row>
    <row r="1566" spans="1:10" x14ac:dyDescent="0.25">
      <c r="A1566">
        <v>10802712</v>
      </c>
      <c r="B1566" s="1">
        <v>45648.704479166663</v>
      </c>
      <c r="C1566" t="s">
        <v>0</v>
      </c>
      <c r="D1566" t="str">
        <f>VLOOKUP(A1566,MERCADO!A:B,2,0)</f>
        <v>Empreendedor</v>
      </c>
      <c r="E1566" t="str">
        <f>_xlfn.XLOOKUP(A1566, ORIGEM!A:A, ORIGEM!B:B)</f>
        <v>Google</v>
      </c>
      <c r="F1566" t="str">
        <f>_xlfn.XLOOKUP(A1566, ORIGEM!A:A, ORIGEM!C:C)</f>
        <v>google - cpc</v>
      </c>
      <c r="G1566" t="str">
        <f>_xlfn.XLOOKUP(A1566, LOCAL!A:A, LOCAL!B:B)</f>
        <v>Fortaleza - CE</v>
      </c>
      <c r="H1566" t="str">
        <f>_xlfn.XLOOKUP(A1566, PORTE!A:A, PORTE!B:B)</f>
        <v>0</v>
      </c>
      <c r="I1566" t="str">
        <f>_xlfn.XLOOKUP(A1566, OBJETIVO!A:A, OBJETIVO!B:B)</f>
        <v>Abertura/Expansão</v>
      </c>
      <c r="J1566">
        <f t="shared" si="24"/>
        <v>0</v>
      </c>
    </row>
    <row r="1567" spans="1:10" x14ac:dyDescent="0.25">
      <c r="A1567">
        <v>10802724</v>
      </c>
      <c r="B1567" s="1">
        <v>45648.705439814818</v>
      </c>
      <c r="C1567" t="s">
        <v>0</v>
      </c>
      <c r="D1567" t="str">
        <f>VLOOKUP(A1567,MERCADO!A:B,2,0)</f>
        <v>Empreendedor</v>
      </c>
      <c r="E1567" t="str">
        <f>_xlfn.XLOOKUP(A1567, ORIGEM!A:A, ORIGEM!B:B)</f>
        <v>Google</v>
      </c>
      <c r="F1567" t="str">
        <f>_xlfn.XLOOKUP(A1567, ORIGEM!A:A, ORIGEM!C:C)</f>
        <v>google - cpc</v>
      </c>
      <c r="G1567" t="str">
        <f>_xlfn.XLOOKUP(A1567, LOCAL!A:A, LOCAL!B:B)</f>
        <v>Fortaleza - CE</v>
      </c>
      <c r="H1567" t="str">
        <f>_xlfn.XLOOKUP(A1567, PORTE!A:A, PORTE!B:B)</f>
        <v>0</v>
      </c>
      <c r="I1567" t="str">
        <f>_xlfn.XLOOKUP(A1567, OBJETIVO!A:A, OBJETIVO!B:B)</f>
        <v>Abertura/Expansão</v>
      </c>
      <c r="J1567">
        <f t="shared" si="24"/>
        <v>0</v>
      </c>
    </row>
    <row r="1568" spans="1:10" x14ac:dyDescent="0.25">
      <c r="A1568">
        <v>10915409</v>
      </c>
      <c r="B1568" s="1">
        <v>45665.601377314815</v>
      </c>
      <c r="C1568" t="s">
        <v>0</v>
      </c>
      <c r="D1568" t="str">
        <f>VLOOKUP(A1568,MERCADO!A:B,2,0)</f>
        <v>Empreendedor</v>
      </c>
      <c r="E1568" t="str">
        <f>_xlfn.XLOOKUP(A1568, ORIGEM!A:A, ORIGEM!B:B)</f>
        <v>Google</v>
      </c>
      <c r="F1568" t="str">
        <f>_xlfn.XLOOKUP(A1568, ORIGEM!A:A, ORIGEM!C:C)</f>
        <v>google - cpc</v>
      </c>
      <c r="G1568" t="str">
        <f>_xlfn.XLOOKUP(A1568, LOCAL!A:A, LOCAL!B:B)</f>
        <v>Brasília - DF</v>
      </c>
      <c r="H1568" t="str">
        <f>_xlfn.XLOOKUP(A1568, PORTE!A:A, PORTE!B:B)</f>
        <v>0</v>
      </c>
      <c r="I1568" t="str">
        <f>_xlfn.XLOOKUP(A1568, OBJETIVO!A:A, OBJETIVO!B:B)</f>
        <v>Abertura/Expansão</v>
      </c>
      <c r="J1568">
        <f t="shared" si="24"/>
        <v>0</v>
      </c>
    </row>
    <row r="1569" spans="1:10" x14ac:dyDescent="0.25">
      <c r="A1569">
        <v>10778995</v>
      </c>
      <c r="B1569" s="1">
        <v>45644.880428240744</v>
      </c>
      <c r="C1569" t="s">
        <v>0</v>
      </c>
      <c r="D1569" t="str">
        <f>VLOOKUP(A1569,MERCADO!A:B,2,0)</f>
        <v>Empreendedor</v>
      </c>
      <c r="E1569" t="str">
        <f>_xlfn.XLOOKUP(A1569, ORIGEM!A:A, ORIGEM!B:B)</f>
        <v>Google</v>
      </c>
      <c r="F1569" t="str">
        <f>_xlfn.XLOOKUP(A1569, ORIGEM!A:A, ORIGEM!C:C)</f>
        <v>google - cpc</v>
      </c>
      <c r="G1569" t="str">
        <f>_xlfn.XLOOKUP(A1569, LOCAL!A:A, LOCAL!B:B)</f>
        <v>Rio de Janeiro - RJ</v>
      </c>
      <c r="H1569" t="str">
        <f>_xlfn.XLOOKUP(A1569, PORTE!A:A, PORTE!B:B)</f>
        <v>0</v>
      </c>
      <c r="I1569" t="str">
        <f>_xlfn.XLOOKUP(A1569, OBJETIVO!A:A, OBJETIVO!B:B)</f>
        <v>Abertura/Expansão</v>
      </c>
      <c r="J1569">
        <f t="shared" si="24"/>
        <v>0</v>
      </c>
    </row>
    <row r="1570" spans="1:10" x14ac:dyDescent="0.25">
      <c r="A1570">
        <v>10781034</v>
      </c>
      <c r="B1570" s="1">
        <v>45645.952974537038</v>
      </c>
      <c r="C1570" t="s">
        <v>0</v>
      </c>
      <c r="D1570" t="str">
        <f>VLOOKUP(A1570,MERCADO!A:B,2,0)</f>
        <v>Empreendedor</v>
      </c>
      <c r="E1570" t="str">
        <f>_xlfn.XLOOKUP(A1570, ORIGEM!A:A, ORIGEM!B:B)</f>
        <v>Google</v>
      </c>
      <c r="F1570" t="str">
        <f>_xlfn.XLOOKUP(A1570, ORIGEM!A:A, ORIGEM!C:C)</f>
        <v>google - cpc</v>
      </c>
      <c r="G1570" t="str">
        <f>_xlfn.XLOOKUP(A1570, LOCAL!A:A, LOCAL!B:B)</f>
        <v>Morro Agudo - SP</v>
      </c>
      <c r="H1570" t="str">
        <f>_xlfn.XLOOKUP(A1570, PORTE!A:A, PORTE!B:B)</f>
        <v>0</v>
      </c>
      <c r="I1570" t="str">
        <f>_xlfn.XLOOKUP(A1570, OBJETIVO!A:A, OBJETIVO!B:B)</f>
        <v>Abertura/Expansão</v>
      </c>
      <c r="J1570">
        <f t="shared" si="24"/>
        <v>0</v>
      </c>
    </row>
    <row r="1571" spans="1:10" x14ac:dyDescent="0.25">
      <c r="A1571">
        <v>11326094</v>
      </c>
      <c r="B1571" s="1">
        <v>45699.598854166667</v>
      </c>
      <c r="C1571" t="s">
        <v>0</v>
      </c>
      <c r="D1571" t="str">
        <f>VLOOKUP(A1571,MERCADO!A:B,2,0)</f>
        <v>Empreendedor</v>
      </c>
      <c r="E1571" t="str">
        <f>_xlfn.XLOOKUP(A1571, ORIGEM!A:A, ORIGEM!B:B)</f>
        <v>Google</v>
      </c>
      <c r="F1571" t="str">
        <f>_xlfn.XLOOKUP(A1571, ORIGEM!A:A, ORIGEM!C:C)</f>
        <v>google - cpc</v>
      </c>
      <c r="G1571" t="str">
        <f>_xlfn.XLOOKUP(A1571, LOCAL!A:A, LOCAL!B:B)</f>
        <v>São Paulo - SP</v>
      </c>
      <c r="H1571" t="str">
        <f>_xlfn.XLOOKUP(A1571, PORTE!A:A, PORTE!B:B)</f>
        <v>1-10</v>
      </c>
      <c r="I1571" t="str">
        <f>_xlfn.XLOOKUP(A1571, OBJETIVO!A:A, OBJETIVO!B:B)</f>
        <v>Abertura/Expansão</v>
      </c>
      <c r="J1571">
        <f t="shared" si="24"/>
        <v>0</v>
      </c>
    </row>
    <row r="1572" spans="1:10" x14ac:dyDescent="0.25">
      <c r="A1572">
        <v>11303107</v>
      </c>
      <c r="B1572" s="1">
        <v>45697.7030787037</v>
      </c>
      <c r="C1572" t="s">
        <v>0</v>
      </c>
      <c r="D1572" t="str">
        <f>VLOOKUP(A1572,MERCADO!A:B,2,0)</f>
        <v>Empreendedor</v>
      </c>
      <c r="E1572" t="str">
        <f>_xlfn.XLOOKUP(A1572, ORIGEM!A:A, ORIGEM!B:B)</f>
        <v>Google</v>
      </c>
      <c r="F1572" t="str">
        <f>_xlfn.XLOOKUP(A1572, ORIGEM!A:A, ORIGEM!C:C)</f>
        <v>google - cpc</v>
      </c>
      <c r="G1572" t="str">
        <f>_xlfn.XLOOKUP(A1572, LOCAL!A:A, LOCAL!B:B)</f>
        <v>Natal - RN</v>
      </c>
      <c r="H1572" t="str">
        <f>_xlfn.XLOOKUP(A1572, PORTE!A:A, PORTE!B:B)</f>
        <v>0</v>
      </c>
      <c r="I1572" t="str">
        <f>_xlfn.XLOOKUP(A1572, OBJETIVO!A:A, OBJETIVO!B:B)</f>
        <v>Outro</v>
      </c>
      <c r="J1572">
        <f t="shared" si="24"/>
        <v>0</v>
      </c>
    </row>
    <row r="1573" spans="1:10" x14ac:dyDescent="0.25">
      <c r="A1573">
        <v>11307544</v>
      </c>
      <c r="B1573" s="1">
        <v>45698.392048611109</v>
      </c>
      <c r="C1573" t="s">
        <v>0</v>
      </c>
      <c r="D1573" t="str">
        <f>VLOOKUP(A1573,MERCADO!A:B,2,0)</f>
        <v>Empreendedor</v>
      </c>
      <c r="E1573" t="str">
        <f>_xlfn.XLOOKUP(A1573, ORIGEM!A:A, ORIGEM!B:B)</f>
        <v>Google</v>
      </c>
      <c r="F1573" t="str">
        <f>_xlfn.XLOOKUP(A1573, ORIGEM!A:A, ORIGEM!C:C)</f>
        <v>google - cpc</v>
      </c>
      <c r="G1573" t="str">
        <f>_xlfn.XLOOKUP(A1573, LOCAL!A:A, LOCAL!B:B)</f>
        <v>Consolação - SP</v>
      </c>
      <c r="H1573" t="str">
        <f>_xlfn.XLOOKUP(A1573, PORTE!A:A, PORTE!B:B)</f>
        <v>0</v>
      </c>
      <c r="I1573" t="str">
        <f>_xlfn.XLOOKUP(A1573, OBJETIVO!A:A, OBJETIVO!B:B)</f>
        <v>Abertura/Expansão</v>
      </c>
      <c r="J1573">
        <f t="shared" si="24"/>
        <v>0</v>
      </c>
    </row>
    <row r="1574" spans="1:10" x14ac:dyDescent="0.25">
      <c r="A1574">
        <v>11308459</v>
      </c>
      <c r="B1574" s="1">
        <v>45698.414826388886</v>
      </c>
      <c r="C1574" t="s">
        <v>0</v>
      </c>
      <c r="D1574" t="str">
        <f>VLOOKUP(A1574,MERCADO!A:B,2,0)</f>
        <v>Empreendedor</v>
      </c>
      <c r="E1574" t="str">
        <f>_xlfn.XLOOKUP(A1574, ORIGEM!A:A, ORIGEM!B:B)</f>
        <v>Google</v>
      </c>
      <c r="F1574" t="str">
        <f>_xlfn.XLOOKUP(A1574, ORIGEM!A:A, ORIGEM!C:C)</f>
        <v>google - cpc</v>
      </c>
      <c r="G1574" t="str">
        <f>_xlfn.XLOOKUP(A1574, LOCAL!A:A, LOCAL!B:B)</f>
        <v>São Paulo - SP</v>
      </c>
      <c r="H1574" t="str">
        <f>_xlfn.XLOOKUP(A1574, PORTE!A:A, PORTE!B:B)</f>
        <v>0</v>
      </c>
      <c r="I1574" t="str">
        <f>_xlfn.XLOOKUP(A1574, OBJETIVO!A:A, OBJETIVO!B:B)</f>
        <v>Geração de leads b2b</v>
      </c>
      <c r="J1574">
        <f t="shared" si="24"/>
        <v>0</v>
      </c>
    </row>
    <row r="1575" spans="1:10" x14ac:dyDescent="0.25">
      <c r="A1575">
        <v>11333960</v>
      </c>
      <c r="B1575" s="1">
        <v>45700.421655092592</v>
      </c>
      <c r="C1575" t="s">
        <v>0</v>
      </c>
      <c r="D1575" t="str">
        <f>VLOOKUP(A1575,MERCADO!A:B,2,0)</f>
        <v>Empreendedor</v>
      </c>
      <c r="E1575" t="str">
        <f>_xlfn.XLOOKUP(A1575, ORIGEM!A:A, ORIGEM!B:B)</f>
        <v>Google</v>
      </c>
      <c r="F1575" t="str">
        <f>_xlfn.XLOOKUP(A1575, ORIGEM!A:A, ORIGEM!C:C)</f>
        <v>google - cpc</v>
      </c>
      <c r="G1575" t="str">
        <f>_xlfn.XLOOKUP(A1575, LOCAL!A:A, LOCAL!B:B)</f>
        <v>São Paulo - SP</v>
      </c>
      <c r="H1575" t="str">
        <f>_xlfn.XLOOKUP(A1575, PORTE!A:A, PORTE!B:B)</f>
        <v>1-10</v>
      </c>
      <c r="I1575" t="str">
        <f>_xlfn.XLOOKUP(A1575, OBJETIVO!A:A, OBJETIVO!B:B)</f>
        <v>Abertura/Expansão</v>
      </c>
      <c r="J1575">
        <f t="shared" si="24"/>
        <v>0</v>
      </c>
    </row>
    <row r="1576" spans="1:10" x14ac:dyDescent="0.25">
      <c r="A1576">
        <v>11344134</v>
      </c>
      <c r="B1576" s="1">
        <v>45701.42083333333</v>
      </c>
      <c r="C1576" t="s">
        <v>0</v>
      </c>
      <c r="D1576" t="str">
        <f>VLOOKUP(A1576,MERCADO!A:B,2,0)</f>
        <v>Empreendedor</v>
      </c>
      <c r="E1576" t="str">
        <f>_xlfn.XLOOKUP(A1576, ORIGEM!A:A, ORIGEM!B:B)</f>
        <v>Google</v>
      </c>
      <c r="F1576" t="str">
        <f>_xlfn.XLOOKUP(A1576, ORIGEM!A:A, ORIGEM!C:C)</f>
        <v>google - cpc</v>
      </c>
      <c r="G1576" t="str">
        <f>_xlfn.XLOOKUP(A1576, LOCAL!A:A, LOCAL!B:B)</f>
        <v>Campo Grande - MS</v>
      </c>
      <c r="H1576" t="str">
        <f>_xlfn.XLOOKUP(A1576, PORTE!A:A, PORTE!B:B)</f>
        <v>0</v>
      </c>
      <c r="I1576" t="str">
        <f>_xlfn.XLOOKUP(A1576, OBJETIVO!A:A, OBJETIVO!B:B)</f>
        <v>Planejamento estratégico</v>
      </c>
      <c r="J1576">
        <f t="shared" si="24"/>
        <v>0</v>
      </c>
    </row>
    <row r="1577" spans="1:10" x14ac:dyDescent="0.25">
      <c r="A1577">
        <v>11330139</v>
      </c>
      <c r="B1577" s="1">
        <v>45699.732233796298</v>
      </c>
      <c r="C1577" t="s">
        <v>0</v>
      </c>
      <c r="D1577" t="str">
        <f>VLOOKUP(A1577,MERCADO!A:B,2,0)</f>
        <v>Empreendedor</v>
      </c>
      <c r="E1577" t="str">
        <f>_xlfn.XLOOKUP(A1577, ORIGEM!A:A, ORIGEM!B:B)</f>
        <v>Google</v>
      </c>
      <c r="F1577" t="str">
        <f>_xlfn.XLOOKUP(A1577, ORIGEM!A:A, ORIGEM!C:C)</f>
        <v>google - cpc</v>
      </c>
      <c r="G1577" t="str">
        <f>_xlfn.XLOOKUP(A1577, LOCAL!A:A, LOCAL!B:B)</f>
        <v>Rio de Janeiro - RJ</v>
      </c>
      <c r="H1577" t="str">
        <f>_xlfn.XLOOKUP(A1577, PORTE!A:A, PORTE!B:B)</f>
        <v>0</v>
      </c>
      <c r="I1577" t="str">
        <f>_xlfn.XLOOKUP(A1577, OBJETIVO!A:A, OBJETIVO!B:B)</f>
        <v>Abertura/Expansão</v>
      </c>
      <c r="J1577">
        <f t="shared" si="24"/>
        <v>0</v>
      </c>
    </row>
    <row r="1578" spans="1:10" x14ac:dyDescent="0.25">
      <c r="A1578">
        <v>11347272</v>
      </c>
      <c r="B1578" s="1">
        <v>45702.657673611109</v>
      </c>
      <c r="C1578" t="s">
        <v>0</v>
      </c>
      <c r="D1578" t="str">
        <f>VLOOKUP(A1578,MERCADO!A:B,2,0)</f>
        <v>Empreendedor</v>
      </c>
      <c r="E1578" t="str">
        <f>_xlfn.XLOOKUP(A1578, ORIGEM!A:A, ORIGEM!B:B)</f>
        <v>Google</v>
      </c>
      <c r="F1578" t="str">
        <f>_xlfn.XLOOKUP(A1578, ORIGEM!A:A, ORIGEM!C:C)</f>
        <v>google - cpc</v>
      </c>
      <c r="G1578" t="str">
        <f>_xlfn.XLOOKUP(A1578, LOCAL!A:A, LOCAL!B:B)</f>
        <v>Manaus - AM</v>
      </c>
      <c r="H1578" t="str">
        <f>_xlfn.XLOOKUP(A1578, PORTE!A:A, PORTE!B:B)</f>
        <v>1-10</v>
      </c>
      <c r="I1578" t="str">
        <f>_xlfn.XLOOKUP(A1578, OBJETIVO!A:A, OBJETIVO!B:B)</f>
        <v>Abertura/Expansão</v>
      </c>
      <c r="J1578">
        <f t="shared" si="24"/>
        <v>0</v>
      </c>
    </row>
    <row r="1579" spans="1:10" x14ac:dyDescent="0.25">
      <c r="A1579">
        <v>11347944</v>
      </c>
      <c r="B1579" s="1">
        <v>45702.857974537037</v>
      </c>
      <c r="C1579" t="s">
        <v>0</v>
      </c>
      <c r="D1579" t="str">
        <f>VLOOKUP(A1579,MERCADO!A:B,2,0)</f>
        <v>Empreendedor</v>
      </c>
      <c r="E1579" t="str">
        <f>_xlfn.XLOOKUP(A1579, ORIGEM!A:A, ORIGEM!B:B)</f>
        <v>Google</v>
      </c>
      <c r="F1579" t="str">
        <f>_xlfn.XLOOKUP(A1579, ORIGEM!A:A, ORIGEM!C:C)</f>
        <v>google - cpc</v>
      </c>
      <c r="G1579" t="str">
        <f>_xlfn.XLOOKUP(A1579, LOCAL!A:A, LOCAL!B:B)</f>
        <v>João Pessoa - PB</v>
      </c>
      <c r="H1579" t="str">
        <f>_xlfn.XLOOKUP(A1579, PORTE!A:A, PORTE!B:B)</f>
        <v>0</v>
      </c>
      <c r="I1579" t="str">
        <f>_xlfn.XLOOKUP(A1579, OBJETIVO!A:A, OBJETIVO!B:B)</f>
        <v>Abertura/Expansão</v>
      </c>
      <c r="J1579">
        <f t="shared" si="24"/>
        <v>0</v>
      </c>
    </row>
    <row r="1580" spans="1:10" x14ac:dyDescent="0.25">
      <c r="A1580">
        <v>11348225</v>
      </c>
      <c r="B1580" s="1">
        <v>45702.955694444441</v>
      </c>
      <c r="C1580" t="s">
        <v>0</v>
      </c>
      <c r="D1580" t="str">
        <f>VLOOKUP(A1580,MERCADO!A:B,2,0)</f>
        <v>Empreendedor</v>
      </c>
      <c r="E1580" t="str">
        <f>_xlfn.XLOOKUP(A1580, ORIGEM!A:A, ORIGEM!B:B)</f>
        <v>Google</v>
      </c>
      <c r="F1580" t="str">
        <f>_xlfn.XLOOKUP(A1580, ORIGEM!A:A, ORIGEM!C:C)</f>
        <v>google - cpc</v>
      </c>
      <c r="G1580" t="str">
        <f>_xlfn.XLOOKUP(A1580, LOCAL!A:A, LOCAL!B:B)</f>
        <v>Florianópolis - SC</v>
      </c>
      <c r="H1580" t="str">
        <f>_xlfn.XLOOKUP(A1580, PORTE!A:A, PORTE!B:B)</f>
        <v>0</v>
      </c>
      <c r="I1580" t="str">
        <f>_xlfn.XLOOKUP(A1580, OBJETIVO!A:A, OBJETIVO!B:B)</f>
        <v>Abertura/Expansão</v>
      </c>
      <c r="J1580">
        <f t="shared" si="24"/>
        <v>0</v>
      </c>
    </row>
    <row r="1581" spans="1:10" x14ac:dyDescent="0.25">
      <c r="A1581">
        <v>11225044</v>
      </c>
      <c r="B1581" s="1">
        <v>45690.644166666665</v>
      </c>
      <c r="C1581" t="s">
        <v>0</v>
      </c>
      <c r="D1581" t="str">
        <f>VLOOKUP(A1581,MERCADO!A:B,2,0)</f>
        <v>Empreendedor</v>
      </c>
      <c r="E1581" t="str">
        <f>_xlfn.XLOOKUP(A1581, ORIGEM!A:A, ORIGEM!B:B)</f>
        <v>Google</v>
      </c>
      <c r="F1581" t="str">
        <f>_xlfn.XLOOKUP(A1581, ORIGEM!A:A, ORIGEM!C:C)</f>
        <v>google - cpc</v>
      </c>
      <c r="G1581" t="str">
        <f>_xlfn.XLOOKUP(A1581, LOCAL!A:A, LOCAL!B:B)</f>
        <v>Rio de Janeiro - RJ</v>
      </c>
      <c r="H1581" t="str">
        <f>_xlfn.XLOOKUP(A1581, PORTE!A:A, PORTE!B:B)</f>
        <v>0</v>
      </c>
      <c r="I1581" t="str">
        <f>_xlfn.XLOOKUP(A1581, OBJETIVO!A:A, OBJETIVO!B:B)</f>
        <v>Outro</v>
      </c>
      <c r="J1581">
        <f t="shared" si="24"/>
        <v>0</v>
      </c>
    </row>
    <row r="1582" spans="1:10" x14ac:dyDescent="0.25">
      <c r="A1582">
        <v>11268960</v>
      </c>
      <c r="B1582" s="1">
        <v>45694.504224537035</v>
      </c>
      <c r="C1582" t="s">
        <v>0</v>
      </c>
      <c r="D1582" t="str">
        <f>VLOOKUP(A1582,MERCADO!A:B,2,0)</f>
        <v>Empreendedor</v>
      </c>
      <c r="E1582" t="str">
        <f>_xlfn.XLOOKUP(A1582, ORIGEM!A:A, ORIGEM!B:B)</f>
        <v>Google</v>
      </c>
      <c r="F1582" t="str">
        <f>_xlfn.XLOOKUP(A1582, ORIGEM!A:A, ORIGEM!C:C)</f>
        <v>google - cpc</v>
      </c>
      <c r="G1582" t="str">
        <f>_xlfn.XLOOKUP(A1582, LOCAL!A:A, LOCAL!B:B)</f>
        <v>João Pessoa - PB</v>
      </c>
      <c r="H1582" t="str">
        <f>_xlfn.XLOOKUP(A1582, PORTE!A:A, PORTE!B:B)</f>
        <v>0</v>
      </c>
      <c r="I1582" t="str">
        <f>_xlfn.XLOOKUP(A1582, OBJETIVO!A:A, OBJETIVO!B:B)</f>
        <v>Abertura/Expansão</v>
      </c>
      <c r="J1582">
        <f t="shared" si="24"/>
        <v>0</v>
      </c>
    </row>
    <row r="1583" spans="1:10" x14ac:dyDescent="0.25">
      <c r="A1583">
        <v>11271430</v>
      </c>
      <c r="B1583" s="1">
        <v>45695.485555555555</v>
      </c>
      <c r="C1583" t="s">
        <v>0</v>
      </c>
      <c r="D1583" t="str">
        <f>VLOOKUP(A1583,MERCADO!A:B,2,0)</f>
        <v>Empreendedor</v>
      </c>
      <c r="E1583" t="str">
        <f>_xlfn.XLOOKUP(A1583, ORIGEM!A:A, ORIGEM!B:B)</f>
        <v>Google</v>
      </c>
      <c r="F1583" t="str">
        <f>_xlfn.XLOOKUP(A1583, ORIGEM!A:A, ORIGEM!C:C)</f>
        <v>google - cpc</v>
      </c>
      <c r="G1583" t="str">
        <f>_xlfn.XLOOKUP(A1583, LOCAL!A:A, LOCAL!B:B)</f>
        <v>Fortaleza - CE</v>
      </c>
      <c r="H1583" t="str">
        <f>_xlfn.XLOOKUP(A1583, PORTE!A:A, PORTE!B:B)</f>
        <v>0</v>
      </c>
      <c r="I1583" t="str">
        <f>_xlfn.XLOOKUP(A1583, OBJETIVO!A:A, OBJETIVO!B:B)</f>
        <v>Geração de leads b2b</v>
      </c>
      <c r="J1583">
        <f t="shared" si="24"/>
        <v>0</v>
      </c>
    </row>
    <row r="1584" spans="1:10" x14ac:dyDescent="0.25">
      <c r="A1584">
        <v>11010709</v>
      </c>
      <c r="B1584" s="1">
        <v>45673.944560185184</v>
      </c>
      <c r="C1584" t="s">
        <v>0</v>
      </c>
      <c r="D1584" t="str">
        <f>VLOOKUP(A1584,MERCADO!A:B,2,0)</f>
        <v>Empreendedor</v>
      </c>
      <c r="E1584" t="str">
        <f>_xlfn.XLOOKUP(A1584, ORIGEM!A:A, ORIGEM!B:B)</f>
        <v>Google</v>
      </c>
      <c r="F1584" t="str">
        <f>_xlfn.XLOOKUP(A1584, ORIGEM!A:A, ORIGEM!C:C)</f>
        <v>google - cpc</v>
      </c>
      <c r="G1584" t="str">
        <f>_xlfn.XLOOKUP(A1584, LOCAL!A:A, LOCAL!B:B)</f>
        <v>Governador Valadares - MG</v>
      </c>
      <c r="H1584" t="str">
        <f>_xlfn.XLOOKUP(A1584, PORTE!A:A, PORTE!B:B)</f>
        <v>0</v>
      </c>
      <c r="I1584" t="str">
        <f>_xlfn.XLOOKUP(A1584, OBJETIVO!A:A, OBJETIVO!B:B)</f>
        <v>Outro</v>
      </c>
      <c r="J1584">
        <f t="shared" si="24"/>
        <v>0</v>
      </c>
    </row>
    <row r="1585" spans="1:10" x14ac:dyDescent="0.25">
      <c r="A1585">
        <v>11012688</v>
      </c>
      <c r="B1585" s="1">
        <v>45674.865046296298</v>
      </c>
      <c r="C1585" t="s">
        <v>0</v>
      </c>
      <c r="D1585" t="str">
        <f>VLOOKUP(A1585,MERCADO!A:B,2,0)</f>
        <v>Empreendedor</v>
      </c>
      <c r="E1585" t="str">
        <f>_xlfn.XLOOKUP(A1585, ORIGEM!A:A, ORIGEM!B:B)</f>
        <v>Google</v>
      </c>
      <c r="F1585" t="str">
        <f>_xlfn.XLOOKUP(A1585, ORIGEM!A:A, ORIGEM!C:C)</f>
        <v>google - cpc</v>
      </c>
      <c r="G1585" t="str">
        <f>_xlfn.XLOOKUP(A1585, LOCAL!A:A, LOCAL!B:B)</f>
        <v>Varginha - MG</v>
      </c>
      <c r="H1585" t="str">
        <f>_xlfn.XLOOKUP(A1585, PORTE!A:A, PORTE!B:B)</f>
        <v>1-10</v>
      </c>
      <c r="I1585" t="str">
        <f>_xlfn.XLOOKUP(A1585, OBJETIVO!A:A, OBJETIVO!B:B)</f>
        <v>Abertura/Expansão</v>
      </c>
      <c r="J1585">
        <f t="shared" si="24"/>
        <v>0</v>
      </c>
    </row>
    <row r="1586" spans="1:10" x14ac:dyDescent="0.25">
      <c r="A1586">
        <v>10967086</v>
      </c>
      <c r="B1586" s="1">
        <v>45670.676747685182</v>
      </c>
      <c r="C1586" t="s">
        <v>0</v>
      </c>
      <c r="D1586" t="str">
        <f>VLOOKUP(A1586,MERCADO!A:B,2,0)</f>
        <v>Empreendedor</v>
      </c>
      <c r="E1586" t="str">
        <f>_xlfn.XLOOKUP(A1586, ORIGEM!A:A, ORIGEM!B:B)</f>
        <v>Google</v>
      </c>
      <c r="F1586" t="str">
        <f>_xlfn.XLOOKUP(A1586, ORIGEM!A:A, ORIGEM!C:C)</f>
        <v>google - cpc</v>
      </c>
      <c r="G1586" t="str">
        <f>_xlfn.XLOOKUP(A1586, LOCAL!A:A, LOCAL!B:B)</f>
        <v>São Paulo - SP</v>
      </c>
      <c r="H1586" t="str">
        <f>_xlfn.XLOOKUP(A1586, PORTE!A:A, PORTE!B:B)</f>
        <v>1-10</v>
      </c>
      <c r="I1586" t="str">
        <f>_xlfn.XLOOKUP(A1586, OBJETIVO!A:A, OBJETIVO!B:B)</f>
        <v>Abertura/Expansão</v>
      </c>
      <c r="J1586">
        <f t="shared" si="24"/>
        <v>0</v>
      </c>
    </row>
    <row r="1587" spans="1:10" x14ac:dyDescent="0.25">
      <c r="A1587">
        <v>10961452</v>
      </c>
      <c r="B1587" s="1">
        <v>45670.495127314818</v>
      </c>
      <c r="C1587" t="s">
        <v>0</v>
      </c>
      <c r="D1587" t="str">
        <f>VLOOKUP(A1587,MERCADO!A:B,2,0)</f>
        <v>Empreendedor</v>
      </c>
      <c r="E1587" t="str">
        <f>_xlfn.XLOOKUP(A1587, ORIGEM!A:A, ORIGEM!B:B)</f>
        <v>Google</v>
      </c>
      <c r="F1587" t="str">
        <f>_xlfn.XLOOKUP(A1587, ORIGEM!A:A, ORIGEM!C:C)</f>
        <v>google - cpc</v>
      </c>
      <c r="G1587" t="str">
        <f>_xlfn.XLOOKUP(A1587, LOCAL!A:A, LOCAL!B:B)</f>
        <v>Pato Branco - PR</v>
      </c>
      <c r="H1587" t="str">
        <f>_xlfn.XLOOKUP(A1587, PORTE!A:A, PORTE!B:B)</f>
        <v>0</v>
      </c>
      <c r="I1587" t="str">
        <f>_xlfn.XLOOKUP(A1587, OBJETIVO!A:A, OBJETIVO!B:B)</f>
        <v>Ações de marketing/vendas</v>
      </c>
      <c r="J1587">
        <f t="shared" si="24"/>
        <v>0</v>
      </c>
    </row>
    <row r="1588" spans="1:10" x14ac:dyDescent="0.25">
      <c r="A1588">
        <v>10999282</v>
      </c>
      <c r="B1588" s="1">
        <v>45672.508831018517</v>
      </c>
      <c r="C1588" t="s">
        <v>0</v>
      </c>
      <c r="D1588" t="str">
        <f>VLOOKUP(A1588,MERCADO!A:B,2,0)</f>
        <v>Empreendedor</v>
      </c>
      <c r="E1588" t="str">
        <f>_xlfn.XLOOKUP(A1588, ORIGEM!A:A, ORIGEM!B:B)</f>
        <v>Google</v>
      </c>
      <c r="F1588" t="str">
        <f>_xlfn.XLOOKUP(A1588, ORIGEM!A:A, ORIGEM!C:C)</f>
        <v>google - cpc</v>
      </c>
      <c r="G1588" t="str">
        <f>_xlfn.XLOOKUP(A1588, LOCAL!A:A, LOCAL!B:B)</f>
        <v>São Paulo - SP</v>
      </c>
      <c r="H1588" t="str">
        <f>_xlfn.XLOOKUP(A1588, PORTE!A:A, PORTE!B:B)</f>
        <v>0</v>
      </c>
      <c r="I1588" t="str">
        <f>_xlfn.XLOOKUP(A1588, OBJETIVO!A:A, OBJETIVO!B:B)</f>
        <v>Abertura/Expansão</v>
      </c>
      <c r="J1588">
        <f t="shared" si="24"/>
        <v>0</v>
      </c>
    </row>
    <row r="1589" spans="1:10" x14ac:dyDescent="0.25">
      <c r="A1589">
        <v>11000643</v>
      </c>
      <c r="B1589" s="1">
        <v>45672.586562500001</v>
      </c>
      <c r="C1589" t="s">
        <v>0</v>
      </c>
      <c r="D1589" t="str">
        <f>VLOOKUP(A1589,MERCADO!A:B,2,0)</f>
        <v>Empreendedor</v>
      </c>
      <c r="E1589" t="str">
        <f>_xlfn.XLOOKUP(A1589, ORIGEM!A:A, ORIGEM!B:B)</f>
        <v>Google</v>
      </c>
      <c r="F1589" t="str">
        <f>_xlfn.XLOOKUP(A1589, ORIGEM!A:A, ORIGEM!C:C)</f>
        <v>google - cpc</v>
      </c>
      <c r="G1589" t="str">
        <f>_xlfn.XLOOKUP(A1589, LOCAL!A:A, LOCAL!B:B)</f>
        <v>Conceicao do Coite - BA</v>
      </c>
      <c r="H1589" t="str">
        <f>_xlfn.XLOOKUP(A1589, PORTE!A:A, PORTE!B:B)</f>
        <v>0</v>
      </c>
      <c r="I1589" t="str">
        <f>_xlfn.XLOOKUP(A1589, OBJETIVO!A:A, OBJETIVO!B:B)</f>
        <v>Consultoria</v>
      </c>
      <c r="J1589">
        <f t="shared" si="24"/>
        <v>0</v>
      </c>
    </row>
    <row r="1590" spans="1:10" x14ac:dyDescent="0.25">
      <c r="A1590">
        <v>11001069</v>
      </c>
      <c r="B1590" s="1">
        <v>45672.60019675926</v>
      </c>
      <c r="C1590" t="s">
        <v>0</v>
      </c>
      <c r="D1590" t="str">
        <f>VLOOKUP(A1590,MERCADO!A:B,2,0)</f>
        <v>Empreendedor</v>
      </c>
      <c r="E1590" t="str">
        <f>_xlfn.XLOOKUP(A1590, ORIGEM!A:A, ORIGEM!B:B)</f>
        <v>Google</v>
      </c>
      <c r="F1590" t="str">
        <f>_xlfn.XLOOKUP(A1590, ORIGEM!A:A, ORIGEM!C:C)</f>
        <v>google - cpc</v>
      </c>
      <c r="G1590" t="str">
        <f>_xlfn.XLOOKUP(A1590, LOCAL!A:A, LOCAL!B:B)</f>
        <v>Recife - PE</v>
      </c>
      <c r="H1590" t="str">
        <f>_xlfn.XLOOKUP(A1590, PORTE!A:A, PORTE!B:B)</f>
        <v>0</v>
      </c>
      <c r="I1590" t="str">
        <f>_xlfn.XLOOKUP(A1590, OBJETIVO!A:A, OBJETIVO!B:B)</f>
        <v>Abertura/Expansão</v>
      </c>
      <c r="J1590">
        <f t="shared" si="24"/>
        <v>0</v>
      </c>
    </row>
    <row r="1591" spans="1:10" x14ac:dyDescent="0.25">
      <c r="A1591">
        <v>10766163</v>
      </c>
      <c r="B1591" s="1">
        <v>45644.092986111114</v>
      </c>
      <c r="C1591" t="s">
        <v>0</v>
      </c>
      <c r="D1591" t="str">
        <f>VLOOKUP(A1591,MERCADO!A:B,2,0)</f>
        <v>Empreendedor</v>
      </c>
      <c r="E1591" t="str">
        <f>_xlfn.XLOOKUP(A1591, ORIGEM!A:A, ORIGEM!B:B)</f>
        <v>Google</v>
      </c>
      <c r="F1591" t="str">
        <f>_xlfn.XLOOKUP(A1591, ORIGEM!A:A, ORIGEM!C:C)</f>
        <v>google - cpc</v>
      </c>
      <c r="G1591" t="str">
        <f>_xlfn.XLOOKUP(A1591, LOCAL!A:A, LOCAL!B:B)</f>
        <v>São Paulo - SP</v>
      </c>
      <c r="H1591" t="str">
        <f>_xlfn.XLOOKUP(A1591, PORTE!A:A, PORTE!B:B)</f>
        <v>0</v>
      </c>
      <c r="I1591" t="str">
        <f>_xlfn.XLOOKUP(A1591, OBJETIVO!A:A, OBJETIVO!B:B)</f>
        <v>Abertura/Expansão</v>
      </c>
      <c r="J1591">
        <f t="shared" si="24"/>
        <v>0</v>
      </c>
    </row>
    <row r="1592" spans="1:10" x14ac:dyDescent="0.25">
      <c r="A1592">
        <v>10742848</v>
      </c>
      <c r="B1592" s="1">
        <v>45642.494259259256</v>
      </c>
      <c r="C1592" t="s">
        <v>0</v>
      </c>
      <c r="D1592" t="str">
        <f>VLOOKUP(A1592,MERCADO!A:B,2,0)</f>
        <v>Empreendedor</v>
      </c>
      <c r="E1592" t="str">
        <f>_xlfn.XLOOKUP(A1592, ORIGEM!A:A, ORIGEM!B:B)</f>
        <v>Google</v>
      </c>
      <c r="F1592" t="str">
        <f>_xlfn.XLOOKUP(A1592, ORIGEM!A:A, ORIGEM!C:C)</f>
        <v>google - cpc</v>
      </c>
      <c r="G1592" t="str">
        <f>_xlfn.XLOOKUP(A1592, LOCAL!A:A, LOCAL!B:B)</f>
        <v>Teresina - PI</v>
      </c>
      <c r="H1592" t="str">
        <f>_xlfn.XLOOKUP(A1592, PORTE!A:A, PORTE!B:B)</f>
        <v>1-10</v>
      </c>
      <c r="I1592" t="str">
        <f>_xlfn.XLOOKUP(A1592, OBJETIVO!A:A, OBJETIVO!B:B)</f>
        <v>Consultoria</v>
      </c>
      <c r="J1592">
        <f t="shared" si="24"/>
        <v>0</v>
      </c>
    </row>
    <row r="1593" spans="1:10" x14ac:dyDescent="0.25">
      <c r="A1593">
        <v>10745945</v>
      </c>
      <c r="B1593" s="1">
        <v>45642.589907407404</v>
      </c>
      <c r="C1593" t="s">
        <v>0</v>
      </c>
      <c r="D1593" t="str">
        <f>VLOOKUP(A1593,MERCADO!A:B,2,0)</f>
        <v>Empreendedor</v>
      </c>
      <c r="E1593" t="str">
        <f>_xlfn.XLOOKUP(A1593, ORIGEM!A:A, ORIGEM!B:B)</f>
        <v>Google</v>
      </c>
      <c r="F1593" t="str">
        <f>_xlfn.XLOOKUP(A1593, ORIGEM!A:A, ORIGEM!C:C)</f>
        <v>google - cpc</v>
      </c>
      <c r="G1593" t="str">
        <f>_xlfn.XLOOKUP(A1593, LOCAL!A:A, LOCAL!B:B)</f>
        <v>Francisco Beltrão - PR</v>
      </c>
      <c r="H1593" t="str">
        <f>_xlfn.XLOOKUP(A1593, PORTE!A:A, PORTE!B:B)</f>
        <v>0</v>
      </c>
      <c r="I1593" t="str">
        <f>_xlfn.XLOOKUP(A1593, OBJETIVO!A:A, OBJETIVO!B:B)</f>
        <v>Ações de marketing/vendas</v>
      </c>
      <c r="J1593">
        <f t="shared" si="24"/>
        <v>0</v>
      </c>
    </row>
    <row r="1594" spans="1:10" x14ac:dyDescent="0.25">
      <c r="A1594">
        <v>10747062</v>
      </c>
      <c r="B1594" s="1">
        <v>45642.637013888889</v>
      </c>
      <c r="C1594" t="s">
        <v>0</v>
      </c>
      <c r="D1594" t="str">
        <f>VLOOKUP(A1594,MERCADO!A:B,2,0)</f>
        <v>Empreendedor</v>
      </c>
      <c r="E1594" t="str">
        <f>_xlfn.XLOOKUP(A1594, ORIGEM!A:A, ORIGEM!B:B)</f>
        <v>Google</v>
      </c>
      <c r="F1594" t="str">
        <f>_xlfn.XLOOKUP(A1594, ORIGEM!A:A, ORIGEM!C:C)</f>
        <v>google - cpc</v>
      </c>
      <c r="G1594" t="str">
        <f>_xlfn.XLOOKUP(A1594, LOCAL!A:A, LOCAL!B:B)</f>
        <v>Brasília - DF</v>
      </c>
      <c r="H1594" t="str">
        <f>_xlfn.XLOOKUP(A1594, PORTE!A:A, PORTE!B:B)</f>
        <v>0</v>
      </c>
      <c r="I1594" t="str">
        <f>_xlfn.XLOOKUP(A1594, OBJETIVO!A:A, OBJETIVO!B:B)</f>
        <v>Abertura/Expansão</v>
      </c>
      <c r="J1594">
        <f t="shared" si="24"/>
        <v>0</v>
      </c>
    </row>
    <row r="1595" spans="1:10" x14ac:dyDescent="0.25">
      <c r="A1595">
        <v>11312751</v>
      </c>
      <c r="B1595" s="1">
        <v>45698.591307870367</v>
      </c>
      <c r="C1595" t="s">
        <v>0</v>
      </c>
      <c r="D1595" t="str">
        <f>VLOOKUP(A1595,MERCADO!A:B,2,0)</f>
        <v>Empreendedor</v>
      </c>
      <c r="E1595" t="str">
        <f>_xlfn.XLOOKUP(A1595, ORIGEM!A:A, ORIGEM!B:B)</f>
        <v>Google</v>
      </c>
      <c r="F1595" t="str">
        <f>_xlfn.XLOOKUP(A1595, ORIGEM!A:A, ORIGEM!C:C)</f>
        <v>google - cpc</v>
      </c>
      <c r="G1595" t="str">
        <f>_xlfn.XLOOKUP(A1595, LOCAL!A:A, LOCAL!B:B)</f>
        <v>Rio de Janeiro - RJ</v>
      </c>
      <c r="H1595" t="str">
        <f>_xlfn.XLOOKUP(A1595, PORTE!A:A, PORTE!B:B)</f>
        <v>0</v>
      </c>
      <c r="I1595" t="str">
        <f>_xlfn.XLOOKUP(A1595, OBJETIVO!A:A, OBJETIVO!B:B)</f>
        <v>Outro</v>
      </c>
      <c r="J1595">
        <f t="shared" si="24"/>
        <v>0</v>
      </c>
    </row>
    <row r="1596" spans="1:10" x14ac:dyDescent="0.25">
      <c r="A1596">
        <v>11617904</v>
      </c>
      <c r="B1596" s="1">
        <v>45728.005462962959</v>
      </c>
      <c r="C1596" t="s">
        <v>0</v>
      </c>
      <c r="D1596" t="str">
        <f>VLOOKUP(A1596,MERCADO!A:B,2,0)</f>
        <v>Empreendedor</v>
      </c>
      <c r="E1596" t="str">
        <f>_xlfn.XLOOKUP(A1596, ORIGEM!A:A, ORIGEM!B:B)</f>
        <v>Google</v>
      </c>
      <c r="F1596" t="str">
        <f>_xlfn.XLOOKUP(A1596, ORIGEM!A:A, ORIGEM!C:C)</f>
        <v>google - cpc</v>
      </c>
      <c r="G1596" t="str">
        <f>_xlfn.XLOOKUP(A1596, LOCAL!A:A, LOCAL!B:B)</f>
        <v>Florianópolis - SC</v>
      </c>
      <c r="H1596" t="str">
        <f>_xlfn.XLOOKUP(A1596, PORTE!A:A, PORTE!B:B)</f>
        <v>11-50</v>
      </c>
      <c r="I1596" t="str">
        <f>_xlfn.XLOOKUP(A1596, OBJETIVO!A:A, OBJETIVO!B:B)</f>
        <v>Abertura/Expansão</v>
      </c>
      <c r="J1596">
        <f t="shared" si="24"/>
        <v>0</v>
      </c>
    </row>
    <row r="1597" spans="1:10" x14ac:dyDescent="0.25">
      <c r="A1597">
        <v>11621193</v>
      </c>
      <c r="B1597" s="1">
        <v>45728.428055555552</v>
      </c>
      <c r="C1597" t="s">
        <v>0</v>
      </c>
      <c r="D1597" t="str">
        <f>VLOOKUP(A1597,MERCADO!A:B,2,0)</f>
        <v>Empreendedor</v>
      </c>
      <c r="E1597" t="str">
        <f>_xlfn.XLOOKUP(A1597, ORIGEM!A:A, ORIGEM!B:B)</f>
        <v>Google</v>
      </c>
      <c r="F1597" t="str">
        <f>_xlfn.XLOOKUP(A1597, ORIGEM!A:A, ORIGEM!C:C)</f>
        <v>google - cpc</v>
      </c>
      <c r="G1597" t="str">
        <f>_xlfn.XLOOKUP(A1597, LOCAL!A:A, LOCAL!B:B)</f>
        <v>Luisburgo - MG</v>
      </c>
      <c r="H1597" t="str">
        <f>_xlfn.XLOOKUP(A1597, PORTE!A:A, PORTE!B:B)</f>
        <v>0</v>
      </c>
      <c r="I1597" t="str">
        <f>_xlfn.XLOOKUP(A1597, OBJETIVO!A:A, OBJETIVO!B:B)</f>
        <v>Abertura/Expansão</v>
      </c>
      <c r="J1597">
        <f t="shared" si="24"/>
        <v>0</v>
      </c>
    </row>
    <row r="1598" spans="1:10" x14ac:dyDescent="0.25">
      <c r="A1598">
        <v>11622531</v>
      </c>
      <c r="B1598" s="1">
        <v>45728.464432870373</v>
      </c>
      <c r="C1598" t="s">
        <v>0</v>
      </c>
      <c r="D1598" t="str">
        <f>VLOOKUP(A1598,MERCADO!A:B,2,0)</f>
        <v>Empreendedor</v>
      </c>
      <c r="E1598" t="str">
        <f>_xlfn.XLOOKUP(A1598, ORIGEM!A:A, ORIGEM!B:B)</f>
        <v>Google</v>
      </c>
      <c r="F1598" t="str">
        <f>_xlfn.XLOOKUP(A1598, ORIGEM!A:A, ORIGEM!C:C)</f>
        <v>google - cpc</v>
      </c>
      <c r="G1598" t="str">
        <f>_xlfn.XLOOKUP(A1598, LOCAL!A:A, LOCAL!B:B)</f>
        <v>Maceió - AL</v>
      </c>
      <c r="H1598" t="str">
        <f>_xlfn.XLOOKUP(A1598, PORTE!A:A, PORTE!B:B)</f>
        <v>0</v>
      </c>
      <c r="I1598" t="str">
        <f>_xlfn.XLOOKUP(A1598, OBJETIVO!A:A, OBJETIVO!B:B)</f>
        <v>Consultoria</v>
      </c>
      <c r="J1598">
        <f t="shared" si="24"/>
        <v>0</v>
      </c>
    </row>
    <row r="1599" spans="1:10" x14ac:dyDescent="0.25">
      <c r="A1599">
        <v>11612211</v>
      </c>
      <c r="B1599" s="1">
        <v>45727.547488425924</v>
      </c>
      <c r="C1599" t="s">
        <v>0</v>
      </c>
      <c r="D1599" t="str">
        <f>VLOOKUP(A1599,MERCADO!A:B,2,0)</f>
        <v>Empreendedor</v>
      </c>
      <c r="E1599" t="str">
        <f>_xlfn.XLOOKUP(A1599, ORIGEM!A:A, ORIGEM!B:B)</f>
        <v>Google</v>
      </c>
      <c r="F1599" t="str">
        <f>_xlfn.XLOOKUP(A1599, ORIGEM!A:A, ORIGEM!C:C)</f>
        <v>google - cpc</v>
      </c>
      <c r="G1599" t="str">
        <f>_xlfn.XLOOKUP(A1599, LOCAL!A:A, LOCAL!B:B)</f>
        <v>Jaboatao dos Guararapes - PE</v>
      </c>
      <c r="H1599" t="str">
        <f>_xlfn.XLOOKUP(A1599, PORTE!A:A, PORTE!B:B)</f>
        <v>0</v>
      </c>
      <c r="I1599" t="str">
        <f>_xlfn.XLOOKUP(A1599, OBJETIVO!A:A, OBJETIVO!B:B)</f>
        <v>Abertura/Expansão</v>
      </c>
      <c r="J1599">
        <f t="shared" si="24"/>
        <v>0</v>
      </c>
    </row>
    <row r="1600" spans="1:10" x14ac:dyDescent="0.25">
      <c r="A1600">
        <v>11601342</v>
      </c>
      <c r="B1600" s="1">
        <v>45726.60429398148</v>
      </c>
      <c r="C1600" t="s">
        <v>0</v>
      </c>
      <c r="D1600" t="str">
        <f>VLOOKUP(A1600,MERCADO!A:B,2,0)</f>
        <v>Empreendedor</v>
      </c>
      <c r="E1600" t="str">
        <f>_xlfn.XLOOKUP(A1600, ORIGEM!A:A, ORIGEM!B:B)</f>
        <v>Google</v>
      </c>
      <c r="F1600" t="str">
        <f>_xlfn.XLOOKUP(A1600, ORIGEM!A:A, ORIGEM!C:C)</f>
        <v>google - cpc</v>
      </c>
      <c r="G1600" t="str">
        <f>_xlfn.XLOOKUP(A1600, LOCAL!A:A, LOCAL!B:B)</f>
        <v>Belo Horizonte - MG</v>
      </c>
      <c r="H1600" t="str">
        <f>_xlfn.XLOOKUP(A1600, PORTE!A:A, PORTE!B:B)</f>
        <v>0</v>
      </c>
      <c r="I1600" t="str">
        <f>_xlfn.XLOOKUP(A1600, OBJETIVO!A:A, OBJETIVO!B:B)</f>
        <v>Outro</v>
      </c>
      <c r="J1600">
        <f t="shared" si="24"/>
        <v>0</v>
      </c>
    </row>
    <row r="1601" spans="1:10" x14ac:dyDescent="0.25">
      <c r="A1601">
        <v>11604471</v>
      </c>
      <c r="B1601" s="1">
        <v>45726.713761574072</v>
      </c>
      <c r="C1601" t="s">
        <v>0</v>
      </c>
      <c r="D1601" t="str">
        <f>VLOOKUP(A1601,MERCADO!A:B,2,0)</f>
        <v>Empreendedor</v>
      </c>
      <c r="E1601" t="str">
        <f>_xlfn.XLOOKUP(A1601, ORIGEM!A:A, ORIGEM!B:B)</f>
        <v>Google</v>
      </c>
      <c r="F1601" t="str">
        <f>_xlfn.XLOOKUP(A1601, ORIGEM!A:A, ORIGEM!C:C)</f>
        <v>google - cpc</v>
      </c>
      <c r="G1601" t="str">
        <f>_xlfn.XLOOKUP(A1601, LOCAL!A:A, LOCAL!B:B)</f>
        <v>Jaraguá do Sul - SC</v>
      </c>
      <c r="H1601" t="str">
        <f>_xlfn.XLOOKUP(A1601, PORTE!A:A, PORTE!B:B)</f>
        <v>0</v>
      </c>
      <c r="I1601" t="str">
        <f>_xlfn.XLOOKUP(A1601, OBJETIVO!A:A, OBJETIVO!B:B)</f>
        <v>Abertura/Expansão</v>
      </c>
      <c r="J1601">
        <f t="shared" si="24"/>
        <v>0</v>
      </c>
    </row>
    <row r="1602" spans="1:10" x14ac:dyDescent="0.25">
      <c r="A1602">
        <v>11609072</v>
      </c>
      <c r="B1602" s="1">
        <v>45727.404872685183</v>
      </c>
      <c r="C1602" t="s">
        <v>0</v>
      </c>
      <c r="D1602" t="str">
        <f>VLOOKUP(A1602,MERCADO!A:B,2,0)</f>
        <v>Empreendedor</v>
      </c>
      <c r="E1602" t="str">
        <f>_xlfn.XLOOKUP(A1602, ORIGEM!A:A, ORIGEM!B:B)</f>
        <v>Google</v>
      </c>
      <c r="F1602" t="str">
        <f>_xlfn.XLOOKUP(A1602, ORIGEM!A:A, ORIGEM!C:C)</f>
        <v>google - cpc</v>
      </c>
      <c r="G1602" t="str">
        <f>_xlfn.XLOOKUP(A1602, LOCAL!A:A, LOCAL!B:B)</f>
        <v>Para de Minas - MG</v>
      </c>
      <c r="H1602" t="str">
        <f>_xlfn.XLOOKUP(A1602, PORTE!A:A, PORTE!B:B)</f>
        <v>0</v>
      </c>
      <c r="I1602" t="str">
        <f>_xlfn.XLOOKUP(A1602, OBJETIVO!A:A, OBJETIVO!B:B)</f>
        <v>Planejamento estratégico</v>
      </c>
      <c r="J1602">
        <f t="shared" si="24"/>
        <v>0</v>
      </c>
    </row>
    <row r="1603" spans="1:10" x14ac:dyDescent="0.25">
      <c r="A1603">
        <v>11631802</v>
      </c>
      <c r="B1603" s="1">
        <v>45729.537268518521</v>
      </c>
      <c r="C1603" t="s">
        <v>0</v>
      </c>
      <c r="D1603" t="str">
        <f>VLOOKUP(A1603,MERCADO!A:B,2,0)</f>
        <v>Empreendedor</v>
      </c>
      <c r="E1603" t="str">
        <f>_xlfn.XLOOKUP(A1603, ORIGEM!A:A, ORIGEM!B:B)</f>
        <v>Google</v>
      </c>
      <c r="F1603" t="str">
        <f>_xlfn.XLOOKUP(A1603, ORIGEM!A:A, ORIGEM!C:C)</f>
        <v>google - cpc</v>
      </c>
      <c r="G1603" t="str">
        <f>_xlfn.XLOOKUP(A1603, LOCAL!A:A, LOCAL!B:B)</f>
        <v>Nova Iguaçu - RJ</v>
      </c>
      <c r="H1603" t="str">
        <f>_xlfn.XLOOKUP(A1603, PORTE!A:A, PORTE!B:B)</f>
        <v>1-10</v>
      </c>
      <c r="I1603" t="str">
        <f>_xlfn.XLOOKUP(A1603, OBJETIVO!A:A, OBJETIVO!B:B)</f>
        <v>Abertura/Expansão</v>
      </c>
      <c r="J1603">
        <f t="shared" ref="J1603:J1666" si="25">IF(C1603="SIM",1,0)</f>
        <v>0</v>
      </c>
    </row>
    <row r="1604" spans="1:10" x14ac:dyDescent="0.25">
      <c r="A1604">
        <v>11632799</v>
      </c>
      <c r="B1604" s="1">
        <v>45729.816041666665</v>
      </c>
      <c r="C1604" t="s">
        <v>0</v>
      </c>
      <c r="D1604" t="str">
        <f>VLOOKUP(A1604,MERCADO!A:B,2,0)</f>
        <v>Empreendedor</v>
      </c>
      <c r="E1604" t="str">
        <f>_xlfn.XLOOKUP(A1604, ORIGEM!A:A, ORIGEM!B:B)</f>
        <v>Google</v>
      </c>
      <c r="F1604" t="str">
        <f>_xlfn.XLOOKUP(A1604, ORIGEM!A:A, ORIGEM!C:C)</f>
        <v>google - cpc</v>
      </c>
      <c r="G1604" t="str">
        <f>_xlfn.XLOOKUP(A1604, LOCAL!A:A, LOCAL!B:B)</f>
        <v>São Paulo - SP</v>
      </c>
      <c r="H1604" t="str">
        <f>_xlfn.XLOOKUP(A1604, PORTE!A:A, PORTE!B:B)</f>
        <v>0</v>
      </c>
      <c r="I1604" t="str">
        <f>_xlfn.XLOOKUP(A1604, OBJETIVO!A:A, OBJETIVO!B:B)</f>
        <v>Consultoria</v>
      </c>
      <c r="J1604">
        <f t="shared" si="25"/>
        <v>0</v>
      </c>
    </row>
    <row r="1605" spans="1:10" x14ac:dyDescent="0.25">
      <c r="A1605">
        <v>11632836</v>
      </c>
      <c r="B1605" s="1">
        <v>45729.8281712963</v>
      </c>
      <c r="C1605" t="s">
        <v>0</v>
      </c>
      <c r="D1605" t="str">
        <f>VLOOKUP(A1605,MERCADO!A:B,2,0)</f>
        <v>Empreendedor</v>
      </c>
      <c r="E1605" t="str">
        <f>_xlfn.XLOOKUP(A1605, ORIGEM!A:A, ORIGEM!B:B)</f>
        <v>Google</v>
      </c>
      <c r="F1605" t="str">
        <f>_xlfn.XLOOKUP(A1605, ORIGEM!A:A, ORIGEM!C:C)</f>
        <v>google - cpc</v>
      </c>
      <c r="G1605" t="str">
        <f>_xlfn.XLOOKUP(A1605, LOCAL!A:A, LOCAL!B:B)</f>
        <v>São Paulo - SP</v>
      </c>
      <c r="H1605" t="str">
        <f>_xlfn.XLOOKUP(A1605, PORTE!A:A, PORTE!B:B)</f>
        <v>0</v>
      </c>
      <c r="I1605" t="str">
        <f>_xlfn.XLOOKUP(A1605, OBJETIVO!A:A, OBJETIVO!B:B)</f>
        <v>Abertura/Expansão</v>
      </c>
      <c r="J1605">
        <f t="shared" si="25"/>
        <v>0</v>
      </c>
    </row>
    <row r="1606" spans="1:10" x14ac:dyDescent="0.25">
      <c r="A1606">
        <v>11634514</v>
      </c>
      <c r="B1606" s="1">
        <v>45730.557951388888</v>
      </c>
      <c r="C1606" t="s">
        <v>0</v>
      </c>
      <c r="D1606" t="str">
        <f>VLOOKUP(A1606,MERCADO!A:B,2,0)</f>
        <v>Empreendedor</v>
      </c>
      <c r="E1606" t="str">
        <f>_xlfn.XLOOKUP(A1606, ORIGEM!A:A, ORIGEM!B:B)</f>
        <v>Google</v>
      </c>
      <c r="F1606" t="str">
        <f>_xlfn.XLOOKUP(A1606, ORIGEM!A:A, ORIGEM!C:C)</f>
        <v>google - cpc</v>
      </c>
      <c r="G1606" t="str">
        <f>_xlfn.XLOOKUP(A1606, LOCAL!A:A, LOCAL!B:B)</f>
        <v>Gravatá - PE</v>
      </c>
      <c r="H1606" t="str">
        <f>_xlfn.XLOOKUP(A1606, PORTE!A:A, PORTE!B:B)</f>
        <v>1-10</v>
      </c>
      <c r="I1606" t="str">
        <f>_xlfn.XLOOKUP(A1606, OBJETIVO!A:A, OBJETIVO!B:B)</f>
        <v>Planejamento estratégico</v>
      </c>
      <c r="J1606">
        <f t="shared" si="25"/>
        <v>0</v>
      </c>
    </row>
    <row r="1607" spans="1:10" x14ac:dyDescent="0.25">
      <c r="A1607">
        <v>11629601</v>
      </c>
      <c r="B1607" s="1">
        <v>45728.754490740743</v>
      </c>
      <c r="C1607" t="s">
        <v>0</v>
      </c>
      <c r="D1607" t="str">
        <f>VLOOKUP(A1607,MERCADO!A:B,2,0)</f>
        <v>Empreendedor</v>
      </c>
      <c r="E1607" t="str">
        <f>_xlfn.XLOOKUP(A1607, ORIGEM!A:A, ORIGEM!B:B)</f>
        <v>Google</v>
      </c>
      <c r="F1607" t="str">
        <f>_xlfn.XLOOKUP(A1607, ORIGEM!A:A, ORIGEM!C:C)</f>
        <v>google - cpc</v>
      </c>
      <c r="G1607" t="str">
        <f>_xlfn.XLOOKUP(A1607, LOCAL!A:A, LOCAL!B:B)</f>
        <v>Curitiba - PR</v>
      </c>
      <c r="H1607" t="str">
        <f>_xlfn.XLOOKUP(A1607, PORTE!A:A, PORTE!B:B)</f>
        <v>1-10</v>
      </c>
      <c r="I1607" t="str">
        <f>_xlfn.XLOOKUP(A1607, OBJETIVO!A:A, OBJETIVO!B:B)</f>
        <v>Abertura/Expansão</v>
      </c>
      <c r="J1607">
        <f t="shared" si="25"/>
        <v>0</v>
      </c>
    </row>
    <row r="1608" spans="1:10" x14ac:dyDescent="0.25">
      <c r="A1608">
        <v>11718354</v>
      </c>
      <c r="B1608" s="1">
        <v>45738.562928240739</v>
      </c>
      <c r="C1608" t="s">
        <v>0</v>
      </c>
      <c r="D1608" t="str">
        <f>VLOOKUP(A1608,MERCADO!A:B,2,0)</f>
        <v>Empreendedor</v>
      </c>
      <c r="E1608" t="str">
        <f>_xlfn.XLOOKUP(A1608, ORIGEM!A:A, ORIGEM!B:B)</f>
        <v>Google</v>
      </c>
      <c r="F1608" t="str">
        <f>_xlfn.XLOOKUP(A1608, ORIGEM!A:A, ORIGEM!C:C)</f>
        <v>google - cpc</v>
      </c>
      <c r="G1608" t="str">
        <f>_xlfn.XLOOKUP(A1608, LOCAL!A:A, LOCAL!B:B)</f>
        <v>Guarulhos - SP</v>
      </c>
      <c r="H1608" t="str">
        <f>_xlfn.XLOOKUP(A1608, PORTE!A:A, PORTE!B:B)</f>
        <v>0</v>
      </c>
      <c r="I1608" t="str">
        <f>_xlfn.XLOOKUP(A1608, OBJETIVO!A:A, OBJETIVO!B:B)</f>
        <v>Abertura/Expansão</v>
      </c>
      <c r="J1608">
        <f t="shared" si="25"/>
        <v>0</v>
      </c>
    </row>
    <row r="1609" spans="1:10" x14ac:dyDescent="0.25">
      <c r="A1609">
        <v>11668066</v>
      </c>
      <c r="B1609" s="1">
        <v>45733.431307870371</v>
      </c>
      <c r="C1609" t="s">
        <v>0</v>
      </c>
      <c r="D1609" t="str">
        <f>VLOOKUP(A1609,MERCADO!A:B,2,0)</f>
        <v>Empreendedor</v>
      </c>
      <c r="E1609" t="str">
        <f>_xlfn.XLOOKUP(A1609, ORIGEM!A:A, ORIGEM!B:B)</f>
        <v>Google</v>
      </c>
      <c r="F1609" t="str">
        <f>_xlfn.XLOOKUP(A1609, ORIGEM!A:A, ORIGEM!C:C)</f>
        <v>google - cpc</v>
      </c>
      <c r="G1609" t="str">
        <f>_xlfn.XLOOKUP(A1609, LOCAL!A:A, LOCAL!B:B)</f>
        <v>Taubate - SP</v>
      </c>
      <c r="H1609" t="str">
        <f>_xlfn.XLOOKUP(A1609, PORTE!A:A, PORTE!B:B)</f>
        <v>11-50</v>
      </c>
      <c r="I1609" t="str">
        <f>_xlfn.XLOOKUP(A1609, OBJETIVO!A:A, OBJETIVO!B:B)</f>
        <v>Consultoria</v>
      </c>
      <c r="J1609">
        <f t="shared" si="25"/>
        <v>0</v>
      </c>
    </row>
    <row r="1610" spans="1:10" x14ac:dyDescent="0.25">
      <c r="A1610">
        <v>11669920</v>
      </c>
      <c r="B1610" s="1">
        <v>45733.481793981482</v>
      </c>
      <c r="C1610" t="s">
        <v>0</v>
      </c>
      <c r="D1610" t="str">
        <f>VLOOKUP(A1610,MERCADO!A:B,2,0)</f>
        <v>Empreendedor</v>
      </c>
      <c r="E1610" t="str">
        <f>_xlfn.XLOOKUP(A1610, ORIGEM!A:A, ORIGEM!B:B)</f>
        <v>Google</v>
      </c>
      <c r="F1610" t="str">
        <f>_xlfn.XLOOKUP(A1610, ORIGEM!A:A, ORIGEM!C:C)</f>
        <v>google - cpc</v>
      </c>
      <c r="G1610" t="str">
        <f>_xlfn.XLOOKUP(A1610, LOCAL!A:A, LOCAL!B:B)</f>
        <v>Recife - PE</v>
      </c>
      <c r="H1610" t="str">
        <f>_xlfn.XLOOKUP(A1610, PORTE!A:A, PORTE!B:B)</f>
        <v>1-10</v>
      </c>
      <c r="I1610" t="str">
        <f>_xlfn.XLOOKUP(A1610, OBJETIVO!A:A, OBJETIVO!B:B)</f>
        <v>Abertura/Expansão</v>
      </c>
      <c r="J1610">
        <f t="shared" si="25"/>
        <v>0</v>
      </c>
    </row>
    <row r="1611" spans="1:10" x14ac:dyDescent="0.25">
      <c r="A1611">
        <v>11670354</v>
      </c>
      <c r="B1611" s="1">
        <v>45733.505162037036</v>
      </c>
      <c r="C1611" t="s">
        <v>0</v>
      </c>
      <c r="D1611" t="str">
        <f>VLOOKUP(A1611,MERCADO!A:B,2,0)</f>
        <v>Empreendedor</v>
      </c>
      <c r="E1611" t="str">
        <f>_xlfn.XLOOKUP(A1611, ORIGEM!A:A, ORIGEM!B:B)</f>
        <v>Google</v>
      </c>
      <c r="F1611" t="str">
        <f>_xlfn.XLOOKUP(A1611, ORIGEM!A:A, ORIGEM!C:C)</f>
        <v>google - cpc</v>
      </c>
      <c r="G1611" t="str">
        <f>_xlfn.XLOOKUP(A1611, LOCAL!A:A, LOCAL!B:B)</f>
        <v>Nova Santa Rita - RS</v>
      </c>
      <c r="H1611" t="str">
        <f>_xlfn.XLOOKUP(A1611, PORTE!A:A, PORTE!B:B)</f>
        <v>1-10</v>
      </c>
      <c r="I1611" t="str">
        <f>_xlfn.XLOOKUP(A1611, OBJETIVO!A:A, OBJETIVO!B:B)</f>
        <v>Planejamento estratégico</v>
      </c>
      <c r="J1611">
        <f t="shared" si="25"/>
        <v>0</v>
      </c>
    </row>
    <row r="1612" spans="1:10" x14ac:dyDescent="0.25">
      <c r="A1612">
        <v>11664229</v>
      </c>
      <c r="B1612" s="1">
        <v>45732.838287037041</v>
      </c>
      <c r="C1612" t="s">
        <v>0</v>
      </c>
      <c r="D1612" t="str">
        <f>VLOOKUP(A1612,MERCADO!A:B,2,0)</f>
        <v>Empreendedor</v>
      </c>
      <c r="E1612" t="str">
        <f>_xlfn.XLOOKUP(A1612, ORIGEM!A:A, ORIGEM!B:B)</f>
        <v>Google</v>
      </c>
      <c r="F1612" t="str">
        <f>_xlfn.XLOOKUP(A1612, ORIGEM!A:A, ORIGEM!C:C)</f>
        <v>google - cpc</v>
      </c>
      <c r="G1612" t="str">
        <f>_xlfn.XLOOKUP(A1612, LOCAL!A:A, LOCAL!B:B)</f>
        <v>São Paulo - SP</v>
      </c>
      <c r="H1612" t="str">
        <f>_xlfn.XLOOKUP(A1612, PORTE!A:A, PORTE!B:B)</f>
        <v>1-10</v>
      </c>
      <c r="I1612" t="str">
        <f>_xlfn.XLOOKUP(A1612, OBJETIVO!A:A, OBJETIVO!B:B)</f>
        <v>Abertura/Expansão</v>
      </c>
      <c r="J1612">
        <f t="shared" si="25"/>
        <v>0</v>
      </c>
    </row>
    <row r="1613" spans="1:10" x14ac:dyDescent="0.25">
      <c r="A1613">
        <v>11256419</v>
      </c>
      <c r="B1613" s="1">
        <v>45693.391585648147</v>
      </c>
      <c r="C1613" t="s">
        <v>0</v>
      </c>
      <c r="D1613" t="str">
        <f>VLOOKUP(A1613,MERCADO!A:B,2,0)</f>
        <v>Empreendedor</v>
      </c>
      <c r="E1613" t="str">
        <f>_xlfn.XLOOKUP(A1613, ORIGEM!A:A, ORIGEM!B:B)</f>
        <v>Linkedin</v>
      </c>
      <c r="F1613" t="str">
        <f>_xlfn.XLOOKUP(A1613, ORIGEM!A:A, ORIGEM!C:C)</f>
        <v>linkedin - cpc</v>
      </c>
      <c r="G1613" t="str">
        <f>_xlfn.XLOOKUP(A1613, LOCAL!A:A, LOCAL!B:B)</f>
        <v>São Paulo - SP</v>
      </c>
      <c r="H1613" t="str">
        <f>_xlfn.XLOOKUP(A1613, PORTE!A:A, PORTE!B:B)</f>
        <v>0</v>
      </c>
      <c r="I1613" t="str">
        <f>_xlfn.XLOOKUP(A1613, OBJETIVO!A:A, OBJETIVO!B:B)</f>
        <v>Planejamento estratégico</v>
      </c>
      <c r="J1613">
        <f t="shared" si="25"/>
        <v>0</v>
      </c>
    </row>
    <row r="1614" spans="1:10" x14ac:dyDescent="0.25">
      <c r="A1614">
        <v>11348055</v>
      </c>
      <c r="B1614" s="1">
        <v>45702.898090277777</v>
      </c>
      <c r="C1614" t="s">
        <v>0</v>
      </c>
      <c r="D1614" t="str">
        <f>VLOOKUP(A1614,MERCADO!A:B,2,0)</f>
        <v>Empreendedor</v>
      </c>
      <c r="E1614" t="str">
        <f>_xlfn.XLOOKUP(A1614, ORIGEM!A:A, ORIGEM!B:B)</f>
        <v>Instagram</v>
      </c>
      <c r="F1614" t="str">
        <f>_xlfn.XLOOKUP(A1614, ORIGEM!A:A, ORIGEM!C:C)</f>
        <v>instagram - social</v>
      </c>
      <c r="G1614" t="str">
        <f>_xlfn.XLOOKUP(A1614, LOCAL!A:A, LOCAL!B:B)</f>
        <v>Apodi - RN</v>
      </c>
      <c r="H1614" t="str">
        <f>_xlfn.XLOOKUP(A1614, PORTE!A:A, PORTE!B:B)</f>
        <v>0</v>
      </c>
      <c r="I1614" t="str">
        <f>_xlfn.XLOOKUP(A1614, OBJETIVO!A:A, OBJETIVO!B:B)</f>
        <v>Abertura/Expansão</v>
      </c>
      <c r="J1614">
        <f t="shared" si="25"/>
        <v>0</v>
      </c>
    </row>
    <row r="1615" spans="1:10" x14ac:dyDescent="0.25">
      <c r="A1615">
        <v>11348066</v>
      </c>
      <c r="B1615" s="1">
        <v>45702.902557870373</v>
      </c>
      <c r="C1615" t="s">
        <v>0</v>
      </c>
      <c r="D1615" t="str">
        <f>VLOOKUP(A1615,MERCADO!A:B,2,0)</f>
        <v>Empreendedor</v>
      </c>
      <c r="E1615" t="str">
        <f>_xlfn.XLOOKUP(A1615, ORIGEM!A:A, ORIGEM!B:B)</f>
        <v>Instagram</v>
      </c>
      <c r="F1615" t="str">
        <f>_xlfn.XLOOKUP(A1615, ORIGEM!A:A, ORIGEM!C:C)</f>
        <v>instagram - social</v>
      </c>
      <c r="G1615" t="str">
        <f>_xlfn.XLOOKUP(A1615, LOCAL!A:A, LOCAL!B:B)</f>
        <v>Fortaleza - CE</v>
      </c>
      <c r="H1615" t="str">
        <f>_xlfn.XLOOKUP(A1615, PORTE!A:A, PORTE!B:B)</f>
        <v>0</v>
      </c>
      <c r="I1615" t="str">
        <f>_xlfn.XLOOKUP(A1615, OBJETIVO!A:A, OBJETIVO!B:B)</f>
        <v>Abertura/Expansão</v>
      </c>
      <c r="J1615">
        <f t="shared" si="25"/>
        <v>0</v>
      </c>
    </row>
    <row r="1616" spans="1:10" x14ac:dyDescent="0.25">
      <c r="A1616">
        <v>11348071</v>
      </c>
      <c r="B1616" s="1">
        <v>45702.903715277775</v>
      </c>
      <c r="C1616" t="s">
        <v>0</v>
      </c>
      <c r="D1616" t="str">
        <f>VLOOKUP(A1616,MERCADO!A:B,2,0)</f>
        <v>Empreendedor</v>
      </c>
      <c r="E1616" t="str">
        <f>_xlfn.XLOOKUP(A1616, ORIGEM!A:A, ORIGEM!B:B)</f>
        <v>Instagram</v>
      </c>
      <c r="F1616" t="str">
        <f>_xlfn.XLOOKUP(A1616, ORIGEM!A:A, ORIGEM!C:C)</f>
        <v>instagram - social</v>
      </c>
      <c r="G1616" t="str">
        <f>_xlfn.XLOOKUP(A1616, LOCAL!A:A, LOCAL!B:B)</f>
        <v>Macapá - AP</v>
      </c>
      <c r="H1616" t="str">
        <f>_xlfn.XLOOKUP(A1616, PORTE!A:A, PORTE!B:B)</f>
        <v>0</v>
      </c>
      <c r="I1616" t="str">
        <f>_xlfn.XLOOKUP(A1616, OBJETIVO!A:A, OBJETIVO!B:B)</f>
        <v>Abertura/Expansão</v>
      </c>
      <c r="J1616">
        <f t="shared" si="25"/>
        <v>0</v>
      </c>
    </row>
    <row r="1617" spans="1:10" x14ac:dyDescent="0.25">
      <c r="A1617">
        <v>11348115</v>
      </c>
      <c r="B1617" s="1">
        <v>45702.91851851852</v>
      </c>
      <c r="C1617" t="s">
        <v>0</v>
      </c>
      <c r="D1617" t="str">
        <f>VLOOKUP(A1617,MERCADO!A:B,2,0)</f>
        <v>Empreendedor</v>
      </c>
      <c r="E1617" t="str">
        <f>_xlfn.XLOOKUP(A1617, ORIGEM!A:A, ORIGEM!B:B)</f>
        <v>Instagram</v>
      </c>
      <c r="F1617" t="str">
        <f>_xlfn.XLOOKUP(A1617, ORIGEM!A:A, ORIGEM!C:C)</f>
        <v>instagram - social</v>
      </c>
      <c r="G1617" t="str">
        <f>_xlfn.XLOOKUP(A1617, LOCAL!A:A, LOCAL!B:B)</f>
        <v>São José dos Campos - SP</v>
      </c>
      <c r="H1617" t="str">
        <f>_xlfn.XLOOKUP(A1617, PORTE!A:A, PORTE!B:B)</f>
        <v>0</v>
      </c>
      <c r="I1617" t="str">
        <f>_xlfn.XLOOKUP(A1617, OBJETIVO!A:A, OBJETIVO!B:B)</f>
        <v>Outro</v>
      </c>
      <c r="J1617">
        <f t="shared" si="25"/>
        <v>0</v>
      </c>
    </row>
    <row r="1618" spans="1:10" x14ac:dyDescent="0.25">
      <c r="A1618">
        <v>11348193</v>
      </c>
      <c r="B1618" s="1">
        <v>45702.942106481481</v>
      </c>
      <c r="C1618" t="s">
        <v>0</v>
      </c>
      <c r="D1618" t="str">
        <f>VLOOKUP(A1618,MERCADO!A:B,2,0)</f>
        <v>Empreendedor</v>
      </c>
      <c r="E1618" t="str">
        <f>_xlfn.XLOOKUP(A1618, ORIGEM!A:A, ORIGEM!B:B)</f>
        <v>Instagram</v>
      </c>
      <c r="F1618" t="str">
        <f>_xlfn.XLOOKUP(A1618, ORIGEM!A:A, ORIGEM!C:C)</f>
        <v>instagram - social</v>
      </c>
      <c r="G1618" t="str">
        <f>_xlfn.XLOOKUP(A1618, LOCAL!A:A, LOCAL!B:B)</f>
        <v>Franca - SP</v>
      </c>
      <c r="H1618" t="str">
        <f>_xlfn.XLOOKUP(A1618, PORTE!A:A, PORTE!B:B)</f>
        <v>0</v>
      </c>
      <c r="I1618" t="str">
        <f>_xlfn.XLOOKUP(A1618, OBJETIVO!A:A, OBJETIVO!B:B)</f>
        <v>Abertura/Expansão</v>
      </c>
      <c r="J1618">
        <f t="shared" si="25"/>
        <v>0</v>
      </c>
    </row>
    <row r="1619" spans="1:10" x14ac:dyDescent="0.25">
      <c r="A1619">
        <v>11348291</v>
      </c>
      <c r="B1619" s="1">
        <v>45702.981909722221</v>
      </c>
      <c r="C1619" t="s">
        <v>0</v>
      </c>
      <c r="D1619" t="str">
        <f>VLOOKUP(A1619,MERCADO!A:B,2,0)</f>
        <v>Empreendedor</v>
      </c>
      <c r="E1619" t="str">
        <f>_xlfn.XLOOKUP(A1619, ORIGEM!A:A, ORIGEM!B:B)</f>
        <v>Instagram</v>
      </c>
      <c r="F1619" t="str">
        <f>_xlfn.XLOOKUP(A1619, ORIGEM!A:A, ORIGEM!C:C)</f>
        <v>instagram - social</v>
      </c>
      <c r="G1619" t="str">
        <f>_xlfn.XLOOKUP(A1619, LOCAL!A:A, LOCAL!B:B)</f>
        <v>Caucaia - CE</v>
      </c>
      <c r="H1619" t="str">
        <f>_xlfn.XLOOKUP(A1619, PORTE!A:A, PORTE!B:B)</f>
        <v>0</v>
      </c>
      <c r="I1619" t="str">
        <f>_xlfn.XLOOKUP(A1619, OBJETIVO!A:A, OBJETIVO!B:B)</f>
        <v>Ações de marketing/vendas</v>
      </c>
      <c r="J1619">
        <f t="shared" si="25"/>
        <v>0</v>
      </c>
    </row>
    <row r="1620" spans="1:10" x14ac:dyDescent="0.25">
      <c r="A1620">
        <v>11607995</v>
      </c>
      <c r="B1620" s="1">
        <v>45727.337731481479</v>
      </c>
      <c r="C1620" t="s">
        <v>0</v>
      </c>
      <c r="D1620" t="str">
        <f>VLOOKUP(A1620,MERCADO!A:B,2,0)</f>
        <v>Empreendedor</v>
      </c>
      <c r="E1620" t="str">
        <f>_xlfn.XLOOKUP(A1620, ORIGEM!A:A, ORIGEM!B:B)</f>
        <v>Bing</v>
      </c>
      <c r="F1620" t="str">
        <f>_xlfn.XLOOKUP(A1620, ORIGEM!A:A, ORIGEM!C:C)</f>
        <v>bing - cpc</v>
      </c>
      <c r="G1620" t="str">
        <f>_xlfn.XLOOKUP(A1620, LOCAL!A:A, LOCAL!B:B)</f>
        <v>Porto Alegre - RS</v>
      </c>
      <c r="H1620" t="str">
        <f>_xlfn.XLOOKUP(A1620, PORTE!A:A, PORTE!B:B)</f>
        <v>0</v>
      </c>
      <c r="I1620" t="str">
        <f>_xlfn.XLOOKUP(A1620, OBJETIVO!A:A, OBJETIVO!B:B)</f>
        <v>Abertura/Expansão</v>
      </c>
      <c r="J1620">
        <f t="shared" si="25"/>
        <v>0</v>
      </c>
    </row>
    <row r="1621" spans="1:10" x14ac:dyDescent="0.25">
      <c r="A1621">
        <v>11817966</v>
      </c>
      <c r="B1621" s="1">
        <v>45746.425150462965</v>
      </c>
      <c r="C1621" t="s">
        <v>0</v>
      </c>
      <c r="D1621" t="str">
        <f>VLOOKUP(A1621,MERCADO!A:B,2,0)</f>
        <v>Empreendedor</v>
      </c>
      <c r="E1621" t="str">
        <f>_xlfn.XLOOKUP(A1621, ORIGEM!A:A, ORIGEM!B:B)</f>
        <v>Bing</v>
      </c>
      <c r="F1621" t="str">
        <f>_xlfn.XLOOKUP(A1621, ORIGEM!A:A, ORIGEM!C:C)</f>
        <v>bing - cpc</v>
      </c>
      <c r="G1621" t="str">
        <f>_xlfn.XLOOKUP(A1621, LOCAL!A:A, LOCAL!B:B)</f>
        <v>São Paulo - SP</v>
      </c>
      <c r="H1621" t="str">
        <f>_xlfn.XLOOKUP(A1621, PORTE!A:A, PORTE!B:B)</f>
        <v>0</v>
      </c>
      <c r="I1621" t="str">
        <f>_xlfn.XLOOKUP(A1621, OBJETIVO!A:A, OBJETIVO!B:B)</f>
        <v>Abertura/Expansão</v>
      </c>
      <c r="J1621">
        <f t="shared" si="25"/>
        <v>0</v>
      </c>
    </row>
    <row r="1622" spans="1:10" x14ac:dyDescent="0.25">
      <c r="A1622">
        <v>11818002</v>
      </c>
      <c r="B1622" s="1">
        <v>45746.426828703705</v>
      </c>
      <c r="C1622" t="s">
        <v>0</v>
      </c>
      <c r="D1622" t="str">
        <f>VLOOKUP(A1622,MERCADO!A:B,2,0)</f>
        <v>Empreendedor</v>
      </c>
      <c r="E1622" t="str">
        <f>_xlfn.XLOOKUP(A1622, ORIGEM!A:A, ORIGEM!B:B)</f>
        <v>Bing</v>
      </c>
      <c r="F1622" t="str">
        <f>_xlfn.XLOOKUP(A1622, ORIGEM!A:A, ORIGEM!C:C)</f>
        <v>bing - cpc</v>
      </c>
      <c r="G1622" t="str">
        <f>_xlfn.XLOOKUP(A1622, LOCAL!A:A, LOCAL!B:B)</f>
        <v>São Paulo - SP</v>
      </c>
      <c r="H1622" t="str">
        <f>_xlfn.XLOOKUP(A1622, PORTE!A:A, PORTE!B:B)</f>
        <v>0</v>
      </c>
      <c r="I1622" t="str">
        <f>_xlfn.XLOOKUP(A1622, OBJETIVO!A:A, OBJETIVO!B:B)</f>
        <v>Abertura/Expansão</v>
      </c>
      <c r="J1622">
        <f t="shared" si="25"/>
        <v>0</v>
      </c>
    </row>
    <row r="1623" spans="1:10" x14ac:dyDescent="0.25">
      <c r="A1623">
        <v>11851375</v>
      </c>
      <c r="B1623" s="1">
        <v>45748.720138888886</v>
      </c>
      <c r="C1623" t="s">
        <v>0</v>
      </c>
      <c r="D1623" t="str">
        <f>VLOOKUP(A1623,MERCADO!A:B,2,0)</f>
        <v>Empreendedor</v>
      </c>
      <c r="E1623" t="str">
        <f>_xlfn.XLOOKUP(A1623, ORIGEM!A:A, ORIGEM!B:B)</f>
        <v>Bing</v>
      </c>
      <c r="F1623" t="str">
        <f>_xlfn.XLOOKUP(A1623, ORIGEM!A:A, ORIGEM!C:C)</f>
        <v>bing - cpc</v>
      </c>
      <c r="G1623" t="str">
        <f>_xlfn.XLOOKUP(A1623, LOCAL!A:A, LOCAL!B:B)</f>
        <v>São Paulo - SP</v>
      </c>
      <c r="H1623" t="str">
        <f>_xlfn.XLOOKUP(A1623, PORTE!A:A, PORTE!B:B)</f>
        <v>0</v>
      </c>
      <c r="I1623" t="str">
        <f>_xlfn.XLOOKUP(A1623, OBJETIVO!A:A, OBJETIVO!B:B)</f>
        <v>Consultoria</v>
      </c>
      <c r="J1623">
        <f t="shared" si="25"/>
        <v>0</v>
      </c>
    </row>
    <row r="1624" spans="1:10" x14ac:dyDescent="0.25">
      <c r="A1624">
        <v>11660141</v>
      </c>
      <c r="B1624" s="1">
        <v>45732.643657407411</v>
      </c>
      <c r="C1624" t="s">
        <v>0</v>
      </c>
      <c r="D1624" t="str">
        <f>VLOOKUP(A1624,MERCADO!A:B,2,0)</f>
        <v>Empreendedor</v>
      </c>
      <c r="E1624" t="str">
        <f>_xlfn.XLOOKUP(A1624, ORIGEM!A:A, ORIGEM!B:B)</f>
        <v>Bing</v>
      </c>
      <c r="F1624" t="str">
        <f>_xlfn.XLOOKUP(A1624, ORIGEM!A:A, ORIGEM!C:C)</f>
        <v>bing - cpc</v>
      </c>
      <c r="G1624" t="str">
        <f>_xlfn.XLOOKUP(A1624, LOCAL!A:A, LOCAL!B:B)</f>
        <v>Vitória - ES</v>
      </c>
      <c r="H1624" t="str">
        <f>_xlfn.XLOOKUP(A1624, PORTE!A:A, PORTE!B:B)</f>
        <v>0</v>
      </c>
      <c r="I1624" t="str">
        <f>_xlfn.XLOOKUP(A1624, OBJETIVO!A:A, OBJETIVO!B:B)</f>
        <v>Outro</v>
      </c>
      <c r="J1624">
        <f t="shared" si="25"/>
        <v>0</v>
      </c>
    </row>
    <row r="1625" spans="1:10" x14ac:dyDescent="0.25">
      <c r="A1625">
        <v>11543436</v>
      </c>
      <c r="B1625" s="1">
        <v>45720.911828703705</v>
      </c>
      <c r="C1625" t="s">
        <v>0</v>
      </c>
      <c r="D1625" t="str">
        <f>VLOOKUP(A1625,MERCADO!A:B,2,0)</f>
        <v>Empreendedor</v>
      </c>
      <c r="E1625" t="str">
        <f>_xlfn.XLOOKUP(A1625, ORIGEM!A:A, ORIGEM!B:B)</f>
        <v>Bing</v>
      </c>
      <c r="F1625" t="str">
        <f>_xlfn.XLOOKUP(A1625, ORIGEM!A:A, ORIGEM!C:C)</f>
        <v>bing - cpc</v>
      </c>
      <c r="G1625" t="str">
        <f>_xlfn.XLOOKUP(A1625, LOCAL!A:A, LOCAL!B:B)</f>
        <v>Simoes Filho - BA</v>
      </c>
      <c r="H1625" t="str">
        <f>_xlfn.XLOOKUP(A1625, PORTE!A:A, PORTE!B:B)</f>
        <v>0</v>
      </c>
      <c r="I1625" t="str">
        <f>_xlfn.XLOOKUP(A1625, OBJETIVO!A:A, OBJETIVO!B:B)</f>
        <v>Abertura/Expansão</v>
      </c>
      <c r="J1625">
        <f t="shared" si="25"/>
        <v>0</v>
      </c>
    </row>
    <row r="1626" spans="1:10" x14ac:dyDescent="0.25">
      <c r="A1626">
        <v>11407860</v>
      </c>
      <c r="B1626" s="1">
        <v>45708.737187500003</v>
      </c>
      <c r="C1626" t="s">
        <v>0</v>
      </c>
      <c r="D1626" t="str">
        <f>VLOOKUP(A1626,MERCADO!A:B,2,0)</f>
        <v>Empreendedor</v>
      </c>
      <c r="E1626" t="str">
        <f>_xlfn.XLOOKUP(A1626, ORIGEM!A:A, ORIGEM!B:B)</f>
        <v>Bing</v>
      </c>
      <c r="F1626" t="str">
        <f>_xlfn.XLOOKUP(A1626, ORIGEM!A:A, ORIGEM!C:C)</f>
        <v>bing - cpc</v>
      </c>
      <c r="G1626" t="str">
        <f>_xlfn.XLOOKUP(A1626, LOCAL!A:A, LOCAL!B:B)</f>
        <v>Rio de Janeiro - RJ</v>
      </c>
      <c r="H1626" t="str">
        <f>_xlfn.XLOOKUP(A1626, PORTE!A:A, PORTE!B:B)</f>
        <v>1-10</v>
      </c>
      <c r="I1626" t="str">
        <f>_xlfn.XLOOKUP(A1626, OBJETIVO!A:A, OBJETIVO!B:B)</f>
        <v>Abertura/Expansão</v>
      </c>
      <c r="J1626">
        <f t="shared" si="25"/>
        <v>0</v>
      </c>
    </row>
    <row r="1627" spans="1:10" x14ac:dyDescent="0.25">
      <c r="A1627">
        <v>11465990</v>
      </c>
      <c r="B1627" s="1">
        <v>45713.703981481478</v>
      </c>
      <c r="C1627" t="s">
        <v>0</v>
      </c>
      <c r="D1627" t="str">
        <f>VLOOKUP(A1627,MERCADO!A:B,2,0)</f>
        <v>Empreendedor</v>
      </c>
      <c r="E1627" t="str">
        <f>_xlfn.XLOOKUP(A1627, ORIGEM!A:A, ORIGEM!B:B)</f>
        <v>Bing</v>
      </c>
      <c r="F1627" t="str">
        <f>_xlfn.XLOOKUP(A1627, ORIGEM!A:A, ORIGEM!C:C)</f>
        <v>bing - cpc</v>
      </c>
      <c r="G1627" t="str">
        <f>_xlfn.XLOOKUP(A1627, LOCAL!A:A, LOCAL!B:B)</f>
        <v>Capao da Canoa - RS</v>
      </c>
      <c r="H1627" t="str">
        <f>_xlfn.XLOOKUP(A1627, PORTE!A:A, PORTE!B:B)</f>
        <v>0</v>
      </c>
      <c r="I1627" t="str">
        <f>_xlfn.XLOOKUP(A1627, OBJETIVO!A:A, OBJETIVO!B:B)</f>
        <v>Planejamento estratégico</v>
      </c>
      <c r="J1627">
        <f t="shared" si="25"/>
        <v>0</v>
      </c>
    </row>
    <row r="1628" spans="1:10" x14ac:dyDescent="0.25">
      <c r="A1628">
        <v>11345590</v>
      </c>
      <c r="B1628" s="1">
        <v>45701.782766203702</v>
      </c>
      <c r="C1628" t="s">
        <v>0</v>
      </c>
      <c r="D1628" t="str">
        <f>VLOOKUP(A1628,MERCADO!A:B,2,0)</f>
        <v>Empreendedor</v>
      </c>
      <c r="E1628" t="str">
        <f>_xlfn.XLOOKUP(A1628, ORIGEM!A:A, ORIGEM!B:B)</f>
        <v>Bing</v>
      </c>
      <c r="F1628" t="str">
        <f>_xlfn.XLOOKUP(A1628, ORIGEM!A:A, ORIGEM!C:C)</f>
        <v>bing - cpc</v>
      </c>
      <c r="G1628" t="str">
        <f>_xlfn.XLOOKUP(A1628, LOCAL!A:A, LOCAL!B:B)</f>
        <v>Cotia - SP</v>
      </c>
      <c r="H1628" t="str">
        <f>_xlfn.XLOOKUP(A1628, PORTE!A:A, PORTE!B:B)</f>
        <v>0</v>
      </c>
      <c r="I1628" t="str">
        <f>_xlfn.XLOOKUP(A1628, OBJETIVO!A:A, OBJETIVO!B:B)</f>
        <v>Abertura/Expansão</v>
      </c>
      <c r="J1628">
        <f t="shared" si="25"/>
        <v>0</v>
      </c>
    </row>
    <row r="1629" spans="1:10" x14ac:dyDescent="0.25">
      <c r="A1629">
        <v>11391351</v>
      </c>
      <c r="B1629" s="1">
        <v>45706.643472222226</v>
      </c>
      <c r="C1629" t="s">
        <v>0</v>
      </c>
      <c r="D1629" t="str">
        <f>VLOOKUP(A1629,MERCADO!A:B,2,0)</f>
        <v>Empreendedor</v>
      </c>
      <c r="E1629" t="str">
        <f>_xlfn.XLOOKUP(A1629, ORIGEM!A:A, ORIGEM!B:B)</f>
        <v>Bing</v>
      </c>
      <c r="F1629" t="str">
        <f>_xlfn.XLOOKUP(A1629, ORIGEM!A:A, ORIGEM!C:C)</f>
        <v>bing - cpc</v>
      </c>
      <c r="G1629" t="str">
        <f>_xlfn.XLOOKUP(A1629, LOCAL!A:A, LOCAL!B:B)</f>
        <v>Rio de Janeiro - RJ</v>
      </c>
      <c r="H1629" t="str">
        <f>_xlfn.XLOOKUP(A1629, PORTE!A:A, PORTE!B:B)</f>
        <v>1-10</v>
      </c>
      <c r="I1629" t="str">
        <f>_xlfn.XLOOKUP(A1629, OBJETIVO!A:A, OBJETIVO!B:B)</f>
        <v>Abertura/Expansão</v>
      </c>
      <c r="J1629">
        <f t="shared" si="25"/>
        <v>0</v>
      </c>
    </row>
    <row r="1630" spans="1:10" x14ac:dyDescent="0.25">
      <c r="A1630">
        <v>11284380</v>
      </c>
      <c r="B1630" s="1">
        <v>45696.653587962966</v>
      </c>
      <c r="C1630" t="s">
        <v>0</v>
      </c>
      <c r="D1630" t="str">
        <f>VLOOKUP(A1630,MERCADO!A:B,2,0)</f>
        <v>Empreendedor</v>
      </c>
      <c r="E1630" t="str">
        <f>_xlfn.XLOOKUP(A1630, ORIGEM!A:A, ORIGEM!B:B)</f>
        <v>Bing</v>
      </c>
      <c r="F1630" t="str">
        <f>_xlfn.XLOOKUP(A1630, ORIGEM!A:A, ORIGEM!C:C)</f>
        <v>bing - cpc</v>
      </c>
      <c r="G1630" t="str">
        <f>_xlfn.XLOOKUP(A1630, LOCAL!A:A, LOCAL!B:B)</f>
        <v>Formosa - GO</v>
      </c>
      <c r="H1630" t="str">
        <f>_xlfn.XLOOKUP(A1630, PORTE!A:A, PORTE!B:B)</f>
        <v>1-10</v>
      </c>
      <c r="I1630" t="str">
        <f>_xlfn.XLOOKUP(A1630, OBJETIVO!A:A, OBJETIVO!B:B)</f>
        <v>Abertura/Expansão</v>
      </c>
      <c r="J1630">
        <f t="shared" si="25"/>
        <v>0</v>
      </c>
    </row>
    <row r="1631" spans="1:10" x14ac:dyDescent="0.25">
      <c r="A1631">
        <v>11092543</v>
      </c>
      <c r="B1631" s="1">
        <v>45680.515127314815</v>
      </c>
      <c r="C1631" t="s">
        <v>0</v>
      </c>
      <c r="D1631" t="str">
        <f>VLOOKUP(A1631,MERCADO!A:B,2,0)</f>
        <v>Empreendedor</v>
      </c>
      <c r="E1631" t="str">
        <f>_xlfn.XLOOKUP(A1631, ORIGEM!A:A, ORIGEM!B:B)</f>
        <v>Bing</v>
      </c>
      <c r="F1631" t="str">
        <f>_xlfn.XLOOKUP(A1631, ORIGEM!A:A, ORIGEM!C:C)</f>
        <v>bing - cpc</v>
      </c>
      <c r="G1631" t="str">
        <f>_xlfn.XLOOKUP(A1631, LOCAL!A:A, LOCAL!B:B)</f>
        <v>Criciúma - SC</v>
      </c>
      <c r="H1631" t="str">
        <f>_xlfn.XLOOKUP(A1631, PORTE!A:A, PORTE!B:B)</f>
        <v>0</v>
      </c>
      <c r="I1631" t="str">
        <f>_xlfn.XLOOKUP(A1631, OBJETIVO!A:A, OBJETIVO!B:B)</f>
        <v>Abertura/Expansão</v>
      </c>
      <c r="J1631">
        <f t="shared" si="25"/>
        <v>0</v>
      </c>
    </row>
    <row r="1632" spans="1:10" x14ac:dyDescent="0.25">
      <c r="A1632">
        <v>11094076</v>
      </c>
      <c r="B1632" s="1">
        <v>45681.012314814812</v>
      </c>
      <c r="C1632" t="s">
        <v>0</v>
      </c>
      <c r="D1632" t="str">
        <f>VLOOKUP(A1632,MERCADO!A:B,2,0)</f>
        <v>Empreendedor</v>
      </c>
      <c r="E1632" t="str">
        <f>_xlfn.XLOOKUP(A1632, ORIGEM!A:A, ORIGEM!B:B)</f>
        <v>Bing</v>
      </c>
      <c r="F1632" t="str">
        <f>_xlfn.XLOOKUP(A1632, ORIGEM!A:A, ORIGEM!C:C)</f>
        <v>bing - cpc</v>
      </c>
      <c r="G1632" t="str">
        <f>_xlfn.XLOOKUP(A1632, LOCAL!A:A, LOCAL!B:B)</f>
        <v>Governador Valadares - MG</v>
      </c>
      <c r="H1632" t="str">
        <f>_xlfn.XLOOKUP(A1632, PORTE!A:A, PORTE!B:B)</f>
        <v>1-10</v>
      </c>
      <c r="I1632" t="str">
        <f>_xlfn.XLOOKUP(A1632, OBJETIVO!A:A, OBJETIVO!B:B)</f>
        <v>Planejamento estratégico</v>
      </c>
      <c r="J1632">
        <f t="shared" si="25"/>
        <v>0</v>
      </c>
    </row>
    <row r="1633" spans="1:10" x14ac:dyDescent="0.25">
      <c r="A1633">
        <v>11183749</v>
      </c>
      <c r="B1633" s="1">
        <v>45686.692546296297</v>
      </c>
      <c r="C1633" t="s">
        <v>0</v>
      </c>
      <c r="D1633" t="str">
        <f>VLOOKUP(A1633,MERCADO!A:B,2,0)</f>
        <v>Empreendedor</v>
      </c>
      <c r="E1633" t="str">
        <f>_xlfn.XLOOKUP(A1633, ORIGEM!A:A, ORIGEM!B:B)</f>
        <v>Bing</v>
      </c>
      <c r="F1633" t="str">
        <f>_xlfn.XLOOKUP(A1633, ORIGEM!A:A, ORIGEM!C:C)</f>
        <v>bing - cpc</v>
      </c>
      <c r="G1633" t="str">
        <f>_xlfn.XLOOKUP(A1633, LOCAL!A:A, LOCAL!B:B)</f>
        <v>Sorocaba - SP</v>
      </c>
      <c r="H1633" t="str">
        <f>_xlfn.XLOOKUP(A1633, PORTE!A:A, PORTE!B:B)</f>
        <v>1-10</v>
      </c>
      <c r="I1633" t="str">
        <f>_xlfn.XLOOKUP(A1633, OBJETIVO!A:A, OBJETIVO!B:B)</f>
        <v>Abertura/Expansão</v>
      </c>
      <c r="J1633">
        <f t="shared" si="25"/>
        <v>0</v>
      </c>
    </row>
    <row r="1634" spans="1:10" x14ac:dyDescent="0.25">
      <c r="A1634">
        <v>11194335</v>
      </c>
      <c r="B1634" s="1">
        <v>45687.407384259262</v>
      </c>
      <c r="C1634" t="s">
        <v>0</v>
      </c>
      <c r="D1634" t="str">
        <f>VLOOKUP(A1634,MERCADO!A:B,2,0)</f>
        <v>Empreendedor</v>
      </c>
      <c r="E1634" t="str">
        <f>_xlfn.XLOOKUP(A1634, ORIGEM!A:A, ORIGEM!B:B)</f>
        <v>Bing</v>
      </c>
      <c r="F1634" t="str">
        <f>_xlfn.XLOOKUP(A1634, ORIGEM!A:A, ORIGEM!C:C)</f>
        <v>bing - cpc</v>
      </c>
      <c r="G1634" t="str">
        <f>_xlfn.XLOOKUP(A1634, LOCAL!A:A, LOCAL!B:B)</f>
        <v>Alagoinhas - BA</v>
      </c>
      <c r="H1634" t="str">
        <f>_xlfn.XLOOKUP(A1634, PORTE!A:A, PORTE!B:B)</f>
        <v>0</v>
      </c>
      <c r="I1634" t="str">
        <f>_xlfn.XLOOKUP(A1634, OBJETIVO!A:A, OBJETIVO!B:B)</f>
        <v>Consultoria</v>
      </c>
      <c r="J1634">
        <f t="shared" si="25"/>
        <v>0</v>
      </c>
    </row>
    <row r="1635" spans="1:10" x14ac:dyDescent="0.25">
      <c r="A1635">
        <v>10954754</v>
      </c>
      <c r="B1635" s="1">
        <v>45669.884479166663</v>
      </c>
      <c r="C1635" t="s">
        <v>0</v>
      </c>
      <c r="D1635" t="str">
        <f>VLOOKUP(A1635,MERCADO!A:B,2,0)</f>
        <v>Empreendedor</v>
      </c>
      <c r="E1635" t="str">
        <f>_xlfn.XLOOKUP(A1635, ORIGEM!A:A, ORIGEM!B:B)</f>
        <v>Bing</v>
      </c>
      <c r="F1635" t="str">
        <f>_xlfn.XLOOKUP(A1635, ORIGEM!A:A, ORIGEM!C:C)</f>
        <v>bing - cpc</v>
      </c>
      <c r="G1635" t="str">
        <f>_xlfn.XLOOKUP(A1635, LOCAL!A:A, LOCAL!B:B)</f>
        <v>Uberlândia - MG</v>
      </c>
      <c r="H1635" t="str">
        <f>_xlfn.XLOOKUP(A1635, PORTE!A:A, PORTE!B:B)</f>
        <v>11-50</v>
      </c>
      <c r="I1635" t="str">
        <f>_xlfn.XLOOKUP(A1635, OBJETIVO!A:A, OBJETIVO!B:B)</f>
        <v>Abertura/Expansão</v>
      </c>
      <c r="J1635">
        <f t="shared" si="25"/>
        <v>0</v>
      </c>
    </row>
    <row r="1636" spans="1:10" x14ac:dyDescent="0.25">
      <c r="A1636">
        <v>11008827</v>
      </c>
      <c r="B1636" s="1">
        <v>45673.409571759257</v>
      </c>
      <c r="C1636" t="s">
        <v>0</v>
      </c>
      <c r="D1636" t="str">
        <f>VLOOKUP(A1636,MERCADO!A:B,2,0)</f>
        <v>Empreendedor</v>
      </c>
      <c r="E1636" t="str">
        <f>_xlfn.XLOOKUP(A1636, ORIGEM!A:A, ORIGEM!B:B)</f>
        <v>Bing</v>
      </c>
      <c r="F1636" t="str">
        <f>_xlfn.XLOOKUP(A1636, ORIGEM!A:A, ORIGEM!C:C)</f>
        <v>bing - cpc</v>
      </c>
      <c r="G1636" t="str">
        <f>_xlfn.XLOOKUP(A1636, LOCAL!A:A, LOCAL!B:B)</f>
        <v>Fortaleza - CE</v>
      </c>
      <c r="H1636" t="str">
        <f>_xlfn.XLOOKUP(A1636, PORTE!A:A, PORTE!B:B)</f>
        <v>1-10</v>
      </c>
      <c r="I1636" t="str">
        <f>_xlfn.XLOOKUP(A1636, OBJETIVO!A:A, OBJETIVO!B:B)</f>
        <v>Abertura/Expansão</v>
      </c>
      <c r="J1636">
        <f t="shared" si="25"/>
        <v>0</v>
      </c>
    </row>
    <row r="1637" spans="1:10" x14ac:dyDescent="0.25">
      <c r="A1637">
        <v>11715359</v>
      </c>
      <c r="B1637" s="1">
        <v>45738.447152777779</v>
      </c>
      <c r="C1637" t="s">
        <v>0</v>
      </c>
      <c r="D1637" t="str">
        <f>VLOOKUP(A1637,MERCADO!A:B,2,0)</f>
        <v>Empreendedor</v>
      </c>
      <c r="E1637" t="str">
        <f>_xlfn.XLOOKUP(A1637, ORIGEM!A:A, ORIGEM!B:B)</f>
        <v>Youtube</v>
      </c>
      <c r="F1637" t="str">
        <f>_xlfn.XLOOKUP(A1637, ORIGEM!A:A, ORIGEM!C:C)</f>
        <v>youtube - cpc</v>
      </c>
      <c r="G1637" t="str">
        <f>_xlfn.XLOOKUP(A1637, LOCAL!A:A, LOCAL!B:B)</f>
        <v>São Paulo - SP</v>
      </c>
      <c r="H1637" t="str">
        <f>_xlfn.XLOOKUP(A1637, PORTE!A:A, PORTE!B:B)</f>
        <v>0</v>
      </c>
      <c r="I1637" t="str">
        <f>_xlfn.XLOOKUP(A1637, OBJETIVO!A:A, OBJETIVO!B:B)</f>
        <v>Outro</v>
      </c>
      <c r="J1637">
        <f t="shared" si="25"/>
        <v>0</v>
      </c>
    </row>
    <row r="1638" spans="1:10" x14ac:dyDescent="0.25">
      <c r="A1638">
        <v>11630850</v>
      </c>
      <c r="B1638" s="1">
        <v>45729.272962962961</v>
      </c>
      <c r="C1638" t="s">
        <v>0</v>
      </c>
      <c r="D1638" t="str">
        <f>VLOOKUP(A1638,MERCADO!A:B,2,0)</f>
        <v>Empreendedor</v>
      </c>
      <c r="E1638" t="str">
        <f>_xlfn.XLOOKUP(A1638, ORIGEM!A:A, ORIGEM!B:B)</f>
        <v>Youtube</v>
      </c>
      <c r="F1638" t="str">
        <f>_xlfn.XLOOKUP(A1638, ORIGEM!A:A, ORIGEM!C:C)</f>
        <v>youtube - cpc</v>
      </c>
      <c r="G1638" t="str">
        <f>_xlfn.XLOOKUP(A1638, LOCAL!A:A, LOCAL!B:B)</f>
        <v>Campina Grande - PB</v>
      </c>
      <c r="H1638" t="str">
        <f>_xlfn.XLOOKUP(A1638, PORTE!A:A, PORTE!B:B)</f>
        <v>0</v>
      </c>
      <c r="I1638" t="str">
        <f>_xlfn.XLOOKUP(A1638, OBJETIVO!A:A, OBJETIVO!B:B)</f>
        <v>Outro</v>
      </c>
      <c r="J1638">
        <f t="shared" si="25"/>
        <v>0</v>
      </c>
    </row>
    <row r="1639" spans="1:10" x14ac:dyDescent="0.25">
      <c r="A1639">
        <v>11496682</v>
      </c>
      <c r="B1639" s="1">
        <v>45717.709502314814</v>
      </c>
      <c r="C1639" t="s">
        <v>0</v>
      </c>
      <c r="D1639" t="str">
        <f>VLOOKUP(A1639,MERCADO!A:B,2,0)</f>
        <v>Empreendedor</v>
      </c>
      <c r="E1639" t="str">
        <f>_xlfn.XLOOKUP(A1639, ORIGEM!A:A, ORIGEM!B:B)</f>
        <v>Youtube</v>
      </c>
      <c r="F1639" t="str">
        <f>_xlfn.XLOOKUP(A1639, ORIGEM!A:A, ORIGEM!C:C)</f>
        <v>youtube - cpc</v>
      </c>
      <c r="G1639" t="str">
        <f>_xlfn.XLOOKUP(A1639, LOCAL!A:A, LOCAL!B:B)</f>
        <v>Belo Horizonte - MG</v>
      </c>
      <c r="H1639" t="str">
        <f>_xlfn.XLOOKUP(A1639, PORTE!A:A, PORTE!B:B)</f>
        <v>0</v>
      </c>
      <c r="I1639" t="str">
        <f>_xlfn.XLOOKUP(A1639, OBJETIVO!A:A, OBJETIVO!B:B)</f>
        <v>Outro</v>
      </c>
      <c r="J1639">
        <f t="shared" si="25"/>
        <v>0</v>
      </c>
    </row>
    <row r="1640" spans="1:10" x14ac:dyDescent="0.25">
      <c r="A1640">
        <v>11483552</v>
      </c>
      <c r="B1640" s="1">
        <v>45716.464548611111</v>
      </c>
      <c r="C1640" t="s">
        <v>0</v>
      </c>
      <c r="D1640" t="str">
        <f>VLOOKUP(A1640,MERCADO!A:B,2,0)</f>
        <v>Empreendedor</v>
      </c>
      <c r="E1640" t="str">
        <f>_xlfn.XLOOKUP(A1640, ORIGEM!A:A, ORIGEM!B:B)</f>
        <v>Youtube</v>
      </c>
      <c r="F1640" t="str">
        <f>_xlfn.XLOOKUP(A1640, ORIGEM!A:A, ORIGEM!C:C)</f>
        <v>youtube - cpc</v>
      </c>
      <c r="G1640" t="str">
        <f>_xlfn.XLOOKUP(A1640, LOCAL!A:A, LOCAL!B:B)</f>
        <v>Poços de Caldas - MG</v>
      </c>
      <c r="H1640" t="str">
        <f>_xlfn.XLOOKUP(A1640, PORTE!A:A, PORTE!B:B)</f>
        <v>11-50</v>
      </c>
      <c r="I1640" t="str">
        <f>_xlfn.XLOOKUP(A1640, OBJETIVO!A:A, OBJETIVO!B:B)</f>
        <v>Outro</v>
      </c>
      <c r="J1640">
        <f t="shared" si="25"/>
        <v>0</v>
      </c>
    </row>
    <row r="1641" spans="1:10" x14ac:dyDescent="0.25">
      <c r="A1641">
        <v>11607873</v>
      </c>
      <c r="B1641" s="1">
        <v>45727.298715277779</v>
      </c>
      <c r="C1641" t="s">
        <v>0</v>
      </c>
      <c r="D1641" t="str">
        <f>VLOOKUP(A1641,MERCADO!A:B,2,0)</f>
        <v>Empreendedor</v>
      </c>
      <c r="E1641" t="str">
        <f>_xlfn.XLOOKUP(A1641, ORIGEM!A:A, ORIGEM!B:B)</f>
        <v>Youtube</v>
      </c>
      <c r="F1641" t="str">
        <f>_xlfn.XLOOKUP(A1641, ORIGEM!A:A, ORIGEM!C:C)</f>
        <v>youtube - cpc</v>
      </c>
      <c r="G1641" t="str">
        <f>_xlfn.XLOOKUP(A1641, LOCAL!A:A, LOCAL!B:B)</f>
        <v>Goiânia - GO</v>
      </c>
      <c r="H1641" t="str">
        <f>_xlfn.XLOOKUP(A1641, PORTE!A:A, PORTE!B:B)</f>
        <v>1-10</v>
      </c>
      <c r="I1641" t="str">
        <f>_xlfn.XLOOKUP(A1641, OBJETIVO!A:A, OBJETIVO!B:B)</f>
        <v>Abertura/Expansão</v>
      </c>
      <c r="J1641">
        <f t="shared" si="25"/>
        <v>0</v>
      </c>
    </row>
    <row r="1642" spans="1:10" x14ac:dyDescent="0.25">
      <c r="A1642">
        <v>11694919</v>
      </c>
      <c r="B1642" s="1">
        <v>45735.019687499997</v>
      </c>
      <c r="C1642" t="s">
        <v>0</v>
      </c>
      <c r="D1642" t="str">
        <f>VLOOKUP(A1642,MERCADO!A:B,2,0)</f>
        <v>Empreendedor</v>
      </c>
      <c r="E1642" t="str">
        <f>_xlfn.XLOOKUP(A1642, ORIGEM!A:A, ORIGEM!B:B)</f>
        <v>Youtube</v>
      </c>
      <c r="F1642" t="str">
        <f>_xlfn.XLOOKUP(A1642, ORIGEM!A:A, ORIGEM!C:C)</f>
        <v>youtube - social</v>
      </c>
      <c r="G1642" t="str">
        <f>_xlfn.XLOOKUP(A1642, LOCAL!A:A, LOCAL!B:B)</f>
        <v>Francisco Beltrão - PR</v>
      </c>
      <c r="H1642" t="str">
        <f>_xlfn.XLOOKUP(A1642, PORTE!A:A, PORTE!B:B)</f>
        <v>0</v>
      </c>
      <c r="I1642" t="str">
        <f>_xlfn.XLOOKUP(A1642, OBJETIVO!A:A, OBJETIVO!B:B)</f>
        <v>Outro</v>
      </c>
      <c r="J1642">
        <f t="shared" si="25"/>
        <v>0</v>
      </c>
    </row>
    <row r="1643" spans="1:10" x14ac:dyDescent="0.25">
      <c r="A1643">
        <v>11856048</v>
      </c>
      <c r="B1643" s="1">
        <v>45749.919085648151</v>
      </c>
      <c r="C1643" t="s">
        <v>0</v>
      </c>
      <c r="D1643" t="str">
        <f>VLOOKUP(A1643,MERCADO!A:B,2,0)</f>
        <v>Empreendedor</v>
      </c>
      <c r="E1643" t="str">
        <f>_xlfn.XLOOKUP(A1643, ORIGEM!A:A, ORIGEM!B:B)</f>
        <v>Youtube</v>
      </c>
      <c r="F1643" t="str">
        <f>_xlfn.XLOOKUP(A1643, ORIGEM!A:A, ORIGEM!C:C)</f>
        <v>youtube - cpc</v>
      </c>
      <c r="G1643" t="str">
        <f>_xlfn.XLOOKUP(A1643, LOCAL!A:A, LOCAL!B:B)</f>
        <v>Fortaleza - CE</v>
      </c>
      <c r="H1643" t="str">
        <f>_xlfn.XLOOKUP(A1643, PORTE!A:A, PORTE!B:B)</f>
        <v>1-10</v>
      </c>
      <c r="I1643" t="str">
        <f>_xlfn.XLOOKUP(A1643, OBJETIVO!A:A, OBJETIVO!B:B)</f>
        <v>Consultoria</v>
      </c>
      <c r="J1643">
        <f t="shared" si="25"/>
        <v>0</v>
      </c>
    </row>
    <row r="1644" spans="1:10" x14ac:dyDescent="0.25">
      <c r="A1644">
        <v>11300762</v>
      </c>
      <c r="B1644" s="1">
        <v>45697.62604166667</v>
      </c>
      <c r="C1644" t="s">
        <v>0</v>
      </c>
      <c r="D1644" t="str">
        <f>VLOOKUP(A1644,MERCADO!A:B,2,0)</f>
        <v>Empreendedor</v>
      </c>
      <c r="E1644" t="str">
        <f>_xlfn.XLOOKUP(A1644, ORIGEM!A:A, ORIGEM!B:B)</f>
        <v>Youtube</v>
      </c>
      <c r="F1644" t="str">
        <f>_xlfn.XLOOKUP(A1644, ORIGEM!A:A, ORIGEM!C:C)</f>
        <v>youtube - cpc</v>
      </c>
      <c r="G1644" t="str">
        <f>_xlfn.XLOOKUP(A1644, LOCAL!A:A, LOCAL!B:B)</f>
        <v>Bacabal - MA</v>
      </c>
      <c r="H1644" t="str">
        <f>_xlfn.XLOOKUP(A1644, PORTE!A:A, PORTE!B:B)</f>
        <v>1-10</v>
      </c>
      <c r="I1644" t="str">
        <f>_xlfn.XLOOKUP(A1644, OBJETIVO!A:A, OBJETIVO!B:B)</f>
        <v>Outro</v>
      </c>
      <c r="J1644">
        <f t="shared" si="25"/>
        <v>0</v>
      </c>
    </row>
    <row r="1645" spans="1:10" x14ac:dyDescent="0.25">
      <c r="A1645">
        <v>11708055</v>
      </c>
      <c r="B1645" s="1">
        <v>45736.563622685186</v>
      </c>
      <c r="C1645" t="s">
        <v>0</v>
      </c>
      <c r="D1645" t="str">
        <f>VLOOKUP(A1645,MERCADO!A:B,2,0)</f>
        <v>Empreendedor</v>
      </c>
      <c r="E1645" t="str">
        <f>_xlfn.XLOOKUP(A1645, ORIGEM!A:A, ORIGEM!B:B)</f>
        <v>Youtube</v>
      </c>
      <c r="F1645" t="str">
        <f>_xlfn.XLOOKUP(A1645, ORIGEM!A:A, ORIGEM!C:C)</f>
        <v>youtube - cpc</v>
      </c>
      <c r="G1645" t="str">
        <f>_xlfn.XLOOKUP(A1645, LOCAL!A:A, LOCAL!B:B)</f>
        <v>São Bernardo do Campo - SP</v>
      </c>
      <c r="H1645" t="str">
        <f>_xlfn.XLOOKUP(A1645, PORTE!A:A, PORTE!B:B)</f>
        <v>0</v>
      </c>
      <c r="I1645" t="str">
        <f>_xlfn.XLOOKUP(A1645, OBJETIVO!A:A, OBJETIVO!B:B)</f>
        <v>Geração de leads b2b</v>
      </c>
      <c r="J1645">
        <f t="shared" si="25"/>
        <v>0</v>
      </c>
    </row>
    <row r="1646" spans="1:10" x14ac:dyDescent="0.25">
      <c r="A1646">
        <v>11345411</v>
      </c>
      <c r="B1646" s="1">
        <v>45701.718773148146</v>
      </c>
      <c r="C1646" t="s">
        <v>0</v>
      </c>
      <c r="D1646" t="str">
        <f>VLOOKUP(A1646,MERCADO!A:B,2,0)</f>
        <v>Empreendedor</v>
      </c>
      <c r="E1646" t="str">
        <f>_xlfn.XLOOKUP(A1646, ORIGEM!A:A, ORIGEM!B:B)</f>
        <v>Youtube</v>
      </c>
      <c r="F1646" t="str">
        <f>_xlfn.XLOOKUP(A1646, ORIGEM!A:A, ORIGEM!C:C)</f>
        <v>youtube - cpc</v>
      </c>
      <c r="G1646" t="str">
        <f>_xlfn.XLOOKUP(A1646, LOCAL!A:A, LOCAL!B:B)</f>
        <v>Rio Branco - AC</v>
      </c>
      <c r="H1646" t="str">
        <f>_xlfn.XLOOKUP(A1646, PORTE!A:A, PORTE!B:B)</f>
        <v>0</v>
      </c>
      <c r="I1646" t="str">
        <f>_xlfn.XLOOKUP(A1646, OBJETIVO!A:A, OBJETIVO!B:B)</f>
        <v>Abertura/Expansão</v>
      </c>
      <c r="J1646">
        <f t="shared" si="25"/>
        <v>0</v>
      </c>
    </row>
    <row r="1647" spans="1:10" x14ac:dyDescent="0.25">
      <c r="A1647">
        <v>11347478</v>
      </c>
      <c r="B1647" s="1">
        <v>45702.711446759262</v>
      </c>
      <c r="C1647" t="s">
        <v>0</v>
      </c>
      <c r="D1647" t="str">
        <f>VLOOKUP(A1647,MERCADO!A:B,2,0)</f>
        <v>Empreendedor</v>
      </c>
      <c r="E1647" t="str">
        <f>_xlfn.XLOOKUP(A1647, ORIGEM!A:A, ORIGEM!B:B)</f>
        <v>Youtube</v>
      </c>
      <c r="F1647" t="str">
        <f>_xlfn.XLOOKUP(A1647, ORIGEM!A:A, ORIGEM!C:C)</f>
        <v>youtube - cpc</v>
      </c>
      <c r="G1647" t="str">
        <f>_xlfn.XLOOKUP(A1647, LOCAL!A:A, LOCAL!B:B)</f>
        <v>-</v>
      </c>
      <c r="H1647" t="str">
        <f>_xlfn.XLOOKUP(A1647, PORTE!A:A, PORTE!B:B)</f>
        <v>0</v>
      </c>
      <c r="I1647" t="str">
        <f>_xlfn.XLOOKUP(A1647, OBJETIVO!A:A, OBJETIVO!B:B)</f>
        <v>Outro</v>
      </c>
      <c r="J1647">
        <f t="shared" si="25"/>
        <v>0</v>
      </c>
    </row>
    <row r="1648" spans="1:10" x14ac:dyDescent="0.25">
      <c r="A1648">
        <v>11382988</v>
      </c>
      <c r="B1648" s="1">
        <v>45706.320694444446</v>
      </c>
      <c r="C1648" t="s">
        <v>0</v>
      </c>
      <c r="D1648" t="str">
        <f>VLOOKUP(A1648,MERCADO!A:B,2,0)</f>
        <v>Empreendedor</v>
      </c>
      <c r="E1648" t="str">
        <f>_xlfn.XLOOKUP(A1648, ORIGEM!A:A, ORIGEM!B:B)</f>
        <v>Youtube</v>
      </c>
      <c r="F1648" t="str">
        <f>_xlfn.XLOOKUP(A1648, ORIGEM!A:A, ORIGEM!C:C)</f>
        <v>youtube - cpc</v>
      </c>
      <c r="G1648" t="str">
        <f>_xlfn.XLOOKUP(A1648, LOCAL!A:A, LOCAL!B:B)</f>
        <v>Belém - PA</v>
      </c>
      <c r="H1648" t="str">
        <f>_xlfn.XLOOKUP(A1648, PORTE!A:A, PORTE!B:B)</f>
        <v>1-10</v>
      </c>
      <c r="I1648" t="str">
        <f>_xlfn.XLOOKUP(A1648, OBJETIVO!A:A, OBJETIVO!B:B)</f>
        <v>Abertura/Expansão</v>
      </c>
      <c r="J1648">
        <f t="shared" si="25"/>
        <v>0</v>
      </c>
    </row>
    <row r="1649" spans="1:10" x14ac:dyDescent="0.25">
      <c r="A1649">
        <v>11396053</v>
      </c>
      <c r="B1649" s="1">
        <v>45707.28769675926</v>
      </c>
      <c r="C1649" t="s">
        <v>0</v>
      </c>
      <c r="D1649" t="str">
        <f>VLOOKUP(A1649,MERCADO!A:B,2,0)</f>
        <v>Empreendedor</v>
      </c>
      <c r="E1649" t="str">
        <f>_xlfn.XLOOKUP(A1649, ORIGEM!A:A, ORIGEM!B:B)</f>
        <v>Youtube</v>
      </c>
      <c r="F1649" t="str">
        <f>_xlfn.XLOOKUP(A1649, ORIGEM!A:A, ORIGEM!C:C)</f>
        <v>youtube - cpc</v>
      </c>
      <c r="G1649" t="str">
        <f>_xlfn.XLOOKUP(A1649, LOCAL!A:A, LOCAL!B:B)</f>
        <v>Praia Grande - SP</v>
      </c>
      <c r="H1649" t="str">
        <f>_xlfn.XLOOKUP(A1649, PORTE!A:A, PORTE!B:B)</f>
        <v>0</v>
      </c>
      <c r="I1649" t="str">
        <f>_xlfn.XLOOKUP(A1649, OBJETIVO!A:A, OBJETIVO!B:B)</f>
        <v>Outro</v>
      </c>
      <c r="J1649">
        <f t="shared" si="25"/>
        <v>0</v>
      </c>
    </row>
    <row r="1650" spans="1:10" x14ac:dyDescent="0.25">
      <c r="A1650">
        <v>11408282</v>
      </c>
      <c r="B1650" s="1">
        <v>45708.920983796299</v>
      </c>
      <c r="C1650" t="s">
        <v>0</v>
      </c>
      <c r="D1650" t="str">
        <f>VLOOKUP(A1650,MERCADO!A:B,2,0)</f>
        <v>Empreendedor</v>
      </c>
      <c r="E1650" t="str">
        <f>_xlfn.XLOOKUP(A1650, ORIGEM!A:A, ORIGEM!B:B)</f>
        <v>Youtube</v>
      </c>
      <c r="F1650" t="str">
        <f>_xlfn.XLOOKUP(A1650, ORIGEM!A:A, ORIGEM!C:C)</f>
        <v>youtube - cpc</v>
      </c>
      <c r="G1650" t="str">
        <f>_xlfn.XLOOKUP(A1650, LOCAL!A:A, LOCAL!B:B)</f>
        <v>Palmas - TO</v>
      </c>
      <c r="H1650" t="str">
        <f>_xlfn.XLOOKUP(A1650, PORTE!A:A, PORTE!B:B)</f>
        <v>0</v>
      </c>
      <c r="I1650" t="str">
        <f>_xlfn.XLOOKUP(A1650, OBJETIVO!A:A, OBJETIVO!B:B)</f>
        <v>Abertura/Expansão</v>
      </c>
      <c r="J1650">
        <f t="shared" si="25"/>
        <v>0</v>
      </c>
    </row>
    <row r="1651" spans="1:10" x14ac:dyDescent="0.25">
      <c r="A1651">
        <v>11408945</v>
      </c>
      <c r="B1651" s="1">
        <v>45709.428148148145</v>
      </c>
      <c r="C1651" t="s">
        <v>0</v>
      </c>
      <c r="D1651" t="str">
        <f>VLOOKUP(A1651,MERCADO!A:B,2,0)</f>
        <v>Empreendedor</v>
      </c>
      <c r="E1651" t="str">
        <f>_xlfn.XLOOKUP(A1651, ORIGEM!A:A, ORIGEM!B:B)</f>
        <v>Youtube</v>
      </c>
      <c r="F1651" t="str">
        <f>_xlfn.XLOOKUP(A1651, ORIGEM!A:A, ORIGEM!C:C)</f>
        <v>youtube - cpc</v>
      </c>
      <c r="G1651" t="str">
        <f>_xlfn.XLOOKUP(A1651, LOCAL!A:A, LOCAL!B:B)</f>
        <v>São José dos Campos - SP</v>
      </c>
      <c r="H1651" t="str">
        <f>_xlfn.XLOOKUP(A1651, PORTE!A:A, PORTE!B:B)</f>
        <v>0</v>
      </c>
      <c r="I1651" t="str">
        <f>_xlfn.XLOOKUP(A1651, OBJETIVO!A:A, OBJETIVO!B:B)</f>
        <v>Outro</v>
      </c>
      <c r="J1651">
        <f t="shared" si="25"/>
        <v>0</v>
      </c>
    </row>
    <row r="1652" spans="1:10" x14ac:dyDescent="0.25">
      <c r="A1652">
        <v>10721281</v>
      </c>
      <c r="B1652" s="1">
        <v>45640.689629629633</v>
      </c>
      <c r="C1652" t="s">
        <v>0</v>
      </c>
      <c r="D1652" t="str">
        <f>VLOOKUP(A1652,MERCADO!A:B,2,0)</f>
        <v>Empreendedor</v>
      </c>
      <c r="E1652" t="str">
        <f>_xlfn.XLOOKUP(A1652, ORIGEM!A:A, ORIGEM!B:B)</f>
        <v>Google</v>
      </c>
      <c r="F1652" t="str">
        <f>_xlfn.XLOOKUP(A1652, ORIGEM!A:A, ORIGEM!C:C)</f>
        <v>google - cpc</v>
      </c>
      <c r="G1652" t="str">
        <f>_xlfn.XLOOKUP(A1652, LOCAL!A:A, LOCAL!B:B)</f>
        <v>Marica - RJ</v>
      </c>
      <c r="H1652" t="str">
        <f>_xlfn.XLOOKUP(A1652, PORTE!A:A, PORTE!B:B)</f>
        <v>0</v>
      </c>
      <c r="I1652" t="str">
        <f>_xlfn.XLOOKUP(A1652, OBJETIVO!A:A, OBJETIVO!B:B)</f>
        <v>Outro</v>
      </c>
      <c r="J1652">
        <f t="shared" si="25"/>
        <v>0</v>
      </c>
    </row>
    <row r="1653" spans="1:10" x14ac:dyDescent="0.25">
      <c r="A1653">
        <v>10722962</v>
      </c>
      <c r="B1653" s="1">
        <v>45640.739131944443</v>
      </c>
      <c r="C1653" t="s">
        <v>0</v>
      </c>
      <c r="D1653" t="str">
        <f>VLOOKUP(A1653,MERCADO!A:B,2,0)</f>
        <v>Empreendedor</v>
      </c>
      <c r="E1653" t="str">
        <f>_xlfn.XLOOKUP(A1653, ORIGEM!A:A, ORIGEM!B:B)</f>
        <v>Google</v>
      </c>
      <c r="F1653" t="str">
        <f>_xlfn.XLOOKUP(A1653, ORIGEM!A:A, ORIGEM!C:C)</f>
        <v>google - cpc</v>
      </c>
      <c r="G1653" t="str">
        <f>_xlfn.XLOOKUP(A1653, LOCAL!A:A, LOCAL!B:B)</f>
        <v>Salvador - BA</v>
      </c>
      <c r="H1653" t="str">
        <f>_xlfn.XLOOKUP(A1653, PORTE!A:A, PORTE!B:B)</f>
        <v>0</v>
      </c>
      <c r="I1653" t="str">
        <f>_xlfn.XLOOKUP(A1653, OBJETIVO!A:A, OBJETIVO!B:B)</f>
        <v>Abertura/Expansão</v>
      </c>
      <c r="J1653">
        <f t="shared" si="25"/>
        <v>0</v>
      </c>
    </row>
    <row r="1654" spans="1:10" x14ac:dyDescent="0.25">
      <c r="A1654">
        <v>10724692</v>
      </c>
      <c r="B1654" s="1">
        <v>45640.986134259256</v>
      </c>
      <c r="C1654" t="s">
        <v>0</v>
      </c>
      <c r="D1654" t="str">
        <f>VLOOKUP(A1654,MERCADO!A:B,2,0)</f>
        <v>Empreendedor</v>
      </c>
      <c r="E1654" t="str">
        <f>_xlfn.XLOOKUP(A1654, ORIGEM!A:A, ORIGEM!B:B)</f>
        <v>Google</v>
      </c>
      <c r="F1654" t="str">
        <f>_xlfn.XLOOKUP(A1654, ORIGEM!A:A, ORIGEM!C:C)</f>
        <v>google - cpc</v>
      </c>
      <c r="G1654" t="str">
        <f>_xlfn.XLOOKUP(A1654, LOCAL!A:A, LOCAL!B:B)</f>
        <v>Brasília - DF</v>
      </c>
      <c r="H1654" t="str">
        <f>_xlfn.XLOOKUP(A1654, PORTE!A:A, PORTE!B:B)</f>
        <v>0</v>
      </c>
      <c r="I1654" t="str">
        <f>_xlfn.XLOOKUP(A1654, OBJETIVO!A:A, OBJETIVO!B:B)</f>
        <v>Consultoria</v>
      </c>
      <c r="J1654">
        <f t="shared" si="25"/>
        <v>0</v>
      </c>
    </row>
    <row r="1655" spans="1:10" x14ac:dyDescent="0.25">
      <c r="A1655">
        <v>10704307</v>
      </c>
      <c r="B1655" s="1">
        <v>45638.947546296295</v>
      </c>
      <c r="C1655" t="s">
        <v>0</v>
      </c>
      <c r="D1655" t="str">
        <f>VLOOKUP(A1655,MERCADO!A:B,2,0)</f>
        <v>Empreendedor</v>
      </c>
      <c r="E1655" t="str">
        <f>_xlfn.XLOOKUP(A1655, ORIGEM!A:A, ORIGEM!B:B)</f>
        <v>Google</v>
      </c>
      <c r="F1655" t="str">
        <f>_xlfn.XLOOKUP(A1655, ORIGEM!A:A, ORIGEM!C:C)</f>
        <v>google - cpc</v>
      </c>
      <c r="G1655" t="str">
        <f>_xlfn.XLOOKUP(A1655, LOCAL!A:A, LOCAL!B:B)</f>
        <v>Fortaleza - CE</v>
      </c>
      <c r="H1655" t="str">
        <f>_xlfn.XLOOKUP(A1655, PORTE!A:A, PORTE!B:B)</f>
        <v>1-10</v>
      </c>
      <c r="I1655" t="str">
        <f>_xlfn.XLOOKUP(A1655, OBJETIVO!A:A, OBJETIVO!B:B)</f>
        <v>Abertura/Expansão</v>
      </c>
      <c r="J1655">
        <f t="shared" si="25"/>
        <v>0</v>
      </c>
    </row>
    <row r="1656" spans="1:10" x14ac:dyDescent="0.25">
      <c r="A1656">
        <v>10705066</v>
      </c>
      <c r="B1656" s="1">
        <v>45639.466574074075</v>
      </c>
      <c r="C1656" t="s">
        <v>0</v>
      </c>
      <c r="D1656" t="str">
        <f>VLOOKUP(A1656,MERCADO!A:B,2,0)</f>
        <v>Empreendedor</v>
      </c>
      <c r="E1656" t="str">
        <f>_xlfn.XLOOKUP(A1656, ORIGEM!A:A, ORIGEM!B:B)</f>
        <v>Google</v>
      </c>
      <c r="F1656" t="str">
        <f>_xlfn.XLOOKUP(A1656, ORIGEM!A:A, ORIGEM!C:C)</f>
        <v>google - cpc</v>
      </c>
      <c r="G1656" t="str">
        <f>_xlfn.XLOOKUP(A1656, LOCAL!A:A, LOCAL!B:B)</f>
        <v>Florianópolis - SC</v>
      </c>
      <c r="H1656" t="str">
        <f>_xlfn.XLOOKUP(A1656, PORTE!A:A, PORTE!B:B)</f>
        <v>1-10</v>
      </c>
      <c r="I1656" t="str">
        <f>_xlfn.XLOOKUP(A1656, OBJETIVO!A:A, OBJETIVO!B:B)</f>
        <v>Abertura/Expansão</v>
      </c>
      <c r="J1656">
        <f t="shared" si="25"/>
        <v>0</v>
      </c>
    </row>
    <row r="1657" spans="1:10" x14ac:dyDescent="0.25">
      <c r="A1657">
        <v>10705414</v>
      </c>
      <c r="B1657" s="1">
        <v>45639.630659722221</v>
      </c>
      <c r="C1657" t="s">
        <v>0</v>
      </c>
      <c r="D1657" t="str">
        <f>VLOOKUP(A1657,MERCADO!A:B,2,0)</f>
        <v>Empreendedor</v>
      </c>
      <c r="E1657" t="str">
        <f>_xlfn.XLOOKUP(A1657, ORIGEM!A:A, ORIGEM!B:B)</f>
        <v>Google</v>
      </c>
      <c r="F1657" t="str">
        <f>_xlfn.XLOOKUP(A1657, ORIGEM!A:A, ORIGEM!C:C)</f>
        <v>google - cpc</v>
      </c>
      <c r="G1657" t="str">
        <f>_xlfn.XLOOKUP(A1657, LOCAL!A:A, LOCAL!B:B)</f>
        <v>São Paulo - SP</v>
      </c>
      <c r="H1657" t="str">
        <f>_xlfn.XLOOKUP(A1657, PORTE!A:A, PORTE!B:B)</f>
        <v>11-50</v>
      </c>
      <c r="I1657" t="str">
        <f>_xlfn.XLOOKUP(A1657, OBJETIVO!A:A, OBJETIVO!B:B)</f>
        <v>Abertura/Expansão</v>
      </c>
      <c r="J1657">
        <f t="shared" si="25"/>
        <v>0</v>
      </c>
    </row>
    <row r="1658" spans="1:10" x14ac:dyDescent="0.25">
      <c r="A1658">
        <v>10698064</v>
      </c>
      <c r="B1658" s="1">
        <v>45637.646423611113</v>
      </c>
      <c r="C1658" t="s">
        <v>0</v>
      </c>
      <c r="D1658" t="str">
        <f>VLOOKUP(A1658,MERCADO!A:B,2,0)</f>
        <v>Empreendedor</v>
      </c>
      <c r="E1658" t="str">
        <f>_xlfn.XLOOKUP(A1658, ORIGEM!A:A, ORIGEM!B:B)</f>
        <v>Google</v>
      </c>
      <c r="F1658" t="str">
        <f>_xlfn.XLOOKUP(A1658, ORIGEM!A:A, ORIGEM!C:C)</f>
        <v>google - cpc</v>
      </c>
      <c r="G1658" t="str">
        <f>_xlfn.XLOOKUP(A1658, LOCAL!A:A, LOCAL!B:B)</f>
        <v>Rio de Janeiro - RJ</v>
      </c>
      <c r="H1658" t="str">
        <f>_xlfn.XLOOKUP(A1658, PORTE!A:A, PORTE!B:B)</f>
        <v>0</v>
      </c>
      <c r="I1658" t="str">
        <f>_xlfn.XLOOKUP(A1658, OBJETIVO!A:A, OBJETIVO!B:B)</f>
        <v>Abertura/Expansão</v>
      </c>
      <c r="J1658">
        <f t="shared" si="25"/>
        <v>0</v>
      </c>
    </row>
    <row r="1659" spans="1:10" x14ac:dyDescent="0.25">
      <c r="A1659">
        <v>11626985</v>
      </c>
      <c r="B1659" s="1">
        <v>45728.620208333334</v>
      </c>
      <c r="C1659" t="s">
        <v>0</v>
      </c>
      <c r="D1659" t="str">
        <f>VLOOKUP(A1659,MERCADO!A:B,2,0)</f>
        <v>Empreendedor</v>
      </c>
      <c r="E1659" t="str">
        <f>_xlfn.XLOOKUP(A1659, ORIGEM!A:A, ORIGEM!B:B)</f>
        <v>Instagram</v>
      </c>
      <c r="F1659" t="str">
        <f>_xlfn.XLOOKUP(A1659, ORIGEM!A:A, ORIGEM!C:C)</f>
        <v>instagram - social</v>
      </c>
      <c r="G1659" t="str">
        <f>_xlfn.XLOOKUP(A1659, LOCAL!A:A, LOCAL!B:B)</f>
        <v>Canoas - RS</v>
      </c>
      <c r="H1659" t="str">
        <f>_xlfn.XLOOKUP(A1659, PORTE!A:A, PORTE!B:B)</f>
        <v>0</v>
      </c>
      <c r="I1659" t="str">
        <f>_xlfn.XLOOKUP(A1659, OBJETIVO!A:A, OBJETIVO!B:B)</f>
        <v>Consultoria</v>
      </c>
      <c r="J1659">
        <f t="shared" si="25"/>
        <v>0</v>
      </c>
    </row>
    <row r="1660" spans="1:10" x14ac:dyDescent="0.25">
      <c r="A1660">
        <v>11617902</v>
      </c>
      <c r="B1660" s="1">
        <v>45728.004467592589</v>
      </c>
      <c r="C1660" t="s">
        <v>0</v>
      </c>
      <c r="D1660" t="str">
        <f>VLOOKUP(A1660,MERCADO!A:B,2,0)</f>
        <v>Empreendedor</v>
      </c>
      <c r="E1660" t="str">
        <f>_xlfn.XLOOKUP(A1660, ORIGEM!A:A, ORIGEM!B:B)</f>
        <v>Instagram</v>
      </c>
      <c r="F1660" t="str">
        <f>_xlfn.XLOOKUP(A1660, ORIGEM!A:A, ORIGEM!C:C)</f>
        <v>instagram - social</v>
      </c>
      <c r="G1660" t="str">
        <f>_xlfn.XLOOKUP(A1660, LOCAL!A:A, LOCAL!B:B)</f>
        <v>Parnamirim - RN</v>
      </c>
      <c r="H1660" t="str">
        <f>_xlfn.XLOOKUP(A1660, PORTE!A:A, PORTE!B:B)</f>
        <v>0</v>
      </c>
      <c r="I1660" t="str">
        <f>_xlfn.XLOOKUP(A1660, OBJETIVO!A:A, OBJETIVO!B:B)</f>
        <v>Abertura/Expansão</v>
      </c>
      <c r="J1660">
        <f t="shared" si="25"/>
        <v>0</v>
      </c>
    </row>
    <row r="1661" spans="1:10" x14ac:dyDescent="0.25">
      <c r="A1661">
        <v>11617974</v>
      </c>
      <c r="B1661" s="1">
        <v>45728.037002314813</v>
      </c>
      <c r="C1661" t="s">
        <v>0</v>
      </c>
      <c r="D1661" t="str">
        <f>VLOOKUP(A1661,MERCADO!A:B,2,0)</f>
        <v>Empreendedor</v>
      </c>
      <c r="E1661" t="str">
        <f>_xlfn.XLOOKUP(A1661, ORIGEM!A:A, ORIGEM!B:B)</f>
        <v>Instagram</v>
      </c>
      <c r="F1661" t="str">
        <f>_xlfn.XLOOKUP(A1661, ORIGEM!A:A, ORIGEM!C:C)</f>
        <v>instagram - social</v>
      </c>
      <c r="G1661" t="str">
        <f>_xlfn.XLOOKUP(A1661, LOCAL!A:A, LOCAL!B:B)</f>
        <v>Goias - GO</v>
      </c>
      <c r="H1661" t="str">
        <f>_xlfn.XLOOKUP(A1661, PORTE!A:A, PORTE!B:B)</f>
        <v>0</v>
      </c>
      <c r="I1661" t="str">
        <f>_xlfn.XLOOKUP(A1661, OBJETIVO!A:A, OBJETIVO!B:B)</f>
        <v>Outro</v>
      </c>
      <c r="J1661">
        <f t="shared" si="25"/>
        <v>0</v>
      </c>
    </row>
    <row r="1662" spans="1:10" x14ac:dyDescent="0.25">
      <c r="A1662">
        <v>11618283</v>
      </c>
      <c r="B1662" s="1">
        <v>45728.286863425928</v>
      </c>
      <c r="C1662" t="s">
        <v>0</v>
      </c>
      <c r="D1662" t="str">
        <f>VLOOKUP(A1662,MERCADO!A:B,2,0)</f>
        <v>Empreendedor</v>
      </c>
      <c r="E1662" t="str">
        <f>_xlfn.XLOOKUP(A1662, ORIGEM!A:A, ORIGEM!B:B)</f>
        <v>Instagram</v>
      </c>
      <c r="F1662" t="str">
        <f>_xlfn.XLOOKUP(A1662, ORIGEM!A:A, ORIGEM!C:C)</f>
        <v>instagram - social</v>
      </c>
      <c r="G1662" t="str">
        <f>_xlfn.XLOOKUP(A1662, LOCAL!A:A, LOCAL!B:B)</f>
        <v>Fortaleza - CE</v>
      </c>
      <c r="H1662" t="str">
        <f>_xlfn.XLOOKUP(A1662, PORTE!A:A, PORTE!B:B)</f>
        <v>0</v>
      </c>
      <c r="I1662" t="str">
        <f>_xlfn.XLOOKUP(A1662, OBJETIVO!A:A, OBJETIVO!B:B)</f>
        <v>Ações de marketing/vendas</v>
      </c>
      <c r="J1662">
        <f t="shared" si="25"/>
        <v>0</v>
      </c>
    </row>
    <row r="1663" spans="1:10" x14ac:dyDescent="0.25">
      <c r="A1663">
        <v>11111175</v>
      </c>
      <c r="B1663" s="1">
        <v>45682.741226851853</v>
      </c>
      <c r="C1663" t="s">
        <v>0</v>
      </c>
      <c r="D1663" t="str">
        <f>VLOOKUP(A1663,MERCADO!A:B,2,0)</f>
        <v>Empreendedor</v>
      </c>
      <c r="E1663" t="str">
        <f>_xlfn.XLOOKUP(A1663, ORIGEM!A:A, ORIGEM!B:B)</f>
        <v>Leads</v>
      </c>
      <c r="F1663" t="str">
        <f>_xlfn.XLOOKUP(A1663, ORIGEM!A:A, ORIGEM!C:C)</f>
        <v>leads - email</v>
      </c>
      <c r="G1663" t="str">
        <f>_xlfn.XLOOKUP(A1663, LOCAL!A:A, LOCAL!B:B)</f>
        <v>Vila Velha - ES</v>
      </c>
      <c r="H1663" t="str">
        <f>_xlfn.XLOOKUP(A1663, PORTE!A:A, PORTE!B:B)</f>
        <v>11-50</v>
      </c>
      <c r="I1663" t="str">
        <f>_xlfn.XLOOKUP(A1663, OBJETIVO!A:A, OBJETIVO!B:B)</f>
        <v>Abertura/Expansão</v>
      </c>
      <c r="J1663">
        <f t="shared" si="25"/>
        <v>0</v>
      </c>
    </row>
    <row r="1664" spans="1:10" x14ac:dyDescent="0.25">
      <c r="A1664">
        <v>11112751</v>
      </c>
      <c r="B1664" s="1">
        <v>45683.01903935185</v>
      </c>
      <c r="C1664" t="s">
        <v>0</v>
      </c>
      <c r="D1664" t="str">
        <f>VLOOKUP(A1664,MERCADO!A:B,2,0)</f>
        <v>Empreendedor</v>
      </c>
      <c r="E1664" t="str">
        <f>_xlfn.XLOOKUP(A1664, ORIGEM!A:A, ORIGEM!B:B)</f>
        <v>Leads</v>
      </c>
      <c r="F1664" t="str">
        <f>_xlfn.XLOOKUP(A1664, ORIGEM!A:A, ORIGEM!C:C)</f>
        <v>leads - email</v>
      </c>
      <c r="G1664" t="str">
        <f>_xlfn.XLOOKUP(A1664, LOCAL!A:A, LOCAL!B:B)</f>
        <v>São Paulo - SP</v>
      </c>
      <c r="H1664" t="str">
        <f>_xlfn.XLOOKUP(A1664, PORTE!A:A, PORTE!B:B)</f>
        <v>0</v>
      </c>
      <c r="I1664" t="str">
        <f>_xlfn.XLOOKUP(A1664, OBJETIVO!A:A, OBJETIVO!B:B)</f>
        <v>Consultoria</v>
      </c>
      <c r="J1664">
        <f t="shared" si="25"/>
        <v>0</v>
      </c>
    </row>
    <row r="1665" spans="1:10" x14ac:dyDescent="0.25">
      <c r="A1665">
        <v>10791477</v>
      </c>
      <c r="B1665" s="1">
        <v>45647.669374999998</v>
      </c>
      <c r="C1665" t="s">
        <v>0</v>
      </c>
      <c r="D1665" t="str">
        <f>VLOOKUP(A1665,MERCADO!A:B,2,0)</f>
        <v>Empreendedor</v>
      </c>
      <c r="E1665" t="str">
        <f>_xlfn.XLOOKUP(A1665, ORIGEM!A:A, ORIGEM!B:B)</f>
        <v>Leads</v>
      </c>
      <c r="F1665" t="str">
        <f>_xlfn.XLOOKUP(A1665, ORIGEM!A:A, ORIGEM!C:C)</f>
        <v>leads - email</v>
      </c>
      <c r="G1665" t="str">
        <f>_xlfn.XLOOKUP(A1665, LOCAL!A:A, LOCAL!B:B)</f>
        <v>Sorocaba - SP</v>
      </c>
      <c r="H1665" t="str">
        <f>_xlfn.XLOOKUP(A1665, PORTE!A:A, PORTE!B:B)</f>
        <v>0</v>
      </c>
      <c r="I1665" t="str">
        <f>_xlfn.XLOOKUP(A1665, OBJETIVO!A:A, OBJETIVO!B:B)</f>
        <v>Outro</v>
      </c>
      <c r="J1665">
        <f t="shared" si="25"/>
        <v>0</v>
      </c>
    </row>
    <row r="1666" spans="1:10" x14ac:dyDescent="0.25">
      <c r="A1666">
        <v>10791560</v>
      </c>
      <c r="B1666" s="1">
        <v>45647.676400462966</v>
      </c>
      <c r="C1666" t="s">
        <v>0</v>
      </c>
      <c r="D1666" t="str">
        <f>VLOOKUP(A1666,MERCADO!A:B,2,0)</f>
        <v>Empreendedor</v>
      </c>
      <c r="E1666" t="str">
        <f>_xlfn.XLOOKUP(A1666, ORIGEM!A:A, ORIGEM!B:B)</f>
        <v>Leads</v>
      </c>
      <c r="F1666" t="str">
        <f>_xlfn.XLOOKUP(A1666, ORIGEM!A:A, ORIGEM!C:C)</f>
        <v>leads - email</v>
      </c>
      <c r="G1666" t="str">
        <f>_xlfn.XLOOKUP(A1666, LOCAL!A:A, LOCAL!B:B)</f>
        <v>Contagem - MG</v>
      </c>
      <c r="H1666" t="str">
        <f>_xlfn.XLOOKUP(A1666, PORTE!A:A, PORTE!B:B)</f>
        <v>1-10</v>
      </c>
      <c r="I1666" t="str">
        <f>_xlfn.XLOOKUP(A1666, OBJETIVO!A:A, OBJETIVO!B:B)</f>
        <v>Abertura/Expansão</v>
      </c>
      <c r="J1666">
        <f t="shared" si="25"/>
        <v>0</v>
      </c>
    </row>
    <row r="1667" spans="1:10" x14ac:dyDescent="0.25">
      <c r="A1667">
        <v>10794152</v>
      </c>
      <c r="B1667" s="1">
        <v>45647.836493055554</v>
      </c>
      <c r="C1667" t="s">
        <v>0</v>
      </c>
      <c r="D1667" t="str">
        <f>VLOOKUP(A1667,MERCADO!A:B,2,0)</f>
        <v>Empreendedor</v>
      </c>
      <c r="E1667" t="str">
        <f>_xlfn.XLOOKUP(A1667, ORIGEM!A:A, ORIGEM!B:B)</f>
        <v>Leads</v>
      </c>
      <c r="F1667" t="str">
        <f>_xlfn.XLOOKUP(A1667, ORIGEM!A:A, ORIGEM!C:C)</f>
        <v>leads - email</v>
      </c>
      <c r="G1667" t="str">
        <f>_xlfn.XLOOKUP(A1667, LOCAL!A:A, LOCAL!B:B)</f>
        <v>Pelotas - RS</v>
      </c>
      <c r="H1667" t="str">
        <f>_xlfn.XLOOKUP(A1667, PORTE!A:A, PORTE!B:B)</f>
        <v>0</v>
      </c>
      <c r="I1667" t="str">
        <f>_xlfn.XLOOKUP(A1667, OBJETIVO!A:A, OBJETIVO!B:B)</f>
        <v>Ações de marketing/vendas</v>
      </c>
      <c r="J1667">
        <f t="shared" ref="J1667:J1730" si="26">IF(C1667="SIM",1,0)</f>
        <v>0</v>
      </c>
    </row>
    <row r="1668" spans="1:10" x14ac:dyDescent="0.25">
      <c r="A1668">
        <v>10796317</v>
      </c>
      <c r="B1668" s="1">
        <v>45648.413043981483</v>
      </c>
      <c r="C1668" t="s">
        <v>0</v>
      </c>
      <c r="D1668" t="str">
        <f>VLOOKUP(A1668,MERCADO!A:B,2,0)</f>
        <v>Empreendedor</v>
      </c>
      <c r="E1668" t="str">
        <f>_xlfn.XLOOKUP(A1668, ORIGEM!A:A, ORIGEM!B:B)</f>
        <v>Leads</v>
      </c>
      <c r="F1668" t="str">
        <f>_xlfn.XLOOKUP(A1668, ORIGEM!A:A, ORIGEM!C:C)</f>
        <v>leads - email</v>
      </c>
      <c r="G1668" t="str">
        <f>_xlfn.XLOOKUP(A1668, LOCAL!A:A, LOCAL!B:B)</f>
        <v>Jundiaí - SP</v>
      </c>
      <c r="H1668" t="str">
        <f>_xlfn.XLOOKUP(A1668, PORTE!A:A, PORTE!B:B)</f>
        <v>0</v>
      </c>
      <c r="I1668" t="str">
        <f>_xlfn.XLOOKUP(A1668, OBJETIVO!A:A, OBJETIVO!B:B)</f>
        <v>Abertura/Expansão</v>
      </c>
      <c r="J1668">
        <f t="shared" si="26"/>
        <v>0</v>
      </c>
    </row>
    <row r="1669" spans="1:10" x14ac:dyDescent="0.25">
      <c r="A1669">
        <v>11282991</v>
      </c>
      <c r="B1669" s="1">
        <v>45696.626122685186</v>
      </c>
      <c r="C1669" t="s">
        <v>0</v>
      </c>
      <c r="D1669" t="str">
        <f>VLOOKUP(A1669,MERCADO!A:B,2,0)</f>
        <v>Empreendedor</v>
      </c>
      <c r="E1669" t="str">
        <f>_xlfn.XLOOKUP(A1669, ORIGEM!A:A, ORIGEM!B:B)</f>
        <v>Leads</v>
      </c>
      <c r="F1669" t="str">
        <f>_xlfn.XLOOKUP(A1669, ORIGEM!A:A, ORIGEM!C:C)</f>
        <v>leads - email</v>
      </c>
      <c r="G1669" t="str">
        <f>_xlfn.XLOOKUP(A1669, LOCAL!A:A, LOCAL!B:B)</f>
        <v>Duque de Caxias - RJ</v>
      </c>
      <c r="H1669" t="str">
        <f>_xlfn.XLOOKUP(A1669, PORTE!A:A, PORTE!B:B)</f>
        <v>0</v>
      </c>
      <c r="I1669" t="str">
        <f>_xlfn.XLOOKUP(A1669, OBJETIVO!A:A, OBJETIVO!B:B)</f>
        <v>Geração de leads b2b</v>
      </c>
      <c r="J1669">
        <f t="shared" si="26"/>
        <v>0</v>
      </c>
    </row>
    <row r="1670" spans="1:10" x14ac:dyDescent="0.25">
      <c r="A1670">
        <v>11284023</v>
      </c>
      <c r="B1670" s="1">
        <v>45696.641319444447</v>
      </c>
      <c r="C1670" t="s">
        <v>0</v>
      </c>
      <c r="D1670" t="str">
        <f>VLOOKUP(A1670,MERCADO!A:B,2,0)</f>
        <v>Empreendedor</v>
      </c>
      <c r="E1670" t="str">
        <f>_xlfn.XLOOKUP(A1670, ORIGEM!A:A, ORIGEM!B:B)</f>
        <v>Leads</v>
      </c>
      <c r="F1670" t="str">
        <f>_xlfn.XLOOKUP(A1670, ORIGEM!A:A, ORIGEM!C:C)</f>
        <v>leads - email</v>
      </c>
      <c r="G1670" t="str">
        <f>_xlfn.XLOOKUP(A1670, LOCAL!A:A, LOCAL!B:B)</f>
        <v>Florianópolis - SC</v>
      </c>
      <c r="H1670" t="str">
        <f>_xlfn.XLOOKUP(A1670, PORTE!A:A, PORTE!B:B)</f>
        <v>0</v>
      </c>
      <c r="I1670" t="str">
        <f>_xlfn.XLOOKUP(A1670, OBJETIVO!A:A, OBJETIVO!B:B)</f>
        <v>Abertura/Expansão</v>
      </c>
      <c r="J1670">
        <f t="shared" si="26"/>
        <v>0</v>
      </c>
    </row>
    <row r="1671" spans="1:10" x14ac:dyDescent="0.25">
      <c r="A1671">
        <v>11070606</v>
      </c>
      <c r="B1671" s="1">
        <v>45678.581400462965</v>
      </c>
      <c r="C1671" t="s">
        <v>0</v>
      </c>
      <c r="D1671" t="str">
        <f>VLOOKUP(A1671,MERCADO!A:B,2,0)</f>
        <v>Franqueadora</v>
      </c>
      <c r="E1671" t="str">
        <f>_xlfn.XLOOKUP(A1671, ORIGEM!A:A, ORIGEM!B:B)</f>
        <v>Prospecção Ativa</v>
      </c>
      <c r="F1671">
        <f>_xlfn.XLOOKUP(A1671, ORIGEM!A:A, ORIGEM!C:C)</f>
        <v>0</v>
      </c>
      <c r="G1671" t="str">
        <f>_xlfn.XLOOKUP(A1671, LOCAL!A:A, LOCAL!B:B)</f>
        <v>-</v>
      </c>
      <c r="H1671">
        <f>_xlfn.XLOOKUP(A1671, PORTE!A:A, PORTE!B:B)</f>
        <v>0</v>
      </c>
      <c r="I1671">
        <f>_xlfn.XLOOKUP(A1671, OBJETIVO!A:A, OBJETIVO!B:B)</f>
        <v>0</v>
      </c>
      <c r="J1671">
        <f t="shared" si="26"/>
        <v>0</v>
      </c>
    </row>
    <row r="1672" spans="1:10" x14ac:dyDescent="0.25">
      <c r="A1672">
        <v>11071869</v>
      </c>
      <c r="B1672" s="1">
        <v>45678.620023148149</v>
      </c>
      <c r="C1672" t="s">
        <v>0</v>
      </c>
      <c r="D1672" t="str">
        <f>VLOOKUP(A1672,MERCADO!A:B,2,0)</f>
        <v>Franqueadora</v>
      </c>
      <c r="E1672" t="str">
        <f>_xlfn.XLOOKUP(A1672, ORIGEM!A:A, ORIGEM!B:B)</f>
        <v>Prospecção Ativa</v>
      </c>
      <c r="F1672">
        <f>_xlfn.XLOOKUP(A1672, ORIGEM!A:A, ORIGEM!C:C)</f>
        <v>0</v>
      </c>
      <c r="G1672" t="str">
        <f>_xlfn.XLOOKUP(A1672, LOCAL!A:A, LOCAL!B:B)</f>
        <v>-</v>
      </c>
      <c r="H1672">
        <f>_xlfn.XLOOKUP(A1672, PORTE!A:A, PORTE!B:B)</f>
        <v>0</v>
      </c>
      <c r="I1672">
        <f>_xlfn.XLOOKUP(A1672, OBJETIVO!A:A, OBJETIVO!B:B)</f>
        <v>0</v>
      </c>
      <c r="J1672">
        <f t="shared" si="26"/>
        <v>0</v>
      </c>
    </row>
    <row r="1673" spans="1:10" x14ac:dyDescent="0.25">
      <c r="A1673">
        <v>11068504</v>
      </c>
      <c r="B1673" s="1">
        <v>45678.467291666668</v>
      </c>
      <c r="C1673" t="s">
        <v>0</v>
      </c>
      <c r="D1673" t="str">
        <f>VLOOKUP(A1673,MERCADO!A:B,2,0)</f>
        <v>Franqueadora</v>
      </c>
      <c r="E1673" t="str">
        <f>_xlfn.XLOOKUP(A1673, ORIGEM!A:A, ORIGEM!B:B)</f>
        <v>Prospecção Ativa</v>
      </c>
      <c r="F1673">
        <f>_xlfn.XLOOKUP(A1673, ORIGEM!A:A, ORIGEM!C:C)</f>
        <v>0</v>
      </c>
      <c r="G1673" t="str">
        <f>_xlfn.XLOOKUP(A1673, LOCAL!A:A, LOCAL!B:B)</f>
        <v>-</v>
      </c>
      <c r="H1673">
        <f>_xlfn.XLOOKUP(A1673, PORTE!A:A, PORTE!B:B)</f>
        <v>0</v>
      </c>
      <c r="I1673">
        <f>_xlfn.XLOOKUP(A1673, OBJETIVO!A:A, OBJETIVO!B:B)</f>
        <v>0</v>
      </c>
      <c r="J1673">
        <f t="shared" si="26"/>
        <v>0</v>
      </c>
    </row>
    <row r="1674" spans="1:10" x14ac:dyDescent="0.25">
      <c r="A1674">
        <v>11599703</v>
      </c>
      <c r="B1674" s="1">
        <v>45726.506840277776</v>
      </c>
      <c r="C1674" t="s">
        <v>0</v>
      </c>
      <c r="D1674" t="str">
        <f>VLOOKUP(A1674,MERCADO!A:B,2,0)</f>
        <v>Franqueadora</v>
      </c>
      <c r="E1674" t="str">
        <f>_xlfn.XLOOKUP(A1674, ORIGEM!A:A, ORIGEM!B:B)</f>
        <v>Prospecção Ativa</v>
      </c>
      <c r="F1674">
        <f>_xlfn.XLOOKUP(A1674, ORIGEM!A:A, ORIGEM!C:C)</f>
        <v>0</v>
      </c>
      <c r="G1674" t="str">
        <f>_xlfn.XLOOKUP(A1674, LOCAL!A:A, LOCAL!B:B)</f>
        <v>-</v>
      </c>
      <c r="H1674">
        <f>_xlfn.XLOOKUP(A1674, PORTE!A:A, PORTE!B:B)</f>
        <v>0</v>
      </c>
      <c r="I1674">
        <f>_xlfn.XLOOKUP(A1674, OBJETIVO!A:A, OBJETIVO!B:B)</f>
        <v>0</v>
      </c>
      <c r="J1674">
        <f t="shared" si="26"/>
        <v>0</v>
      </c>
    </row>
    <row r="1675" spans="1:10" x14ac:dyDescent="0.25">
      <c r="A1675">
        <v>11344704</v>
      </c>
      <c r="B1675" s="1">
        <v>45701.566678240742</v>
      </c>
      <c r="C1675" t="s">
        <v>0</v>
      </c>
      <c r="D1675" t="str">
        <f>VLOOKUP(A1675,MERCADO!A:B,2,0)</f>
        <v>Franqueadora</v>
      </c>
      <c r="E1675" t="str">
        <f>_xlfn.XLOOKUP(A1675, ORIGEM!A:A, ORIGEM!B:B)</f>
        <v>Facebook</v>
      </c>
      <c r="F1675" t="str">
        <f>_xlfn.XLOOKUP(A1675, ORIGEM!A:A, ORIGEM!C:C)</f>
        <v>facebook - cpc</v>
      </c>
      <c r="G1675" t="str">
        <f>_xlfn.XLOOKUP(A1675, LOCAL!A:A, LOCAL!B:B)</f>
        <v>Brasília - DF</v>
      </c>
      <c r="H1675" t="str">
        <f>_xlfn.XLOOKUP(A1675, PORTE!A:A, PORTE!B:B)</f>
        <v>1-10</v>
      </c>
      <c r="I1675" t="str">
        <f>_xlfn.XLOOKUP(A1675, OBJETIVO!A:A, OBJETIVO!B:B)</f>
        <v>Ações de marketing/vendas</v>
      </c>
      <c r="J1675">
        <f t="shared" si="26"/>
        <v>0</v>
      </c>
    </row>
    <row r="1676" spans="1:10" x14ac:dyDescent="0.25">
      <c r="A1676">
        <v>11264792</v>
      </c>
      <c r="B1676" s="1">
        <v>45693.667488425926</v>
      </c>
      <c r="C1676" t="s">
        <v>0</v>
      </c>
      <c r="D1676" t="str">
        <f>VLOOKUP(A1676,MERCADO!A:B,2,0)</f>
        <v>Franqueadora</v>
      </c>
      <c r="E1676" t="str">
        <f>_xlfn.XLOOKUP(A1676, ORIGEM!A:A, ORIGEM!B:B)</f>
        <v>Orgânico</v>
      </c>
      <c r="F1676">
        <f>_xlfn.XLOOKUP(A1676, ORIGEM!A:A, ORIGEM!C:C)</f>
        <v>0</v>
      </c>
      <c r="G1676" t="str">
        <f>_xlfn.XLOOKUP(A1676, LOCAL!A:A, LOCAL!B:B)</f>
        <v>Blumenau - SC</v>
      </c>
      <c r="H1676" t="str">
        <f>_xlfn.XLOOKUP(A1676, PORTE!A:A, PORTE!B:B)</f>
        <v>0</v>
      </c>
      <c r="I1676" t="str">
        <f>_xlfn.XLOOKUP(A1676, OBJETIVO!A:A, OBJETIVO!B:B)</f>
        <v>Outro</v>
      </c>
      <c r="J1676">
        <f t="shared" si="26"/>
        <v>0</v>
      </c>
    </row>
    <row r="1677" spans="1:10" x14ac:dyDescent="0.25">
      <c r="A1677">
        <v>11933972</v>
      </c>
      <c r="B1677" s="1">
        <v>45756.671261574076</v>
      </c>
      <c r="C1677" t="s">
        <v>0</v>
      </c>
      <c r="D1677" t="str">
        <f>VLOOKUP(A1677,MERCADO!A:B,2,0)</f>
        <v>Franqueadora</v>
      </c>
      <c r="E1677" t="str">
        <f>_xlfn.XLOOKUP(A1677, ORIGEM!A:A, ORIGEM!B:B)</f>
        <v>Google</v>
      </c>
      <c r="F1677">
        <f>_xlfn.XLOOKUP(A1677, ORIGEM!A:A, ORIGEM!C:C)</f>
        <v>0</v>
      </c>
      <c r="G1677" t="str">
        <f>_xlfn.XLOOKUP(A1677, LOCAL!A:A, LOCAL!B:B)</f>
        <v>Passo Fundo - RS</v>
      </c>
      <c r="H1677" t="str">
        <f>_xlfn.XLOOKUP(A1677, PORTE!A:A, PORTE!B:B)</f>
        <v>11-50</v>
      </c>
      <c r="I1677">
        <f>_xlfn.XLOOKUP(A1677, OBJETIVO!A:A, OBJETIVO!B:B)</f>
        <v>0</v>
      </c>
      <c r="J1677">
        <f t="shared" si="26"/>
        <v>0</v>
      </c>
    </row>
    <row r="1678" spans="1:10" x14ac:dyDescent="0.25">
      <c r="A1678">
        <v>11290065</v>
      </c>
      <c r="B1678" s="1">
        <v>45696.74490740741</v>
      </c>
      <c r="C1678" t="s">
        <v>0</v>
      </c>
      <c r="D1678" t="str">
        <f>VLOOKUP(A1678,MERCADO!A:B,2,0)</f>
        <v>Franqueadora</v>
      </c>
      <c r="E1678" t="str">
        <f>_xlfn.XLOOKUP(A1678, ORIGEM!A:A, ORIGEM!B:B)</f>
        <v>Orgânico</v>
      </c>
      <c r="F1678">
        <f>_xlfn.XLOOKUP(A1678, ORIGEM!A:A, ORIGEM!C:C)</f>
        <v>0</v>
      </c>
      <c r="G1678" t="str">
        <f>_xlfn.XLOOKUP(A1678, LOCAL!A:A, LOCAL!B:B)</f>
        <v>Uberlândia - MG</v>
      </c>
      <c r="H1678" t="str">
        <f>_xlfn.XLOOKUP(A1678, PORTE!A:A, PORTE!B:B)</f>
        <v>0</v>
      </c>
      <c r="I1678" t="str">
        <f>_xlfn.XLOOKUP(A1678, OBJETIVO!A:A, OBJETIVO!B:B)</f>
        <v>Outro</v>
      </c>
      <c r="J1678">
        <f t="shared" si="26"/>
        <v>0</v>
      </c>
    </row>
    <row r="1679" spans="1:10" x14ac:dyDescent="0.25">
      <c r="A1679">
        <v>11334533</v>
      </c>
      <c r="B1679" s="1">
        <v>45700.44394675926</v>
      </c>
      <c r="C1679" t="s">
        <v>0</v>
      </c>
      <c r="D1679" t="str">
        <f>VLOOKUP(A1679,MERCADO!A:B,2,0)</f>
        <v>Franqueadora</v>
      </c>
      <c r="E1679" t="str">
        <f>_xlfn.XLOOKUP(A1679, ORIGEM!A:A, ORIGEM!B:B)</f>
        <v>Orgânico</v>
      </c>
      <c r="F1679">
        <f>_xlfn.XLOOKUP(A1679, ORIGEM!A:A, ORIGEM!C:C)</f>
        <v>0</v>
      </c>
      <c r="G1679" t="str">
        <f>_xlfn.XLOOKUP(A1679, LOCAL!A:A, LOCAL!B:B)</f>
        <v>-</v>
      </c>
      <c r="H1679" t="str">
        <f>_xlfn.XLOOKUP(A1679, PORTE!A:A, PORTE!B:B)</f>
        <v>11-50</v>
      </c>
      <c r="I1679" t="str">
        <f>_xlfn.XLOOKUP(A1679, OBJETIVO!A:A, OBJETIVO!B:B)</f>
        <v>Abertura/Expansão</v>
      </c>
      <c r="J1679">
        <f t="shared" si="26"/>
        <v>0</v>
      </c>
    </row>
    <row r="1680" spans="1:10" x14ac:dyDescent="0.25">
      <c r="A1680">
        <v>11346530</v>
      </c>
      <c r="B1680" s="1">
        <v>45702.374513888892</v>
      </c>
      <c r="C1680" t="s">
        <v>0</v>
      </c>
      <c r="D1680" t="str">
        <f>VLOOKUP(A1680,MERCADO!A:B,2,0)</f>
        <v>Franqueadora</v>
      </c>
      <c r="E1680" t="str">
        <f>_xlfn.XLOOKUP(A1680, ORIGEM!A:A, ORIGEM!B:B)</f>
        <v>Orgânico</v>
      </c>
      <c r="F1680">
        <f>_xlfn.XLOOKUP(A1680, ORIGEM!A:A, ORIGEM!C:C)</f>
        <v>0</v>
      </c>
      <c r="G1680" t="str">
        <f>_xlfn.XLOOKUP(A1680, LOCAL!A:A, LOCAL!B:B)</f>
        <v>Rio Preto - SP</v>
      </c>
      <c r="H1680" t="str">
        <f>_xlfn.XLOOKUP(A1680, PORTE!A:A, PORTE!B:B)</f>
        <v>1-10</v>
      </c>
      <c r="I1680" t="str">
        <f>_xlfn.XLOOKUP(A1680, OBJETIVO!A:A, OBJETIVO!B:B)</f>
        <v>Abertura/Expansão</v>
      </c>
      <c r="J1680">
        <f t="shared" si="26"/>
        <v>0</v>
      </c>
    </row>
    <row r="1681" spans="1:10" x14ac:dyDescent="0.25">
      <c r="A1681">
        <v>11421234</v>
      </c>
      <c r="B1681" s="1">
        <v>45710.611111111109</v>
      </c>
      <c r="C1681" t="s">
        <v>0</v>
      </c>
      <c r="D1681" t="str">
        <f>VLOOKUP(A1681,MERCADO!A:B,2,0)</f>
        <v>Franqueadora</v>
      </c>
      <c r="E1681" t="str">
        <f>_xlfn.XLOOKUP(A1681, ORIGEM!A:A, ORIGEM!B:B)</f>
        <v>Orgânico</v>
      </c>
      <c r="F1681">
        <f>_xlfn.XLOOKUP(A1681, ORIGEM!A:A, ORIGEM!C:C)</f>
        <v>0</v>
      </c>
      <c r="G1681" t="str">
        <f>_xlfn.XLOOKUP(A1681, LOCAL!A:A, LOCAL!B:B)</f>
        <v>-</v>
      </c>
      <c r="H1681" t="str">
        <f>_xlfn.XLOOKUP(A1681, PORTE!A:A, PORTE!B:B)</f>
        <v>11-50</v>
      </c>
      <c r="I1681" t="str">
        <f>_xlfn.XLOOKUP(A1681, OBJETIVO!A:A, OBJETIVO!B:B)</f>
        <v>Planejamento estratégico</v>
      </c>
      <c r="J1681">
        <f t="shared" si="26"/>
        <v>0</v>
      </c>
    </row>
    <row r="1682" spans="1:10" x14ac:dyDescent="0.25">
      <c r="A1682">
        <v>11715844</v>
      </c>
      <c r="B1682" s="1">
        <v>45738.455671296295</v>
      </c>
      <c r="C1682" t="s">
        <v>0</v>
      </c>
      <c r="D1682" t="str">
        <f>VLOOKUP(A1682,MERCADO!A:B,2,0)</f>
        <v>Franqueadora</v>
      </c>
      <c r="E1682" t="str">
        <f>_xlfn.XLOOKUP(A1682, ORIGEM!A:A, ORIGEM!B:B)</f>
        <v>Orgânico</v>
      </c>
      <c r="F1682">
        <f>_xlfn.XLOOKUP(A1682, ORIGEM!A:A, ORIGEM!C:C)</f>
        <v>0</v>
      </c>
      <c r="G1682" t="str">
        <f>_xlfn.XLOOKUP(A1682, LOCAL!A:A, LOCAL!B:B)</f>
        <v>Campo Grande - MS</v>
      </c>
      <c r="H1682" t="str">
        <f>_xlfn.XLOOKUP(A1682, PORTE!A:A, PORTE!B:B)</f>
        <v>0</v>
      </c>
      <c r="I1682" t="str">
        <f>_xlfn.XLOOKUP(A1682, OBJETIVO!A:A, OBJETIVO!B:B)</f>
        <v>Abertura/Expansão</v>
      </c>
      <c r="J1682">
        <f t="shared" si="26"/>
        <v>0</v>
      </c>
    </row>
    <row r="1683" spans="1:10" x14ac:dyDescent="0.25">
      <c r="A1683">
        <v>11724450</v>
      </c>
      <c r="B1683" s="1">
        <v>45738.745462962965</v>
      </c>
      <c r="C1683" t="s">
        <v>0</v>
      </c>
      <c r="D1683" t="str">
        <f>VLOOKUP(A1683,MERCADO!A:B,2,0)</f>
        <v>Franqueadora</v>
      </c>
      <c r="E1683" t="str">
        <f>_xlfn.XLOOKUP(A1683, ORIGEM!A:A, ORIGEM!B:B)</f>
        <v>Orgânico</v>
      </c>
      <c r="F1683">
        <f>_xlfn.XLOOKUP(A1683, ORIGEM!A:A, ORIGEM!C:C)</f>
        <v>0</v>
      </c>
      <c r="G1683" t="str">
        <f>_xlfn.XLOOKUP(A1683, LOCAL!A:A, LOCAL!B:B)</f>
        <v>São Paulo - SP</v>
      </c>
      <c r="H1683" t="str">
        <f>_xlfn.XLOOKUP(A1683, PORTE!A:A, PORTE!B:B)</f>
        <v>1-10</v>
      </c>
      <c r="I1683" t="str">
        <f>_xlfn.XLOOKUP(A1683, OBJETIVO!A:A, OBJETIVO!B:B)</f>
        <v>Abertura/Expansão</v>
      </c>
      <c r="J1683">
        <f t="shared" si="26"/>
        <v>0</v>
      </c>
    </row>
    <row r="1684" spans="1:10" x14ac:dyDescent="0.25">
      <c r="A1684">
        <v>11461300</v>
      </c>
      <c r="B1684" s="1">
        <v>45713.599374999998</v>
      </c>
      <c r="C1684" t="s">
        <v>0</v>
      </c>
      <c r="D1684" t="str">
        <f>VLOOKUP(A1684,MERCADO!A:B,2,0)</f>
        <v>Franqueadora</v>
      </c>
      <c r="E1684" t="str">
        <f>_xlfn.XLOOKUP(A1684, ORIGEM!A:A, ORIGEM!B:B)</f>
        <v>Orgânico</v>
      </c>
      <c r="F1684">
        <f>_xlfn.XLOOKUP(A1684, ORIGEM!A:A, ORIGEM!C:C)</f>
        <v>0</v>
      </c>
      <c r="G1684" t="str">
        <f>_xlfn.XLOOKUP(A1684, LOCAL!A:A, LOCAL!B:B)</f>
        <v>São Paulo - SP</v>
      </c>
      <c r="H1684" t="str">
        <f>_xlfn.XLOOKUP(A1684, PORTE!A:A, PORTE!B:B)</f>
        <v>+ 1000</v>
      </c>
      <c r="I1684" t="str">
        <f>_xlfn.XLOOKUP(A1684, OBJETIVO!A:A, OBJETIVO!B:B)</f>
        <v>Abertura/Expansão</v>
      </c>
      <c r="J1684">
        <f t="shared" si="26"/>
        <v>0</v>
      </c>
    </row>
    <row r="1685" spans="1:10" x14ac:dyDescent="0.25">
      <c r="A1685">
        <v>11445191</v>
      </c>
      <c r="B1685" s="1">
        <v>45712.456585648149</v>
      </c>
      <c r="C1685" t="s">
        <v>0</v>
      </c>
      <c r="D1685" t="str">
        <f>VLOOKUP(A1685,MERCADO!A:B,2,0)</f>
        <v>Franqueadora</v>
      </c>
      <c r="E1685" t="str">
        <f>_xlfn.XLOOKUP(A1685, ORIGEM!A:A, ORIGEM!B:B)</f>
        <v>Orgânico</v>
      </c>
      <c r="F1685">
        <f>_xlfn.XLOOKUP(A1685, ORIGEM!A:A, ORIGEM!C:C)</f>
        <v>0</v>
      </c>
      <c r="G1685" t="str">
        <f>_xlfn.XLOOKUP(A1685, LOCAL!A:A, LOCAL!B:B)</f>
        <v>-</v>
      </c>
      <c r="H1685" t="str">
        <f>_xlfn.XLOOKUP(A1685, PORTE!A:A, PORTE!B:B)</f>
        <v>1-10</v>
      </c>
      <c r="I1685" t="str">
        <f>_xlfn.XLOOKUP(A1685, OBJETIVO!A:A, OBJETIVO!B:B)</f>
        <v>Abertura/Expansão</v>
      </c>
      <c r="J1685">
        <f t="shared" si="26"/>
        <v>0</v>
      </c>
    </row>
    <row r="1686" spans="1:10" x14ac:dyDescent="0.25">
      <c r="A1686">
        <v>11453877</v>
      </c>
      <c r="B1686" s="1">
        <v>45712.930289351854</v>
      </c>
      <c r="C1686" t="s">
        <v>0</v>
      </c>
      <c r="D1686" t="str">
        <f>VLOOKUP(A1686,MERCADO!A:B,2,0)</f>
        <v>Franqueadora</v>
      </c>
      <c r="E1686" t="str">
        <f>_xlfn.XLOOKUP(A1686, ORIGEM!A:A, ORIGEM!B:B)</f>
        <v>Orgânico</v>
      </c>
      <c r="F1686">
        <f>_xlfn.XLOOKUP(A1686, ORIGEM!A:A, ORIGEM!C:C)</f>
        <v>0</v>
      </c>
      <c r="G1686" t="str">
        <f>_xlfn.XLOOKUP(A1686, LOCAL!A:A, LOCAL!B:B)</f>
        <v>Rio de Janeiro - RJ</v>
      </c>
      <c r="H1686" t="str">
        <f>_xlfn.XLOOKUP(A1686, PORTE!A:A, PORTE!B:B)</f>
        <v>51-300</v>
      </c>
      <c r="I1686" t="str">
        <f>_xlfn.XLOOKUP(A1686, OBJETIVO!A:A, OBJETIVO!B:B)</f>
        <v>Abertura/Expansão</v>
      </c>
      <c r="J1686">
        <f t="shared" si="26"/>
        <v>0</v>
      </c>
    </row>
    <row r="1687" spans="1:10" x14ac:dyDescent="0.25">
      <c r="A1687">
        <v>11520708</v>
      </c>
      <c r="B1687" s="1">
        <v>45719.619513888887</v>
      </c>
      <c r="C1687" t="s">
        <v>0</v>
      </c>
      <c r="D1687" t="str">
        <f>VLOOKUP(A1687,MERCADO!A:B,2,0)</f>
        <v>Franqueadora</v>
      </c>
      <c r="E1687" t="str">
        <f>_xlfn.XLOOKUP(A1687, ORIGEM!A:A, ORIGEM!B:B)</f>
        <v>Orgânico</v>
      </c>
      <c r="F1687">
        <f>_xlfn.XLOOKUP(A1687, ORIGEM!A:A, ORIGEM!C:C)</f>
        <v>0</v>
      </c>
      <c r="G1687" t="str">
        <f>_xlfn.XLOOKUP(A1687, LOCAL!A:A, LOCAL!B:B)</f>
        <v>São Paulo - SP</v>
      </c>
      <c r="H1687" t="str">
        <f>_xlfn.XLOOKUP(A1687, PORTE!A:A, PORTE!B:B)</f>
        <v>1-10</v>
      </c>
      <c r="I1687" t="str">
        <f>_xlfn.XLOOKUP(A1687, OBJETIVO!A:A, OBJETIVO!B:B)</f>
        <v>Abertura/Expansão</v>
      </c>
      <c r="J1687">
        <f t="shared" si="26"/>
        <v>0</v>
      </c>
    </row>
    <row r="1688" spans="1:10" x14ac:dyDescent="0.25">
      <c r="A1688">
        <v>11091695</v>
      </c>
      <c r="B1688" s="1">
        <v>45680.338182870371</v>
      </c>
      <c r="C1688" t="s">
        <v>0</v>
      </c>
      <c r="D1688" t="str">
        <f>VLOOKUP(A1688,MERCADO!A:B,2,0)</f>
        <v>Franqueadora</v>
      </c>
      <c r="E1688" t="str">
        <f>_xlfn.XLOOKUP(A1688, ORIGEM!A:A, ORIGEM!B:B)</f>
        <v>Orgânico</v>
      </c>
      <c r="F1688">
        <f>_xlfn.XLOOKUP(A1688, ORIGEM!A:A, ORIGEM!C:C)</f>
        <v>0</v>
      </c>
      <c r="G1688" t="str">
        <f>_xlfn.XLOOKUP(A1688, LOCAL!A:A, LOCAL!B:B)</f>
        <v>Campos dos Goytacazes - RJ</v>
      </c>
      <c r="H1688" t="str">
        <f>_xlfn.XLOOKUP(A1688, PORTE!A:A, PORTE!B:B)</f>
        <v>1-10</v>
      </c>
      <c r="I1688" t="str">
        <f>_xlfn.XLOOKUP(A1688, OBJETIVO!A:A, OBJETIVO!B:B)</f>
        <v>Abertura/Expansão</v>
      </c>
      <c r="J1688">
        <f t="shared" si="26"/>
        <v>0</v>
      </c>
    </row>
    <row r="1689" spans="1:10" x14ac:dyDescent="0.25">
      <c r="A1689">
        <v>11047536</v>
      </c>
      <c r="B1689" s="1">
        <v>45676.731909722221</v>
      </c>
      <c r="C1689" t="s">
        <v>0</v>
      </c>
      <c r="D1689" t="str">
        <f>VLOOKUP(A1689,MERCADO!A:B,2,0)</f>
        <v>Franqueadora</v>
      </c>
      <c r="E1689" t="str">
        <f>_xlfn.XLOOKUP(A1689, ORIGEM!A:A, ORIGEM!B:B)</f>
        <v>Orgânico</v>
      </c>
      <c r="F1689">
        <f>_xlfn.XLOOKUP(A1689, ORIGEM!A:A, ORIGEM!C:C)</f>
        <v>0</v>
      </c>
      <c r="G1689" t="str">
        <f>_xlfn.XLOOKUP(A1689, LOCAL!A:A, LOCAL!B:B)</f>
        <v>Salvador - BA</v>
      </c>
      <c r="H1689" t="str">
        <f>_xlfn.XLOOKUP(A1689, PORTE!A:A, PORTE!B:B)</f>
        <v>0</v>
      </c>
      <c r="I1689" t="str">
        <f>_xlfn.XLOOKUP(A1689, OBJETIVO!A:A, OBJETIVO!B:B)</f>
        <v>Planejamento estratégico</v>
      </c>
      <c r="J1689">
        <f t="shared" si="26"/>
        <v>0</v>
      </c>
    </row>
    <row r="1690" spans="1:10" x14ac:dyDescent="0.25">
      <c r="A1690">
        <v>10958736</v>
      </c>
      <c r="B1690" s="1">
        <v>45670.43545138889</v>
      </c>
      <c r="C1690" t="s">
        <v>0</v>
      </c>
      <c r="D1690" t="str">
        <f>VLOOKUP(A1690,MERCADO!A:B,2,0)</f>
        <v>Franqueadora</v>
      </c>
      <c r="E1690" t="str">
        <f>_xlfn.XLOOKUP(A1690, ORIGEM!A:A, ORIGEM!B:B)</f>
        <v>Orgânico</v>
      </c>
      <c r="F1690">
        <f>_xlfn.XLOOKUP(A1690, ORIGEM!A:A, ORIGEM!C:C)</f>
        <v>0</v>
      </c>
      <c r="G1690" t="str">
        <f>_xlfn.XLOOKUP(A1690, LOCAL!A:A, LOCAL!B:B)</f>
        <v>Canela - RS</v>
      </c>
      <c r="H1690" t="str">
        <f>_xlfn.XLOOKUP(A1690, PORTE!A:A, PORTE!B:B)</f>
        <v>+ 1000</v>
      </c>
      <c r="I1690" t="str">
        <f>_xlfn.XLOOKUP(A1690, OBJETIVO!A:A, OBJETIVO!B:B)</f>
        <v>Abertura/Expansão</v>
      </c>
      <c r="J1690">
        <f t="shared" si="26"/>
        <v>0</v>
      </c>
    </row>
    <row r="1691" spans="1:10" x14ac:dyDescent="0.25">
      <c r="A1691">
        <v>10961624</v>
      </c>
      <c r="B1691" s="1">
        <v>45670.505381944444</v>
      </c>
      <c r="C1691" t="s">
        <v>0</v>
      </c>
      <c r="D1691" t="str">
        <f>VLOOKUP(A1691,MERCADO!A:B,2,0)</f>
        <v>Franqueadora</v>
      </c>
      <c r="E1691" t="str">
        <f>_xlfn.XLOOKUP(A1691, ORIGEM!A:A, ORIGEM!B:B)</f>
        <v>Orgânico</v>
      </c>
      <c r="F1691">
        <f>_xlfn.XLOOKUP(A1691, ORIGEM!A:A, ORIGEM!C:C)</f>
        <v>0</v>
      </c>
      <c r="G1691" t="str">
        <f>_xlfn.XLOOKUP(A1691, LOCAL!A:A, LOCAL!B:B)</f>
        <v>Paco do Lumiar - MA</v>
      </c>
      <c r="H1691" t="str">
        <f>_xlfn.XLOOKUP(A1691, PORTE!A:A, PORTE!B:B)</f>
        <v>0</v>
      </c>
      <c r="I1691" t="str">
        <f>_xlfn.XLOOKUP(A1691, OBJETIVO!A:A, OBJETIVO!B:B)</f>
        <v>Planejamento estratégico</v>
      </c>
      <c r="J1691">
        <f t="shared" si="26"/>
        <v>0</v>
      </c>
    </row>
    <row r="1692" spans="1:10" x14ac:dyDescent="0.25">
      <c r="A1692">
        <v>10980224</v>
      </c>
      <c r="B1692" s="1">
        <v>45671.600798611114</v>
      </c>
      <c r="C1692" t="s">
        <v>0</v>
      </c>
      <c r="D1692" t="str">
        <f>VLOOKUP(A1692,MERCADO!A:B,2,0)</f>
        <v>Franqueadora</v>
      </c>
      <c r="E1692" t="str">
        <f>_xlfn.XLOOKUP(A1692, ORIGEM!A:A, ORIGEM!B:B)</f>
        <v>Orgânico</v>
      </c>
      <c r="F1692">
        <f>_xlfn.XLOOKUP(A1692, ORIGEM!A:A, ORIGEM!C:C)</f>
        <v>0</v>
      </c>
      <c r="G1692" t="str">
        <f>_xlfn.XLOOKUP(A1692, LOCAL!A:A, LOCAL!B:B)</f>
        <v>Londrina - PR</v>
      </c>
      <c r="H1692" t="str">
        <f>_xlfn.XLOOKUP(A1692, PORTE!A:A, PORTE!B:B)</f>
        <v>1-10</v>
      </c>
      <c r="I1692" t="str">
        <f>_xlfn.XLOOKUP(A1692, OBJETIVO!A:A, OBJETIVO!B:B)</f>
        <v>Abertura/Expansão</v>
      </c>
      <c r="J1692">
        <f t="shared" si="26"/>
        <v>0</v>
      </c>
    </row>
    <row r="1693" spans="1:10" x14ac:dyDescent="0.25">
      <c r="A1693">
        <v>10853591</v>
      </c>
      <c r="B1693" s="1">
        <v>45660.858981481484</v>
      </c>
      <c r="C1693" t="s">
        <v>0</v>
      </c>
      <c r="D1693" t="str">
        <f>VLOOKUP(A1693,MERCADO!A:B,2,0)</f>
        <v>Franqueadora</v>
      </c>
      <c r="E1693" t="str">
        <f>_xlfn.XLOOKUP(A1693, ORIGEM!A:A, ORIGEM!B:B)</f>
        <v>Orgânico</v>
      </c>
      <c r="F1693">
        <f>_xlfn.XLOOKUP(A1693, ORIGEM!A:A, ORIGEM!C:C)</f>
        <v>0</v>
      </c>
      <c r="G1693" t="str">
        <f>_xlfn.XLOOKUP(A1693, LOCAL!A:A, LOCAL!B:B)</f>
        <v>São Paulo - SP</v>
      </c>
      <c r="H1693" t="str">
        <f>_xlfn.XLOOKUP(A1693, PORTE!A:A, PORTE!B:B)</f>
        <v>51-300</v>
      </c>
      <c r="I1693" t="str">
        <f>_xlfn.XLOOKUP(A1693, OBJETIVO!A:A, OBJETIVO!B:B)</f>
        <v>Abertura/Expansão</v>
      </c>
      <c r="J1693">
        <f t="shared" si="26"/>
        <v>0</v>
      </c>
    </row>
    <row r="1694" spans="1:10" x14ac:dyDescent="0.25">
      <c r="A1694">
        <v>10919276</v>
      </c>
      <c r="B1694" s="1">
        <v>45665.794085648151</v>
      </c>
      <c r="C1694" t="s">
        <v>0</v>
      </c>
      <c r="D1694" t="str">
        <f>VLOOKUP(A1694,MERCADO!A:B,2,0)</f>
        <v>Franqueadora</v>
      </c>
      <c r="E1694" t="str">
        <f>_xlfn.XLOOKUP(A1694, ORIGEM!A:A, ORIGEM!B:B)</f>
        <v>Orgânico</v>
      </c>
      <c r="F1694">
        <f>_xlfn.XLOOKUP(A1694, ORIGEM!A:A, ORIGEM!C:C)</f>
        <v>0</v>
      </c>
      <c r="G1694" t="str">
        <f>_xlfn.XLOOKUP(A1694, LOCAL!A:A, LOCAL!B:B)</f>
        <v>Santa Cruz de Salinas - MG</v>
      </c>
      <c r="H1694" t="str">
        <f>_xlfn.XLOOKUP(A1694, PORTE!A:A, PORTE!B:B)</f>
        <v>0</v>
      </c>
      <c r="I1694" t="str">
        <f>_xlfn.XLOOKUP(A1694, OBJETIVO!A:A, OBJETIVO!B:B)</f>
        <v>Consultoria</v>
      </c>
      <c r="J1694">
        <f t="shared" si="26"/>
        <v>0</v>
      </c>
    </row>
    <row r="1695" spans="1:10" x14ac:dyDescent="0.25">
      <c r="A1695">
        <v>10640009</v>
      </c>
      <c r="B1695" s="1">
        <v>45633.718518518515</v>
      </c>
      <c r="C1695" t="s">
        <v>0</v>
      </c>
      <c r="D1695" t="str">
        <f>VLOOKUP(A1695,MERCADO!A:B,2,0)</f>
        <v>Franqueadora</v>
      </c>
      <c r="E1695" t="str">
        <f>_xlfn.XLOOKUP(A1695, ORIGEM!A:A, ORIGEM!B:B)</f>
        <v>Orgânico</v>
      </c>
      <c r="F1695">
        <f>_xlfn.XLOOKUP(A1695, ORIGEM!A:A, ORIGEM!C:C)</f>
        <v>0</v>
      </c>
      <c r="G1695" t="str">
        <f>_xlfn.XLOOKUP(A1695, LOCAL!A:A, LOCAL!B:B)</f>
        <v>-</v>
      </c>
      <c r="H1695">
        <f>_xlfn.XLOOKUP(A1695, PORTE!A:A, PORTE!B:B)</f>
        <v>0</v>
      </c>
      <c r="I1695">
        <f>_xlfn.XLOOKUP(A1695, OBJETIVO!A:A, OBJETIVO!B:B)</f>
        <v>0</v>
      </c>
      <c r="J1695">
        <f t="shared" si="26"/>
        <v>0</v>
      </c>
    </row>
    <row r="1696" spans="1:10" x14ac:dyDescent="0.25">
      <c r="A1696">
        <v>10676449</v>
      </c>
      <c r="B1696" s="1">
        <v>45635.789918981478</v>
      </c>
      <c r="C1696" t="s">
        <v>0</v>
      </c>
      <c r="D1696" t="str">
        <f>VLOOKUP(A1696,MERCADO!A:B,2,0)</f>
        <v>Franqueadora</v>
      </c>
      <c r="E1696" t="str">
        <f>_xlfn.XLOOKUP(A1696, ORIGEM!A:A, ORIGEM!B:B)</f>
        <v>Orgânico</v>
      </c>
      <c r="F1696">
        <f>_xlfn.XLOOKUP(A1696, ORIGEM!A:A, ORIGEM!C:C)</f>
        <v>0</v>
      </c>
      <c r="G1696" t="str">
        <f>_xlfn.XLOOKUP(A1696, LOCAL!A:A, LOCAL!B:B)</f>
        <v>Tamboré - SP</v>
      </c>
      <c r="H1696" t="str">
        <f>_xlfn.XLOOKUP(A1696, PORTE!A:A, PORTE!B:B)</f>
        <v>1-10</v>
      </c>
      <c r="I1696" t="str">
        <f>_xlfn.XLOOKUP(A1696, OBJETIVO!A:A, OBJETIVO!B:B)</f>
        <v>Abertura/Expansão</v>
      </c>
      <c r="J1696">
        <f t="shared" si="26"/>
        <v>0</v>
      </c>
    </row>
    <row r="1697" spans="1:10" x14ac:dyDescent="0.25">
      <c r="A1697">
        <v>10696938</v>
      </c>
      <c r="B1697" s="1">
        <v>45637.596446759257</v>
      </c>
      <c r="C1697" t="s">
        <v>0</v>
      </c>
      <c r="D1697" t="str">
        <f>VLOOKUP(A1697,MERCADO!A:B,2,0)</f>
        <v>Franqueadora</v>
      </c>
      <c r="E1697" t="str">
        <f>_xlfn.XLOOKUP(A1697, ORIGEM!A:A, ORIGEM!B:B)</f>
        <v>Orgânico</v>
      </c>
      <c r="F1697">
        <f>_xlfn.XLOOKUP(A1697, ORIGEM!A:A, ORIGEM!C:C)</f>
        <v>0</v>
      </c>
      <c r="G1697" t="str">
        <f>_xlfn.XLOOKUP(A1697, LOCAL!A:A, LOCAL!B:B)</f>
        <v>Dois Vizinhos - PR</v>
      </c>
      <c r="H1697" t="str">
        <f>_xlfn.XLOOKUP(A1697, PORTE!A:A, PORTE!B:B)</f>
        <v>1-10</v>
      </c>
      <c r="I1697" t="str">
        <f>_xlfn.XLOOKUP(A1697, OBJETIVO!A:A, OBJETIVO!B:B)</f>
        <v>Abertura/Expansão</v>
      </c>
      <c r="J1697">
        <f t="shared" si="26"/>
        <v>0</v>
      </c>
    </row>
    <row r="1698" spans="1:10" x14ac:dyDescent="0.25">
      <c r="A1698">
        <v>10705532</v>
      </c>
      <c r="B1698" s="1">
        <v>45639.677928240744</v>
      </c>
      <c r="C1698" t="s">
        <v>0</v>
      </c>
      <c r="D1698" t="str">
        <f>VLOOKUP(A1698,MERCADO!A:B,2,0)</f>
        <v>Franqueadora</v>
      </c>
      <c r="E1698" t="str">
        <f>_xlfn.XLOOKUP(A1698, ORIGEM!A:A, ORIGEM!B:B)</f>
        <v>Orgânico</v>
      </c>
      <c r="F1698">
        <f>_xlfn.XLOOKUP(A1698, ORIGEM!A:A, ORIGEM!C:C)</f>
        <v>0</v>
      </c>
      <c r="G1698" t="str">
        <f>_xlfn.XLOOKUP(A1698, LOCAL!A:A, LOCAL!B:B)</f>
        <v>São Paulo - SP</v>
      </c>
      <c r="H1698" t="str">
        <f>_xlfn.XLOOKUP(A1698, PORTE!A:A, PORTE!B:B)</f>
        <v>51-300</v>
      </c>
      <c r="I1698" t="str">
        <f>_xlfn.XLOOKUP(A1698, OBJETIVO!A:A, OBJETIVO!B:B)</f>
        <v>Outro</v>
      </c>
      <c r="J1698">
        <f t="shared" si="26"/>
        <v>0</v>
      </c>
    </row>
    <row r="1699" spans="1:10" x14ac:dyDescent="0.25">
      <c r="A1699">
        <v>10885182</v>
      </c>
      <c r="B1699" s="1">
        <v>45663.451689814814</v>
      </c>
      <c r="C1699" t="s">
        <v>0</v>
      </c>
      <c r="D1699" t="str">
        <f>VLOOKUP(A1699,MERCADO!A:B,2,0)</f>
        <v>Franqueadora</v>
      </c>
      <c r="E1699" t="str">
        <f>_xlfn.XLOOKUP(A1699, ORIGEM!A:A, ORIGEM!B:B)</f>
        <v>Orgânico</v>
      </c>
      <c r="F1699">
        <f>_xlfn.XLOOKUP(A1699, ORIGEM!A:A, ORIGEM!C:C)</f>
        <v>0</v>
      </c>
      <c r="G1699" t="str">
        <f>_xlfn.XLOOKUP(A1699, LOCAL!A:A, LOCAL!B:B)</f>
        <v>Bento Gonçalves - RS</v>
      </c>
      <c r="H1699" t="str">
        <f>_xlfn.XLOOKUP(A1699, PORTE!A:A, PORTE!B:B)</f>
        <v>1-10</v>
      </c>
      <c r="I1699" t="str">
        <f>_xlfn.XLOOKUP(A1699, OBJETIVO!A:A, OBJETIVO!B:B)</f>
        <v>Outro</v>
      </c>
      <c r="J1699">
        <f t="shared" si="26"/>
        <v>0</v>
      </c>
    </row>
    <row r="1700" spans="1:10" x14ac:dyDescent="0.25">
      <c r="A1700">
        <v>10913550</v>
      </c>
      <c r="B1700" s="1">
        <v>45665.573796296296</v>
      </c>
      <c r="C1700" t="s">
        <v>0</v>
      </c>
      <c r="D1700" t="str">
        <f>VLOOKUP(A1700,MERCADO!A:B,2,0)</f>
        <v>Franqueadora</v>
      </c>
      <c r="E1700" t="str">
        <f>_xlfn.XLOOKUP(A1700, ORIGEM!A:A, ORIGEM!B:B)</f>
        <v>Orgânico</v>
      </c>
      <c r="F1700">
        <f>_xlfn.XLOOKUP(A1700, ORIGEM!A:A, ORIGEM!C:C)</f>
        <v>0</v>
      </c>
      <c r="G1700" t="str">
        <f>_xlfn.XLOOKUP(A1700, LOCAL!A:A, LOCAL!B:B)</f>
        <v>Londrina - PR</v>
      </c>
      <c r="H1700" t="str">
        <f>_xlfn.XLOOKUP(A1700, PORTE!A:A, PORTE!B:B)</f>
        <v>1-10</v>
      </c>
      <c r="I1700" t="str">
        <f>_xlfn.XLOOKUP(A1700, OBJETIVO!A:A, OBJETIVO!B:B)</f>
        <v>Abertura/Expansão</v>
      </c>
      <c r="J1700">
        <f t="shared" si="26"/>
        <v>0</v>
      </c>
    </row>
    <row r="1701" spans="1:10" x14ac:dyDescent="0.25">
      <c r="A1701">
        <v>10964224</v>
      </c>
      <c r="B1701" s="1">
        <v>45670.607314814813</v>
      </c>
      <c r="C1701" t="s">
        <v>0</v>
      </c>
      <c r="D1701" t="str">
        <f>VLOOKUP(A1701,MERCADO!A:B,2,0)</f>
        <v>Franqueadora</v>
      </c>
      <c r="E1701" t="str">
        <f>_xlfn.XLOOKUP(A1701, ORIGEM!A:A, ORIGEM!B:B)</f>
        <v>Google</v>
      </c>
      <c r="F1701" t="str">
        <f>_xlfn.XLOOKUP(A1701, ORIGEM!A:A, ORIGEM!C:C)</f>
        <v>google - cpc</v>
      </c>
      <c r="G1701" t="str">
        <f>_xlfn.XLOOKUP(A1701, LOCAL!A:A, LOCAL!B:B)</f>
        <v>Foz do Iguaçu - PR</v>
      </c>
      <c r="H1701" t="str">
        <f>_xlfn.XLOOKUP(A1701, PORTE!A:A, PORTE!B:B)</f>
        <v>1-10</v>
      </c>
      <c r="I1701" t="str">
        <f>_xlfn.XLOOKUP(A1701, OBJETIVO!A:A, OBJETIVO!B:B)</f>
        <v>Abertura/Expansão</v>
      </c>
      <c r="J1701">
        <f t="shared" si="26"/>
        <v>0</v>
      </c>
    </row>
    <row r="1702" spans="1:10" x14ac:dyDescent="0.25">
      <c r="A1702">
        <v>11023211</v>
      </c>
      <c r="B1702" s="1">
        <v>45675.618900462963</v>
      </c>
      <c r="C1702" t="s">
        <v>0</v>
      </c>
      <c r="D1702" t="str">
        <f>VLOOKUP(A1702,MERCADO!A:B,2,0)</f>
        <v>Franqueadora</v>
      </c>
      <c r="E1702" t="str">
        <f>_xlfn.XLOOKUP(A1702, ORIGEM!A:A, ORIGEM!B:B)</f>
        <v>Google</v>
      </c>
      <c r="F1702" t="str">
        <f>_xlfn.XLOOKUP(A1702, ORIGEM!A:A, ORIGEM!C:C)</f>
        <v>google - cpc</v>
      </c>
      <c r="G1702" t="str">
        <f>_xlfn.XLOOKUP(A1702, LOCAL!A:A, LOCAL!B:B)</f>
        <v>Macapá - AP</v>
      </c>
      <c r="H1702" t="str">
        <f>_xlfn.XLOOKUP(A1702, PORTE!A:A, PORTE!B:B)</f>
        <v>1-10</v>
      </c>
      <c r="I1702" t="str">
        <f>_xlfn.XLOOKUP(A1702, OBJETIVO!A:A, OBJETIVO!B:B)</f>
        <v>Abertura/Expansão</v>
      </c>
      <c r="J1702">
        <f t="shared" si="26"/>
        <v>0</v>
      </c>
    </row>
    <row r="1703" spans="1:10" x14ac:dyDescent="0.25">
      <c r="A1703">
        <v>11311517</v>
      </c>
      <c r="B1703" s="1">
        <v>45698.547893518517</v>
      </c>
      <c r="C1703" t="s">
        <v>0</v>
      </c>
      <c r="D1703" t="str">
        <f>VLOOKUP(A1703,MERCADO!A:B,2,0)</f>
        <v>Franqueadora</v>
      </c>
      <c r="E1703" t="str">
        <f>_xlfn.XLOOKUP(A1703, ORIGEM!A:A, ORIGEM!B:B)</f>
        <v>Google</v>
      </c>
      <c r="F1703" t="str">
        <f>_xlfn.XLOOKUP(A1703, ORIGEM!A:A, ORIGEM!C:C)</f>
        <v>google - cpc</v>
      </c>
      <c r="G1703" t="str">
        <f>_xlfn.XLOOKUP(A1703, LOCAL!A:A, LOCAL!B:B)</f>
        <v>-</v>
      </c>
      <c r="H1703" t="str">
        <f>_xlfn.XLOOKUP(A1703, PORTE!A:A, PORTE!B:B)</f>
        <v>0</v>
      </c>
      <c r="I1703" t="str">
        <f>_xlfn.XLOOKUP(A1703, OBJETIVO!A:A, OBJETIVO!B:B)</f>
        <v>Abertura/Expansão</v>
      </c>
      <c r="J1703">
        <f t="shared" si="26"/>
        <v>0</v>
      </c>
    </row>
    <row r="1704" spans="1:10" x14ac:dyDescent="0.25">
      <c r="A1704">
        <v>11581769</v>
      </c>
      <c r="B1704" s="1">
        <v>45725.427916666667</v>
      </c>
      <c r="C1704" t="s">
        <v>0</v>
      </c>
      <c r="D1704" t="str">
        <f>VLOOKUP(A1704,MERCADO!A:B,2,0)</f>
        <v>Franqueadora</v>
      </c>
      <c r="E1704" t="str">
        <f>_xlfn.XLOOKUP(A1704, ORIGEM!A:A, ORIGEM!B:B)</f>
        <v>Google</v>
      </c>
      <c r="F1704" t="str">
        <f>_xlfn.XLOOKUP(A1704, ORIGEM!A:A, ORIGEM!C:C)</f>
        <v>google - cpc</v>
      </c>
      <c r="G1704" t="str">
        <f>_xlfn.XLOOKUP(A1704, LOCAL!A:A, LOCAL!B:B)</f>
        <v>Curitiba - PR</v>
      </c>
      <c r="H1704" t="str">
        <f>_xlfn.XLOOKUP(A1704, PORTE!A:A, PORTE!B:B)</f>
        <v>11-50</v>
      </c>
      <c r="I1704" t="str">
        <f>_xlfn.XLOOKUP(A1704, OBJETIVO!A:A, OBJETIVO!B:B)</f>
        <v>Abertura/Expansão</v>
      </c>
      <c r="J1704">
        <f t="shared" si="26"/>
        <v>0</v>
      </c>
    </row>
    <row r="1705" spans="1:10" x14ac:dyDescent="0.25">
      <c r="A1705">
        <v>11824982</v>
      </c>
      <c r="B1705" s="1">
        <v>45746.685335648152</v>
      </c>
      <c r="C1705" t="s">
        <v>0</v>
      </c>
      <c r="D1705" t="str">
        <f>VLOOKUP(A1705,MERCADO!A:B,2,0)</f>
        <v>Franqueadora</v>
      </c>
      <c r="E1705" t="str">
        <f>_xlfn.XLOOKUP(A1705, ORIGEM!A:A, ORIGEM!B:B)</f>
        <v>rep</v>
      </c>
      <c r="F1705" t="str">
        <f>_xlfn.XLOOKUP(A1705, ORIGEM!A:A, ORIGEM!C:C)</f>
        <v>rep - ximena-cubillos</v>
      </c>
      <c r="G1705" t="str">
        <f>_xlfn.XLOOKUP(A1705, LOCAL!A:A, LOCAL!B:B)</f>
        <v>Rio de Janeiro - RJ</v>
      </c>
      <c r="H1705" t="str">
        <f>_xlfn.XLOOKUP(A1705, PORTE!A:A, PORTE!B:B)</f>
        <v>11-50</v>
      </c>
      <c r="I1705" t="str">
        <f>_xlfn.XLOOKUP(A1705, OBJETIVO!A:A, OBJETIVO!B:B)</f>
        <v>Abertura/Expansão</v>
      </c>
      <c r="J1705">
        <f t="shared" si="26"/>
        <v>0</v>
      </c>
    </row>
    <row r="1706" spans="1:10" x14ac:dyDescent="0.25">
      <c r="A1706">
        <v>11613507</v>
      </c>
      <c r="B1706" s="1">
        <v>45727.609201388892</v>
      </c>
      <c r="C1706" t="s">
        <v>0</v>
      </c>
      <c r="D1706" t="str">
        <f>VLOOKUP(A1706,MERCADO!A:B,2,0)</f>
        <v>Franqueadora</v>
      </c>
      <c r="E1706" t="str">
        <f>_xlfn.XLOOKUP(A1706, ORIGEM!A:A, ORIGEM!B:B)</f>
        <v>Google</v>
      </c>
      <c r="F1706" t="str">
        <f>_xlfn.XLOOKUP(A1706, ORIGEM!A:A, ORIGEM!C:C)</f>
        <v>google - cpc</v>
      </c>
      <c r="G1706" t="str">
        <f>_xlfn.XLOOKUP(A1706, LOCAL!A:A, LOCAL!B:B)</f>
        <v>Rio Preto - SP</v>
      </c>
      <c r="H1706" t="str">
        <f>_xlfn.XLOOKUP(A1706, PORTE!A:A, PORTE!B:B)</f>
        <v>11-50</v>
      </c>
      <c r="I1706" t="str">
        <f>_xlfn.XLOOKUP(A1706, OBJETIVO!A:A, OBJETIVO!B:B)</f>
        <v>Geração de leads b2b</v>
      </c>
      <c r="J1706">
        <f t="shared" si="26"/>
        <v>0</v>
      </c>
    </row>
    <row r="1707" spans="1:10" x14ac:dyDescent="0.25">
      <c r="A1707">
        <v>11592974</v>
      </c>
      <c r="B1707" s="1">
        <v>45725.951979166668</v>
      </c>
      <c r="C1707" t="s">
        <v>0</v>
      </c>
      <c r="D1707" t="str">
        <f>VLOOKUP(A1707,MERCADO!A:B,2,0)</f>
        <v>Franqueadora</v>
      </c>
      <c r="E1707" t="str">
        <f>_xlfn.XLOOKUP(A1707, ORIGEM!A:A, ORIGEM!B:B)</f>
        <v>Google</v>
      </c>
      <c r="F1707" t="str">
        <f>_xlfn.XLOOKUP(A1707, ORIGEM!A:A, ORIGEM!C:C)</f>
        <v>google - cpc</v>
      </c>
      <c r="G1707" t="str">
        <f>_xlfn.XLOOKUP(A1707, LOCAL!A:A, LOCAL!B:B)</f>
        <v>Rio de Janeiro - RJ</v>
      </c>
      <c r="H1707" t="str">
        <f>_xlfn.XLOOKUP(A1707, PORTE!A:A, PORTE!B:B)</f>
        <v>11-50</v>
      </c>
      <c r="I1707" t="str">
        <f>_xlfn.XLOOKUP(A1707, OBJETIVO!A:A, OBJETIVO!B:B)</f>
        <v>Geração de leads b2b</v>
      </c>
      <c r="J1707">
        <f t="shared" si="26"/>
        <v>0</v>
      </c>
    </row>
    <row r="1708" spans="1:10" x14ac:dyDescent="0.25">
      <c r="A1708">
        <v>11627077</v>
      </c>
      <c r="B1708" s="1">
        <v>45728.627233796295</v>
      </c>
      <c r="C1708" t="s">
        <v>0</v>
      </c>
      <c r="D1708" t="str">
        <f>VLOOKUP(A1708,MERCADO!A:B,2,0)</f>
        <v>Franqueadora</v>
      </c>
      <c r="E1708" t="str">
        <f>_xlfn.XLOOKUP(A1708, ORIGEM!A:A, ORIGEM!B:B)</f>
        <v>Google</v>
      </c>
      <c r="F1708">
        <f>_xlfn.XLOOKUP(A1708, ORIGEM!A:A, ORIGEM!C:C)</f>
        <v>0</v>
      </c>
      <c r="G1708" t="str">
        <f>_xlfn.XLOOKUP(A1708, LOCAL!A:A, LOCAL!B:B)</f>
        <v>-</v>
      </c>
      <c r="H1708">
        <f>_xlfn.XLOOKUP(A1708, PORTE!A:A, PORTE!B:B)</f>
        <v>0</v>
      </c>
      <c r="I1708">
        <f>_xlfn.XLOOKUP(A1708, OBJETIVO!A:A, OBJETIVO!B:B)</f>
        <v>0</v>
      </c>
      <c r="J1708">
        <f t="shared" si="26"/>
        <v>0</v>
      </c>
    </row>
    <row r="1709" spans="1:10" x14ac:dyDescent="0.25">
      <c r="A1709">
        <v>11574073</v>
      </c>
      <c r="B1709" s="1">
        <v>45724.694189814814</v>
      </c>
      <c r="C1709" t="s">
        <v>0</v>
      </c>
      <c r="D1709" t="str">
        <f>VLOOKUP(A1709,MERCADO!A:B,2,0)</f>
        <v>Franqueadora</v>
      </c>
      <c r="E1709" t="str">
        <f>_xlfn.XLOOKUP(A1709, ORIGEM!A:A, ORIGEM!B:B)</f>
        <v>Facebook</v>
      </c>
      <c r="F1709" t="str">
        <f>_xlfn.XLOOKUP(A1709, ORIGEM!A:A, ORIGEM!C:C)</f>
        <v>facebook - cpc</v>
      </c>
      <c r="G1709" t="str">
        <f>_xlfn.XLOOKUP(A1709, LOCAL!A:A, LOCAL!B:B)</f>
        <v>Balneário Camboriú - SC</v>
      </c>
      <c r="H1709" t="str">
        <f>_xlfn.XLOOKUP(A1709, PORTE!A:A, PORTE!B:B)</f>
        <v>0</v>
      </c>
      <c r="I1709" t="str">
        <f>_xlfn.XLOOKUP(A1709, OBJETIVO!A:A, OBJETIVO!B:B)</f>
        <v>Abertura/Expansão</v>
      </c>
      <c r="J1709">
        <f t="shared" si="26"/>
        <v>0</v>
      </c>
    </row>
    <row r="1710" spans="1:10" x14ac:dyDescent="0.25">
      <c r="A1710">
        <v>11643814</v>
      </c>
      <c r="B1710" s="1">
        <v>45731.605243055557</v>
      </c>
      <c r="C1710" t="s">
        <v>0</v>
      </c>
      <c r="D1710" t="str">
        <f>VLOOKUP(A1710,MERCADO!A:B,2,0)</f>
        <v>Franqueadora</v>
      </c>
      <c r="E1710" t="str">
        <f>_xlfn.XLOOKUP(A1710, ORIGEM!A:A, ORIGEM!B:B)</f>
        <v>Google</v>
      </c>
      <c r="F1710" t="str">
        <f>_xlfn.XLOOKUP(A1710, ORIGEM!A:A, ORIGEM!C:C)</f>
        <v>google - cpc</v>
      </c>
      <c r="G1710" t="str">
        <f>_xlfn.XLOOKUP(A1710, LOCAL!A:A, LOCAL!B:B)</f>
        <v>São Lourenço - MG</v>
      </c>
      <c r="H1710" t="str">
        <f>_xlfn.XLOOKUP(A1710, PORTE!A:A, PORTE!B:B)</f>
        <v>1-10</v>
      </c>
      <c r="I1710" t="str">
        <f>_xlfn.XLOOKUP(A1710, OBJETIVO!A:A, OBJETIVO!B:B)</f>
        <v>Abertura/Expansão</v>
      </c>
      <c r="J1710">
        <f t="shared" si="26"/>
        <v>0</v>
      </c>
    </row>
    <row r="1711" spans="1:10" x14ac:dyDescent="0.25">
      <c r="A1711">
        <v>11740769</v>
      </c>
      <c r="B1711" s="1">
        <v>45740.421030092592</v>
      </c>
      <c r="C1711" t="s">
        <v>0</v>
      </c>
      <c r="D1711" t="str">
        <f>VLOOKUP(A1711,MERCADO!A:B,2,0)</f>
        <v>Franqueadora</v>
      </c>
      <c r="E1711" t="str">
        <f>_xlfn.XLOOKUP(A1711, ORIGEM!A:A, ORIGEM!B:B)</f>
        <v>Google</v>
      </c>
      <c r="F1711" t="str">
        <f>_xlfn.XLOOKUP(A1711, ORIGEM!A:A, ORIGEM!C:C)</f>
        <v>google - cpc</v>
      </c>
      <c r="G1711" t="str">
        <f>_xlfn.XLOOKUP(A1711, LOCAL!A:A, LOCAL!B:B)</f>
        <v>São Paulo - SP</v>
      </c>
      <c r="H1711" t="str">
        <f>_xlfn.XLOOKUP(A1711, PORTE!A:A, PORTE!B:B)</f>
        <v>1-10</v>
      </c>
      <c r="I1711" t="str">
        <f>_xlfn.XLOOKUP(A1711, OBJETIVO!A:A, OBJETIVO!B:B)</f>
        <v>Geração de leads b2b</v>
      </c>
      <c r="J1711">
        <f t="shared" si="26"/>
        <v>0</v>
      </c>
    </row>
    <row r="1712" spans="1:10" x14ac:dyDescent="0.25">
      <c r="A1712">
        <v>11645505</v>
      </c>
      <c r="B1712" s="1">
        <v>45731.668749999997</v>
      </c>
      <c r="C1712" t="s">
        <v>0</v>
      </c>
      <c r="D1712" t="str">
        <f>VLOOKUP(A1712,MERCADO!A:B,2,0)</f>
        <v>Franqueadora</v>
      </c>
      <c r="E1712" t="str">
        <f>_xlfn.XLOOKUP(A1712, ORIGEM!A:A, ORIGEM!B:B)</f>
        <v>email</v>
      </c>
      <c r="F1712">
        <f>_xlfn.XLOOKUP(A1712, ORIGEM!A:A, ORIGEM!C:C)</f>
        <v>0</v>
      </c>
      <c r="G1712" t="str">
        <f>_xlfn.XLOOKUP(A1712, LOCAL!A:A, LOCAL!B:B)</f>
        <v>-</v>
      </c>
      <c r="H1712" t="str">
        <f>_xlfn.XLOOKUP(A1712, PORTE!A:A, PORTE!B:B)</f>
        <v>1-10</v>
      </c>
      <c r="I1712" t="str">
        <f>_xlfn.XLOOKUP(A1712, OBJETIVO!A:A, OBJETIVO!B:B)</f>
        <v>Abertura/Expansão</v>
      </c>
      <c r="J1712">
        <f t="shared" si="26"/>
        <v>0</v>
      </c>
    </row>
    <row r="1713" spans="1:10" x14ac:dyDescent="0.25">
      <c r="A1713">
        <v>11971167</v>
      </c>
      <c r="B1713" s="1">
        <v>45760.663495370369</v>
      </c>
      <c r="C1713" t="s">
        <v>0</v>
      </c>
      <c r="D1713" t="str">
        <f>VLOOKUP(A1713,MERCADO!A:B,2,0)</f>
        <v>Franqueadora</v>
      </c>
      <c r="E1713" t="str">
        <f>_xlfn.XLOOKUP(A1713, ORIGEM!A:A, ORIGEM!B:B)</f>
        <v>Google</v>
      </c>
      <c r="F1713" t="str">
        <f>_xlfn.XLOOKUP(A1713, ORIGEM!A:A, ORIGEM!C:C)</f>
        <v>google - cpc</v>
      </c>
      <c r="G1713" t="str">
        <f>_xlfn.XLOOKUP(A1713, LOCAL!A:A, LOCAL!B:B)</f>
        <v>São Paulo - SP</v>
      </c>
      <c r="H1713" t="str">
        <f>_xlfn.XLOOKUP(A1713, PORTE!A:A, PORTE!B:B)</f>
        <v>51-300</v>
      </c>
      <c r="I1713" t="str">
        <f>_xlfn.XLOOKUP(A1713, OBJETIVO!A:A, OBJETIVO!B:B)</f>
        <v>Abertura/Expansão</v>
      </c>
      <c r="J1713">
        <f t="shared" si="26"/>
        <v>0</v>
      </c>
    </row>
    <row r="1714" spans="1:10" x14ac:dyDescent="0.25">
      <c r="A1714">
        <v>11937987</v>
      </c>
      <c r="B1714" s="1">
        <v>45757.307268518518</v>
      </c>
      <c r="C1714" t="s">
        <v>0</v>
      </c>
      <c r="D1714" t="str">
        <f>VLOOKUP(A1714,MERCADO!A:B,2,0)</f>
        <v>Franqueadora</v>
      </c>
      <c r="E1714" t="str">
        <f>_xlfn.XLOOKUP(A1714, ORIGEM!A:A, ORIGEM!B:B)</f>
        <v>Google</v>
      </c>
      <c r="F1714" t="str">
        <f>_xlfn.XLOOKUP(A1714, ORIGEM!A:A, ORIGEM!C:C)</f>
        <v>google - cpc</v>
      </c>
      <c r="G1714" t="str">
        <f>_xlfn.XLOOKUP(A1714, LOCAL!A:A, LOCAL!B:B)</f>
        <v>Campinas - SP</v>
      </c>
      <c r="H1714" t="str">
        <f>_xlfn.XLOOKUP(A1714, PORTE!A:A, PORTE!B:B)</f>
        <v>0</v>
      </c>
      <c r="I1714" t="str">
        <f>_xlfn.XLOOKUP(A1714, OBJETIVO!A:A, OBJETIVO!B:B)</f>
        <v>Abertura/Expansão</v>
      </c>
      <c r="J1714">
        <f t="shared" si="26"/>
        <v>0</v>
      </c>
    </row>
    <row r="1715" spans="1:10" x14ac:dyDescent="0.25">
      <c r="A1715">
        <v>11942566</v>
      </c>
      <c r="B1715" s="1">
        <v>45759.04277777778</v>
      </c>
      <c r="C1715" t="s">
        <v>0</v>
      </c>
      <c r="D1715" t="str">
        <f>VLOOKUP(A1715,MERCADO!A:B,2,0)</f>
        <v>Franqueadora</v>
      </c>
      <c r="E1715" t="str">
        <f>_xlfn.XLOOKUP(A1715, ORIGEM!A:A, ORIGEM!B:B)</f>
        <v>Google</v>
      </c>
      <c r="F1715" t="str">
        <f>_xlfn.XLOOKUP(A1715, ORIGEM!A:A, ORIGEM!C:C)</f>
        <v>google - cpc</v>
      </c>
      <c r="G1715" t="str">
        <f>_xlfn.XLOOKUP(A1715, LOCAL!A:A, LOCAL!B:B)</f>
        <v>Campo Grande - MS</v>
      </c>
      <c r="H1715" t="str">
        <f>_xlfn.XLOOKUP(A1715, PORTE!A:A, PORTE!B:B)</f>
        <v>0</v>
      </c>
      <c r="I1715" t="str">
        <f>_xlfn.XLOOKUP(A1715, OBJETIVO!A:A, OBJETIVO!B:B)</f>
        <v>Abertura/Expansão</v>
      </c>
      <c r="J1715">
        <f t="shared" si="26"/>
        <v>0</v>
      </c>
    </row>
    <row r="1716" spans="1:10" x14ac:dyDescent="0.25">
      <c r="A1716">
        <v>11993184</v>
      </c>
      <c r="B1716" s="1">
        <v>45761.825937499998</v>
      </c>
      <c r="C1716" t="s">
        <v>0</v>
      </c>
      <c r="D1716" t="str">
        <f>VLOOKUP(A1716,MERCADO!A:B,2,0)</f>
        <v>Franqueadora</v>
      </c>
      <c r="E1716" t="str">
        <f>_xlfn.XLOOKUP(A1716, ORIGEM!A:A, ORIGEM!B:B)</f>
        <v>Google</v>
      </c>
      <c r="F1716" t="str">
        <f>_xlfn.XLOOKUP(A1716, ORIGEM!A:A, ORIGEM!C:C)</f>
        <v>google - cpc</v>
      </c>
      <c r="G1716" t="str">
        <f>_xlfn.XLOOKUP(A1716, LOCAL!A:A, LOCAL!B:B)</f>
        <v>Rio de Janeiro - RJ</v>
      </c>
      <c r="H1716" t="str">
        <f>_xlfn.XLOOKUP(A1716, PORTE!A:A, PORTE!B:B)</f>
        <v>301-1000</v>
      </c>
      <c r="I1716" t="str">
        <f>_xlfn.XLOOKUP(A1716, OBJETIVO!A:A, OBJETIVO!B:B)</f>
        <v>Planejamento estratégico</v>
      </c>
      <c r="J1716">
        <f t="shared" si="26"/>
        <v>0</v>
      </c>
    </row>
    <row r="1717" spans="1:10" x14ac:dyDescent="0.25">
      <c r="A1717">
        <v>11999840</v>
      </c>
      <c r="B1717" s="1">
        <v>45762.545671296299</v>
      </c>
      <c r="C1717" t="s">
        <v>0</v>
      </c>
      <c r="D1717" t="str">
        <f>VLOOKUP(A1717,MERCADO!A:B,2,0)</f>
        <v>Franqueadora</v>
      </c>
      <c r="E1717" t="str">
        <f>_xlfn.XLOOKUP(A1717, ORIGEM!A:A, ORIGEM!B:B)</f>
        <v>Google</v>
      </c>
      <c r="F1717" t="str">
        <f>_xlfn.XLOOKUP(A1717, ORIGEM!A:A, ORIGEM!C:C)</f>
        <v>google - cpc</v>
      </c>
      <c r="G1717" t="str">
        <f>_xlfn.XLOOKUP(A1717, LOCAL!A:A, LOCAL!B:B)</f>
        <v>Ananindeua - PA</v>
      </c>
      <c r="H1717" t="str">
        <f>_xlfn.XLOOKUP(A1717, PORTE!A:A, PORTE!B:B)</f>
        <v>1-10</v>
      </c>
      <c r="I1717" t="str">
        <f>_xlfn.XLOOKUP(A1717, OBJETIVO!A:A, OBJETIVO!B:B)</f>
        <v>Abertura/Expansão</v>
      </c>
      <c r="J1717">
        <f t="shared" si="26"/>
        <v>0</v>
      </c>
    </row>
    <row r="1718" spans="1:10" x14ac:dyDescent="0.25">
      <c r="A1718">
        <v>12015655</v>
      </c>
      <c r="B1718" s="1">
        <v>45763.618402777778</v>
      </c>
      <c r="C1718" t="s">
        <v>0</v>
      </c>
      <c r="D1718" t="str">
        <f>VLOOKUP(A1718,MERCADO!A:B,2,0)</f>
        <v>Franqueadora</v>
      </c>
      <c r="E1718" t="str">
        <f>_xlfn.XLOOKUP(A1718, ORIGEM!A:A, ORIGEM!B:B)</f>
        <v>Google</v>
      </c>
      <c r="F1718" t="str">
        <f>_xlfn.XLOOKUP(A1718, ORIGEM!A:A, ORIGEM!C:C)</f>
        <v>google - cpc</v>
      </c>
      <c r="G1718" t="str">
        <f>_xlfn.XLOOKUP(A1718, LOCAL!A:A, LOCAL!B:B)</f>
        <v>Fortaleza - CE</v>
      </c>
      <c r="H1718" t="str">
        <f>_xlfn.XLOOKUP(A1718, PORTE!A:A, PORTE!B:B)</f>
        <v>11-50</v>
      </c>
      <c r="I1718" t="str">
        <f>_xlfn.XLOOKUP(A1718, OBJETIVO!A:A, OBJETIVO!B:B)</f>
        <v>Geração de leads b2b</v>
      </c>
      <c r="J1718">
        <f t="shared" si="26"/>
        <v>0</v>
      </c>
    </row>
    <row r="1719" spans="1:10" x14ac:dyDescent="0.25">
      <c r="A1719">
        <v>12019895</v>
      </c>
      <c r="B1719" s="1">
        <v>45763.818715277775</v>
      </c>
      <c r="C1719" t="s">
        <v>0</v>
      </c>
      <c r="D1719" t="str">
        <f>VLOOKUP(A1719,MERCADO!A:B,2,0)</f>
        <v>Franqueadora</v>
      </c>
      <c r="E1719" t="str">
        <f>_xlfn.XLOOKUP(A1719, ORIGEM!A:A, ORIGEM!B:B)</f>
        <v>Google</v>
      </c>
      <c r="F1719" t="str">
        <f>_xlfn.XLOOKUP(A1719, ORIGEM!A:A, ORIGEM!C:C)</f>
        <v>google - cpc</v>
      </c>
      <c r="G1719" t="str">
        <f>_xlfn.XLOOKUP(A1719, LOCAL!A:A, LOCAL!B:B)</f>
        <v>Niterói - RJ</v>
      </c>
      <c r="H1719" t="str">
        <f>_xlfn.XLOOKUP(A1719, PORTE!A:A, PORTE!B:B)</f>
        <v>1-10</v>
      </c>
      <c r="I1719" t="str">
        <f>_xlfn.XLOOKUP(A1719, OBJETIVO!A:A, OBJETIVO!B:B)</f>
        <v>Abertura/Expansão</v>
      </c>
      <c r="J1719">
        <f t="shared" si="26"/>
        <v>0</v>
      </c>
    </row>
    <row r="1720" spans="1:10" x14ac:dyDescent="0.25">
      <c r="A1720">
        <v>12020519</v>
      </c>
      <c r="B1720" s="1">
        <v>45764.03802083333</v>
      </c>
      <c r="C1720" t="s">
        <v>0</v>
      </c>
      <c r="D1720" t="str">
        <f>VLOOKUP(A1720,MERCADO!A:B,2,0)</f>
        <v>Franqueadora</v>
      </c>
      <c r="E1720" t="str">
        <f>_xlfn.XLOOKUP(A1720, ORIGEM!A:A, ORIGEM!B:B)</f>
        <v>Google</v>
      </c>
      <c r="F1720" t="str">
        <f>_xlfn.XLOOKUP(A1720, ORIGEM!A:A, ORIGEM!C:C)</f>
        <v>google - cpc</v>
      </c>
      <c r="G1720" t="str">
        <f>_xlfn.XLOOKUP(A1720, LOCAL!A:A, LOCAL!B:B)</f>
        <v>São Paulo - SP</v>
      </c>
      <c r="H1720" t="str">
        <f>_xlfn.XLOOKUP(A1720, PORTE!A:A, PORTE!B:B)</f>
        <v>1-10</v>
      </c>
      <c r="I1720" t="str">
        <f>_xlfn.XLOOKUP(A1720, OBJETIVO!A:A, OBJETIVO!B:B)</f>
        <v>Ações de marketing/vendas</v>
      </c>
      <c r="J1720">
        <f t="shared" si="26"/>
        <v>0</v>
      </c>
    </row>
    <row r="1721" spans="1:10" x14ac:dyDescent="0.25">
      <c r="A1721">
        <v>12025673</v>
      </c>
      <c r="B1721" s="1">
        <v>45765.962245370371</v>
      </c>
      <c r="C1721" t="s">
        <v>0</v>
      </c>
      <c r="D1721" t="str">
        <f>VLOOKUP(A1721,MERCADO!A:B,2,0)</f>
        <v>Franqueadora</v>
      </c>
      <c r="E1721" t="str">
        <f>_xlfn.XLOOKUP(A1721, ORIGEM!A:A, ORIGEM!B:B)</f>
        <v>Google</v>
      </c>
      <c r="F1721" t="str">
        <f>_xlfn.XLOOKUP(A1721, ORIGEM!A:A, ORIGEM!C:C)</f>
        <v>google - cpc</v>
      </c>
      <c r="G1721" t="str">
        <f>_xlfn.XLOOKUP(A1721, LOCAL!A:A, LOCAL!B:B)</f>
        <v>Cascavel - PR</v>
      </c>
      <c r="H1721" t="str">
        <f>_xlfn.XLOOKUP(A1721, PORTE!A:A, PORTE!B:B)</f>
        <v>11-50</v>
      </c>
      <c r="I1721" t="str">
        <f>_xlfn.XLOOKUP(A1721, OBJETIVO!A:A, OBJETIVO!B:B)</f>
        <v>Abertura/Expansão</v>
      </c>
      <c r="J1721">
        <f t="shared" si="26"/>
        <v>0</v>
      </c>
    </row>
    <row r="1722" spans="1:10" x14ac:dyDescent="0.25">
      <c r="A1722">
        <v>11594118</v>
      </c>
      <c r="B1722" s="1">
        <v>45726.351620370369</v>
      </c>
      <c r="C1722" t="s">
        <v>0</v>
      </c>
      <c r="D1722" t="str">
        <f>VLOOKUP(A1722,MERCADO!A:B,2,0)</f>
        <v>Franqueadora</v>
      </c>
      <c r="E1722" t="str">
        <f>_xlfn.XLOOKUP(A1722, ORIGEM!A:A, ORIGEM!B:B)</f>
        <v>Facebook</v>
      </c>
      <c r="F1722" t="str">
        <f>_xlfn.XLOOKUP(A1722, ORIGEM!A:A, ORIGEM!C:C)</f>
        <v>facebook - cpc</v>
      </c>
      <c r="G1722" t="str">
        <f>_xlfn.XLOOKUP(A1722, LOCAL!A:A, LOCAL!B:B)</f>
        <v>Biguacu - SC</v>
      </c>
      <c r="H1722" t="str">
        <f>_xlfn.XLOOKUP(A1722, PORTE!A:A, PORTE!B:B)</f>
        <v>1-10</v>
      </c>
      <c r="I1722" t="str">
        <f>_xlfn.XLOOKUP(A1722, OBJETIVO!A:A, OBJETIVO!B:B)</f>
        <v>Abertura/Expansão</v>
      </c>
      <c r="J1722">
        <f t="shared" si="26"/>
        <v>0</v>
      </c>
    </row>
    <row r="1723" spans="1:10" x14ac:dyDescent="0.25">
      <c r="A1723">
        <v>11594788</v>
      </c>
      <c r="B1723" s="1">
        <v>45726.370925925927</v>
      </c>
      <c r="C1723" t="s">
        <v>0</v>
      </c>
      <c r="D1723" t="str">
        <f>VLOOKUP(A1723,MERCADO!A:B,2,0)</f>
        <v>Franqueadora</v>
      </c>
      <c r="E1723" t="str">
        <f>_xlfn.XLOOKUP(A1723, ORIGEM!A:A, ORIGEM!B:B)</f>
        <v>Facebook</v>
      </c>
      <c r="F1723" t="str">
        <f>_xlfn.XLOOKUP(A1723, ORIGEM!A:A, ORIGEM!C:C)</f>
        <v>facebook - cpc</v>
      </c>
      <c r="G1723" t="str">
        <f>_xlfn.XLOOKUP(A1723, LOCAL!A:A, LOCAL!B:B)</f>
        <v>Vitoria de Santo Antao - PE</v>
      </c>
      <c r="H1723" t="str">
        <f>_xlfn.XLOOKUP(A1723, PORTE!A:A, PORTE!B:B)</f>
        <v>11-50</v>
      </c>
      <c r="I1723" t="str">
        <f>_xlfn.XLOOKUP(A1723, OBJETIVO!A:A, OBJETIVO!B:B)</f>
        <v>Geração de leads b2b</v>
      </c>
      <c r="J1723">
        <f t="shared" si="26"/>
        <v>0</v>
      </c>
    </row>
    <row r="1724" spans="1:10" x14ac:dyDescent="0.25">
      <c r="A1724">
        <v>11600231</v>
      </c>
      <c r="B1724" s="1">
        <v>45726.539143518516</v>
      </c>
      <c r="C1724" t="s">
        <v>0</v>
      </c>
      <c r="D1724" t="str">
        <f>VLOOKUP(A1724,MERCADO!A:B,2,0)</f>
        <v>Franqueadora</v>
      </c>
      <c r="E1724" t="str">
        <f>_xlfn.XLOOKUP(A1724, ORIGEM!A:A, ORIGEM!B:B)</f>
        <v>Prospecção Ativa</v>
      </c>
      <c r="F1724" t="str">
        <f>_xlfn.XLOOKUP(A1724, ORIGEM!A:A, ORIGEM!C:C)</f>
        <v>Sales Navigator</v>
      </c>
      <c r="G1724" t="str">
        <f>_xlfn.XLOOKUP(A1724, LOCAL!A:A, LOCAL!B:B)</f>
        <v>-</v>
      </c>
      <c r="H1724">
        <f>_xlfn.XLOOKUP(A1724, PORTE!A:A, PORTE!B:B)</f>
        <v>0</v>
      </c>
      <c r="I1724">
        <f>_xlfn.XLOOKUP(A1724, OBJETIVO!A:A, OBJETIVO!B:B)</f>
        <v>0</v>
      </c>
      <c r="J1724">
        <f t="shared" si="26"/>
        <v>0</v>
      </c>
    </row>
    <row r="1725" spans="1:10" x14ac:dyDescent="0.25">
      <c r="A1725">
        <v>11630105</v>
      </c>
      <c r="B1725" s="1">
        <v>45728.860497685186</v>
      </c>
      <c r="C1725" t="s">
        <v>0</v>
      </c>
      <c r="D1725" t="str">
        <f>VLOOKUP(A1725,MERCADO!A:B,2,0)</f>
        <v>Franqueadora</v>
      </c>
      <c r="E1725" t="str">
        <f>_xlfn.XLOOKUP(A1725, ORIGEM!A:A, ORIGEM!B:B)</f>
        <v>Youtube</v>
      </c>
      <c r="F1725" t="str">
        <f>_xlfn.XLOOKUP(A1725, ORIGEM!A:A, ORIGEM!C:C)</f>
        <v>youtube - cpc</v>
      </c>
      <c r="G1725" t="str">
        <f>_xlfn.XLOOKUP(A1725, LOCAL!A:A, LOCAL!B:B)</f>
        <v>Itaguacu Da Bahia - BA</v>
      </c>
      <c r="H1725" t="str">
        <f>_xlfn.XLOOKUP(A1725, PORTE!A:A, PORTE!B:B)</f>
        <v>0</v>
      </c>
      <c r="I1725" t="str">
        <f>_xlfn.XLOOKUP(A1725, OBJETIVO!A:A, OBJETIVO!B:B)</f>
        <v>Abertura/Expansão</v>
      </c>
      <c r="J1725">
        <f t="shared" si="26"/>
        <v>0</v>
      </c>
    </row>
    <row r="1726" spans="1:10" x14ac:dyDescent="0.25">
      <c r="A1726">
        <v>10623424</v>
      </c>
      <c r="B1726" s="1">
        <v>45632.53396990741</v>
      </c>
      <c r="C1726" t="s">
        <v>0</v>
      </c>
      <c r="D1726" t="str">
        <f>VLOOKUP(A1726,MERCADO!A:B,2,0)</f>
        <v>Franqueadora</v>
      </c>
      <c r="E1726" t="str">
        <f>_xlfn.XLOOKUP(A1726, ORIGEM!A:A, ORIGEM!B:B)</f>
        <v>Google</v>
      </c>
      <c r="F1726" t="str">
        <f>_xlfn.XLOOKUP(A1726, ORIGEM!A:A, ORIGEM!C:C)</f>
        <v>google - cpc</v>
      </c>
      <c r="G1726" t="str">
        <f>_xlfn.XLOOKUP(A1726, LOCAL!A:A, LOCAL!B:B)</f>
        <v>São Paulo - SP</v>
      </c>
      <c r="H1726" t="str">
        <f>_xlfn.XLOOKUP(A1726, PORTE!A:A, PORTE!B:B)</f>
        <v>0</v>
      </c>
      <c r="I1726" t="str">
        <f>_xlfn.XLOOKUP(A1726, OBJETIVO!A:A, OBJETIVO!B:B)</f>
        <v>Geração de leads b2b</v>
      </c>
      <c r="J1726">
        <f t="shared" si="26"/>
        <v>0</v>
      </c>
    </row>
    <row r="1727" spans="1:10" x14ac:dyDescent="0.25">
      <c r="A1727">
        <v>11047468</v>
      </c>
      <c r="B1727" s="1">
        <v>45676.727592592593</v>
      </c>
      <c r="C1727" t="s">
        <v>0</v>
      </c>
      <c r="D1727" t="str">
        <f>VLOOKUP(A1727,MERCADO!A:B,2,0)</f>
        <v>Imobiliaria/Incorporadora/Construtora</v>
      </c>
      <c r="E1727" t="str">
        <f>_xlfn.XLOOKUP(A1727, ORIGEM!A:A, ORIGEM!B:B)</f>
        <v>Inbound Marketing</v>
      </c>
      <c r="F1727">
        <f>_xlfn.XLOOKUP(A1727, ORIGEM!A:A, ORIGEM!C:C)</f>
        <v>0</v>
      </c>
      <c r="G1727" t="str">
        <f>_xlfn.XLOOKUP(A1727, LOCAL!A:A, LOCAL!B:B)</f>
        <v>Sergipe</v>
      </c>
      <c r="H1727" t="str">
        <f>_xlfn.XLOOKUP(A1727, PORTE!A:A, PORTE!B:B)</f>
        <v>301-1000</v>
      </c>
      <c r="I1727" t="str">
        <f>_xlfn.XLOOKUP(A1727, OBJETIVO!A:A, OBJETIVO!B:B)</f>
        <v>Abertura/Expansão</v>
      </c>
      <c r="J1727">
        <f t="shared" si="26"/>
        <v>0</v>
      </c>
    </row>
    <row r="1728" spans="1:10" x14ac:dyDescent="0.25">
      <c r="A1728">
        <v>10645204</v>
      </c>
      <c r="B1728" s="1">
        <v>45634.028240740743</v>
      </c>
      <c r="C1728" t="s">
        <v>0</v>
      </c>
      <c r="D1728" t="str">
        <f>VLOOKUP(A1728,MERCADO!A:B,2,0)</f>
        <v>Imobiliaria/Incorporadora/Construtora</v>
      </c>
      <c r="E1728" t="str">
        <f>_xlfn.XLOOKUP(A1728, ORIGEM!A:A, ORIGEM!B:B)</f>
        <v>Orgânico</v>
      </c>
      <c r="F1728">
        <f>_xlfn.XLOOKUP(A1728, ORIGEM!A:A, ORIGEM!C:C)</f>
        <v>0</v>
      </c>
      <c r="G1728" t="str">
        <f>_xlfn.XLOOKUP(A1728, LOCAL!A:A, LOCAL!B:B)</f>
        <v>-</v>
      </c>
      <c r="H1728" t="str">
        <f>_xlfn.XLOOKUP(A1728, PORTE!A:A, PORTE!B:B)</f>
        <v>51-300</v>
      </c>
      <c r="I1728" t="str">
        <f>_xlfn.XLOOKUP(A1728, OBJETIVO!A:A, OBJETIVO!B:B)</f>
        <v>Planejamento estratégico</v>
      </c>
      <c r="J1728">
        <f t="shared" si="26"/>
        <v>0</v>
      </c>
    </row>
    <row r="1729" spans="1:10" x14ac:dyDescent="0.25">
      <c r="A1729">
        <v>10860175</v>
      </c>
      <c r="B1729" s="1">
        <v>45661.50271990741</v>
      </c>
      <c r="C1729" t="s">
        <v>0</v>
      </c>
      <c r="D1729" t="str">
        <f>VLOOKUP(A1729,MERCADO!A:B,2,0)</f>
        <v>Imobiliaria/Incorporadora/Construtora</v>
      </c>
      <c r="E1729" t="str">
        <f>_xlfn.XLOOKUP(A1729, ORIGEM!A:A, ORIGEM!B:B)</f>
        <v>Orgânico</v>
      </c>
      <c r="F1729">
        <f>_xlfn.XLOOKUP(A1729, ORIGEM!A:A, ORIGEM!C:C)</f>
        <v>0</v>
      </c>
      <c r="G1729" t="str">
        <f>_xlfn.XLOOKUP(A1729, LOCAL!A:A, LOCAL!B:B)</f>
        <v>-</v>
      </c>
      <c r="H1729" t="str">
        <f>_xlfn.XLOOKUP(A1729, PORTE!A:A, PORTE!B:B)</f>
        <v>51-300</v>
      </c>
      <c r="I1729">
        <f>_xlfn.XLOOKUP(A1729, OBJETIVO!A:A, OBJETIVO!B:B)</f>
        <v>0</v>
      </c>
      <c r="J1729">
        <f t="shared" si="26"/>
        <v>0</v>
      </c>
    </row>
    <row r="1730" spans="1:10" x14ac:dyDescent="0.25">
      <c r="A1730">
        <v>11530289</v>
      </c>
      <c r="B1730" s="1">
        <v>45720.409803240742</v>
      </c>
      <c r="C1730" t="s">
        <v>0</v>
      </c>
      <c r="D1730" t="str">
        <f>VLOOKUP(A1730,MERCADO!A:B,2,0)</f>
        <v>Franqueadora</v>
      </c>
      <c r="E1730" t="str">
        <f>_xlfn.XLOOKUP(A1730, ORIGEM!A:A, ORIGEM!B:B)</f>
        <v>email</v>
      </c>
      <c r="F1730" t="str">
        <f>_xlfn.XLOOKUP(A1730, ORIGEM!A:A, ORIGEM!C:C)</f>
        <v>email - economapas</v>
      </c>
      <c r="G1730" t="str">
        <f>_xlfn.XLOOKUP(A1730, LOCAL!A:A, LOCAL!B:B)</f>
        <v>Campinas, SP</v>
      </c>
      <c r="H1730" t="str">
        <f>_xlfn.XLOOKUP(A1730, PORTE!A:A, PORTE!B:B)</f>
        <v>1-10</v>
      </c>
      <c r="I1730" t="str">
        <f>_xlfn.XLOOKUP(A1730, OBJETIVO!A:A, OBJETIVO!B:B)</f>
        <v>Abertura/Expansão</v>
      </c>
      <c r="J1730">
        <f t="shared" si="26"/>
        <v>0</v>
      </c>
    </row>
    <row r="1731" spans="1:10" x14ac:dyDescent="0.25">
      <c r="A1731">
        <v>11453301</v>
      </c>
      <c r="B1731" s="1">
        <v>45712.81521990741</v>
      </c>
      <c r="C1731" t="s">
        <v>0</v>
      </c>
      <c r="D1731" t="str">
        <f>VLOOKUP(A1731,MERCADO!A:B,2,0)</f>
        <v>Franqueadora</v>
      </c>
      <c r="E1731" t="str">
        <f>_xlfn.XLOOKUP(A1731, ORIGEM!A:A, ORIGEM!B:B)</f>
        <v>Google</v>
      </c>
      <c r="F1731" t="str">
        <f>_xlfn.XLOOKUP(A1731, ORIGEM!A:A, ORIGEM!C:C)</f>
        <v>google - cpc</v>
      </c>
      <c r="G1731" t="str">
        <f>_xlfn.XLOOKUP(A1731, LOCAL!A:A, LOCAL!B:B)</f>
        <v>Brasília - DF</v>
      </c>
      <c r="H1731" t="str">
        <f>_xlfn.XLOOKUP(A1731, PORTE!A:A, PORTE!B:B)</f>
        <v>0</v>
      </c>
      <c r="I1731" t="str">
        <f>_xlfn.XLOOKUP(A1731, OBJETIVO!A:A, OBJETIVO!B:B)</f>
        <v>Ações de marketing/vendas</v>
      </c>
      <c r="J1731">
        <f t="shared" ref="J1731:J1794" si="27">IF(C1731="SIM",1,0)</f>
        <v>0</v>
      </c>
    </row>
    <row r="1732" spans="1:10" x14ac:dyDescent="0.25">
      <c r="A1732">
        <v>11461317</v>
      </c>
      <c r="B1732" s="1">
        <v>45713.600023148145</v>
      </c>
      <c r="C1732" t="s">
        <v>0</v>
      </c>
      <c r="D1732" t="str">
        <f>VLOOKUP(A1732,MERCADO!A:B,2,0)</f>
        <v>Franqueadora</v>
      </c>
      <c r="E1732" t="str">
        <f>_xlfn.XLOOKUP(A1732, ORIGEM!A:A, ORIGEM!B:B)</f>
        <v>Google</v>
      </c>
      <c r="F1732" t="str">
        <f>_xlfn.XLOOKUP(A1732, ORIGEM!A:A, ORIGEM!C:C)</f>
        <v>google - cpc</v>
      </c>
      <c r="G1732" t="str">
        <f>_xlfn.XLOOKUP(A1732, LOCAL!A:A, LOCAL!B:B)</f>
        <v>São Paulo - SP</v>
      </c>
      <c r="H1732" t="str">
        <f>_xlfn.XLOOKUP(A1732, PORTE!A:A, PORTE!B:B)</f>
        <v>11-50</v>
      </c>
      <c r="I1732" t="str">
        <f>_xlfn.XLOOKUP(A1732, OBJETIVO!A:A, OBJETIVO!B:B)</f>
        <v>Abertura/Expansão</v>
      </c>
      <c r="J1732">
        <f t="shared" si="27"/>
        <v>0</v>
      </c>
    </row>
    <row r="1733" spans="1:10" x14ac:dyDescent="0.25">
      <c r="A1733">
        <v>11361866</v>
      </c>
      <c r="B1733" s="1">
        <v>45704.437696759262</v>
      </c>
      <c r="C1733" t="s">
        <v>0</v>
      </c>
      <c r="D1733" t="str">
        <f>VLOOKUP(A1733,MERCADO!A:B,2,0)</f>
        <v>Franqueadora</v>
      </c>
      <c r="E1733" t="str">
        <f>_xlfn.XLOOKUP(A1733, ORIGEM!A:A, ORIGEM!B:B)</f>
        <v>Google</v>
      </c>
      <c r="F1733" t="str">
        <f>_xlfn.XLOOKUP(A1733, ORIGEM!A:A, ORIGEM!C:C)</f>
        <v>google - cpc</v>
      </c>
      <c r="G1733" t="str">
        <f>_xlfn.XLOOKUP(A1733, LOCAL!A:A, LOCAL!B:B)</f>
        <v>Santa Maria - RS</v>
      </c>
      <c r="H1733" t="str">
        <f>_xlfn.XLOOKUP(A1733, PORTE!A:A, PORTE!B:B)</f>
        <v>1-10</v>
      </c>
      <c r="I1733" t="str">
        <f>_xlfn.XLOOKUP(A1733, OBJETIVO!A:A, OBJETIVO!B:B)</f>
        <v>Planejamento estratégico</v>
      </c>
      <c r="J1733">
        <f t="shared" si="27"/>
        <v>0</v>
      </c>
    </row>
    <row r="1734" spans="1:10" x14ac:dyDescent="0.25">
      <c r="A1734">
        <v>11391005</v>
      </c>
      <c r="B1734" s="1">
        <v>45706.633958333332</v>
      </c>
      <c r="C1734" t="s">
        <v>0</v>
      </c>
      <c r="D1734" t="str">
        <f>VLOOKUP(A1734,MERCADO!A:B,2,0)</f>
        <v>Franqueadora</v>
      </c>
      <c r="E1734" t="str">
        <f>_xlfn.XLOOKUP(A1734, ORIGEM!A:A, ORIGEM!B:B)</f>
        <v>Google</v>
      </c>
      <c r="F1734" t="str">
        <f>_xlfn.XLOOKUP(A1734, ORIGEM!A:A, ORIGEM!C:C)</f>
        <v>google - cpc</v>
      </c>
      <c r="G1734" t="str">
        <f>_xlfn.XLOOKUP(A1734, LOCAL!A:A, LOCAL!B:B)</f>
        <v>Guaratuba - PR</v>
      </c>
      <c r="H1734" t="str">
        <f>_xlfn.XLOOKUP(A1734, PORTE!A:A, PORTE!B:B)</f>
        <v>1-10</v>
      </c>
      <c r="I1734" t="str">
        <f>_xlfn.XLOOKUP(A1734, OBJETIVO!A:A, OBJETIVO!B:B)</f>
        <v>Abertura/Expansão</v>
      </c>
      <c r="J1734">
        <f t="shared" si="27"/>
        <v>0</v>
      </c>
    </row>
    <row r="1735" spans="1:10" x14ac:dyDescent="0.25">
      <c r="A1735">
        <v>10621522</v>
      </c>
      <c r="B1735" s="1">
        <v>45631.478194444448</v>
      </c>
      <c r="C1735" t="s">
        <v>0</v>
      </c>
      <c r="D1735" t="str">
        <f>VLOOKUP(A1735,MERCADO!A:B,2,0)</f>
        <v>Imobiliaria/Incorporadora/Construtora</v>
      </c>
      <c r="E1735" t="str">
        <f>_xlfn.XLOOKUP(A1735, ORIGEM!A:A, ORIGEM!B:B)</f>
        <v>Google</v>
      </c>
      <c r="F1735" t="str">
        <f>_xlfn.XLOOKUP(A1735, ORIGEM!A:A, ORIGEM!C:C)</f>
        <v>google - cpc</v>
      </c>
      <c r="G1735" t="str">
        <f>_xlfn.XLOOKUP(A1735, LOCAL!A:A, LOCAL!B:B)</f>
        <v>São Paulo - SP</v>
      </c>
      <c r="H1735" t="str">
        <f>_xlfn.XLOOKUP(A1735, PORTE!A:A, PORTE!B:B)</f>
        <v>1-10</v>
      </c>
      <c r="I1735" t="str">
        <f>_xlfn.XLOOKUP(A1735, OBJETIVO!A:A, OBJETIVO!B:B)</f>
        <v>Planejamento estratégico</v>
      </c>
      <c r="J1735">
        <f t="shared" si="27"/>
        <v>0</v>
      </c>
    </row>
    <row r="1736" spans="1:10" x14ac:dyDescent="0.25">
      <c r="A1736">
        <v>11422047</v>
      </c>
      <c r="B1736" s="1">
        <v>45710.64775462963</v>
      </c>
      <c r="C1736" t="s">
        <v>0</v>
      </c>
      <c r="D1736" t="str">
        <f>VLOOKUP(A1736,MERCADO!A:B,2,0)</f>
        <v>Franqueadora</v>
      </c>
      <c r="E1736" t="str">
        <f>_xlfn.XLOOKUP(A1736, ORIGEM!A:A, ORIGEM!B:B)</f>
        <v>Google</v>
      </c>
      <c r="F1736" t="str">
        <f>_xlfn.XLOOKUP(A1736, ORIGEM!A:A, ORIGEM!C:C)</f>
        <v>google - cpc</v>
      </c>
      <c r="G1736" t="str">
        <f>_xlfn.XLOOKUP(A1736, LOCAL!A:A, LOCAL!B:B)</f>
        <v>Manaus - AM</v>
      </c>
      <c r="H1736" t="str">
        <f>_xlfn.XLOOKUP(A1736, PORTE!A:A, PORTE!B:B)</f>
        <v>1-10</v>
      </c>
      <c r="I1736" t="str">
        <f>_xlfn.XLOOKUP(A1736, OBJETIVO!A:A, OBJETIVO!B:B)</f>
        <v>Abertura/Expansão</v>
      </c>
      <c r="J1736">
        <f t="shared" si="27"/>
        <v>0</v>
      </c>
    </row>
    <row r="1737" spans="1:10" x14ac:dyDescent="0.25">
      <c r="A1737">
        <v>11047537</v>
      </c>
      <c r="B1737" s="1">
        <v>45676.731909722221</v>
      </c>
      <c r="C1737" t="s">
        <v>0</v>
      </c>
      <c r="D1737" t="str">
        <f>VLOOKUP(A1737,MERCADO!A:B,2,0)</f>
        <v>Franqueadora</v>
      </c>
      <c r="E1737" t="str">
        <f>_xlfn.XLOOKUP(A1737, ORIGEM!A:A, ORIGEM!B:B)</f>
        <v>Google</v>
      </c>
      <c r="F1737" t="str">
        <f>_xlfn.XLOOKUP(A1737, ORIGEM!A:A, ORIGEM!C:C)</f>
        <v>google - cpc</v>
      </c>
      <c r="G1737" t="str">
        <f>_xlfn.XLOOKUP(A1737, LOCAL!A:A, LOCAL!B:B)</f>
        <v>Monte Aprazivel - SP</v>
      </c>
      <c r="H1737" t="str">
        <f>_xlfn.XLOOKUP(A1737, PORTE!A:A, PORTE!B:B)</f>
        <v>0</v>
      </c>
      <c r="I1737" t="str">
        <f>_xlfn.XLOOKUP(A1737, OBJETIVO!A:A, OBJETIVO!B:B)</f>
        <v>Abertura/Expansão</v>
      </c>
      <c r="J1737">
        <f t="shared" si="27"/>
        <v>0</v>
      </c>
    </row>
    <row r="1738" spans="1:10" x14ac:dyDescent="0.25">
      <c r="A1738">
        <v>11222406</v>
      </c>
      <c r="B1738" s="1">
        <v>45690.555428240739</v>
      </c>
      <c r="C1738" t="s">
        <v>0</v>
      </c>
      <c r="D1738" t="str">
        <f>VLOOKUP(A1738,MERCADO!A:B,2,0)</f>
        <v>Franqueadora</v>
      </c>
      <c r="E1738" t="str">
        <f>_xlfn.XLOOKUP(A1738, ORIGEM!A:A, ORIGEM!B:B)</f>
        <v>Google</v>
      </c>
      <c r="F1738" t="str">
        <f>_xlfn.XLOOKUP(A1738, ORIGEM!A:A, ORIGEM!C:C)</f>
        <v>google - cpc</v>
      </c>
      <c r="G1738" t="str">
        <f>_xlfn.XLOOKUP(A1738, LOCAL!A:A, LOCAL!B:B)</f>
        <v>Rio de Janeiro - RJ</v>
      </c>
      <c r="H1738" t="str">
        <f>_xlfn.XLOOKUP(A1738, PORTE!A:A, PORTE!B:B)</f>
        <v>11-50</v>
      </c>
      <c r="I1738" t="str">
        <f>_xlfn.XLOOKUP(A1738, OBJETIVO!A:A, OBJETIVO!B:B)</f>
        <v>Abertura/Expansão</v>
      </c>
      <c r="J1738">
        <f t="shared" si="27"/>
        <v>0</v>
      </c>
    </row>
    <row r="1739" spans="1:10" x14ac:dyDescent="0.25">
      <c r="A1739">
        <v>11290662</v>
      </c>
      <c r="B1739" s="1">
        <v>45696.828194444446</v>
      </c>
      <c r="C1739" t="s">
        <v>0</v>
      </c>
      <c r="D1739" t="str">
        <f>VLOOKUP(A1739,MERCADO!A:B,2,0)</f>
        <v>Franqueadora</v>
      </c>
      <c r="E1739" t="str">
        <f>_xlfn.XLOOKUP(A1739, ORIGEM!A:A, ORIGEM!B:B)</f>
        <v>Google</v>
      </c>
      <c r="F1739" t="str">
        <f>_xlfn.XLOOKUP(A1739, ORIGEM!A:A, ORIGEM!C:C)</f>
        <v>google - cpc</v>
      </c>
      <c r="G1739" t="str">
        <f>_xlfn.XLOOKUP(A1739, LOCAL!A:A, LOCAL!B:B)</f>
        <v>Mogi das Cruzes - SP</v>
      </c>
      <c r="H1739" t="str">
        <f>_xlfn.XLOOKUP(A1739, PORTE!A:A, PORTE!B:B)</f>
        <v>1-10</v>
      </c>
      <c r="I1739" t="str">
        <f>_xlfn.XLOOKUP(A1739, OBJETIVO!A:A, OBJETIVO!B:B)</f>
        <v>Abertura/Expansão</v>
      </c>
      <c r="J1739">
        <f t="shared" si="27"/>
        <v>0</v>
      </c>
    </row>
    <row r="1740" spans="1:10" x14ac:dyDescent="0.25">
      <c r="A1740">
        <v>10803939</v>
      </c>
      <c r="B1740" s="1">
        <v>45648.820879629631</v>
      </c>
      <c r="C1740" t="s">
        <v>0</v>
      </c>
      <c r="D1740" t="str">
        <f>VLOOKUP(A1740,MERCADO!A:B,2,0)</f>
        <v>Franqueadora</v>
      </c>
      <c r="E1740" t="str">
        <f>_xlfn.XLOOKUP(A1740, ORIGEM!A:A, ORIGEM!B:B)</f>
        <v>Google</v>
      </c>
      <c r="F1740" t="str">
        <f>_xlfn.XLOOKUP(A1740, ORIGEM!A:A, ORIGEM!C:C)</f>
        <v>google - cpc</v>
      </c>
      <c r="G1740" t="str">
        <f>_xlfn.XLOOKUP(A1740, LOCAL!A:A, LOCAL!B:B)</f>
        <v>Fortaleza - CE</v>
      </c>
      <c r="H1740" t="str">
        <f>_xlfn.XLOOKUP(A1740, PORTE!A:A, PORTE!B:B)</f>
        <v>11-50</v>
      </c>
      <c r="I1740" t="str">
        <f>_xlfn.XLOOKUP(A1740, OBJETIVO!A:A, OBJETIVO!B:B)</f>
        <v>Ações de marketing/vendas</v>
      </c>
      <c r="J1740">
        <f t="shared" si="27"/>
        <v>0</v>
      </c>
    </row>
    <row r="1741" spans="1:10" x14ac:dyDescent="0.25">
      <c r="A1741">
        <v>10808217</v>
      </c>
      <c r="B1741" s="1">
        <v>45649.514085648145</v>
      </c>
      <c r="C1741" t="s">
        <v>0</v>
      </c>
      <c r="D1741" t="str">
        <f>VLOOKUP(A1741,MERCADO!A:B,2,0)</f>
        <v>Franqueadora</v>
      </c>
      <c r="E1741" t="str">
        <f>_xlfn.XLOOKUP(A1741, ORIGEM!A:A, ORIGEM!B:B)</f>
        <v>Google</v>
      </c>
      <c r="F1741" t="str">
        <f>_xlfn.XLOOKUP(A1741, ORIGEM!A:A, ORIGEM!C:C)</f>
        <v>google - cpc</v>
      </c>
      <c r="G1741" t="str">
        <f>_xlfn.XLOOKUP(A1741, LOCAL!A:A, LOCAL!B:B)</f>
        <v>Rio Preto - SP</v>
      </c>
      <c r="H1741" t="str">
        <f>_xlfn.XLOOKUP(A1741, PORTE!A:A, PORTE!B:B)</f>
        <v>11-50</v>
      </c>
      <c r="I1741" t="str">
        <f>_xlfn.XLOOKUP(A1741, OBJETIVO!A:A, OBJETIVO!B:B)</f>
        <v>Abertura/Expansão</v>
      </c>
      <c r="J1741">
        <f t="shared" si="27"/>
        <v>0</v>
      </c>
    </row>
    <row r="1742" spans="1:10" x14ac:dyDescent="0.25">
      <c r="A1742">
        <v>10809356</v>
      </c>
      <c r="B1742" s="1">
        <v>45649.606747685182</v>
      </c>
      <c r="C1742" t="s">
        <v>0</v>
      </c>
      <c r="D1742" t="str">
        <f>VLOOKUP(A1742,MERCADO!A:B,2,0)</f>
        <v>Franqueadora</v>
      </c>
      <c r="E1742" t="str">
        <f>_xlfn.XLOOKUP(A1742, ORIGEM!A:A, ORIGEM!B:B)</f>
        <v>Google</v>
      </c>
      <c r="F1742" t="str">
        <f>_xlfn.XLOOKUP(A1742, ORIGEM!A:A, ORIGEM!C:C)</f>
        <v>google - cpc</v>
      </c>
      <c r="G1742" t="str">
        <f>_xlfn.XLOOKUP(A1742, LOCAL!A:A, LOCAL!B:B)</f>
        <v>Novo Hamburgo - RS</v>
      </c>
      <c r="H1742" t="str">
        <f>_xlfn.XLOOKUP(A1742, PORTE!A:A, PORTE!B:B)</f>
        <v>0</v>
      </c>
      <c r="I1742" t="str">
        <f>_xlfn.XLOOKUP(A1742, OBJETIVO!A:A, OBJETIVO!B:B)</f>
        <v>Abertura/Expansão</v>
      </c>
      <c r="J1742">
        <f t="shared" si="27"/>
        <v>0</v>
      </c>
    </row>
    <row r="1743" spans="1:10" x14ac:dyDescent="0.25">
      <c r="A1743">
        <v>10849290</v>
      </c>
      <c r="B1743" s="1">
        <v>45658.759699074071</v>
      </c>
      <c r="C1743" t="s">
        <v>0</v>
      </c>
      <c r="D1743" t="str">
        <f>VLOOKUP(A1743,MERCADO!A:B,2,0)</f>
        <v>Franqueadora</v>
      </c>
      <c r="E1743" t="str">
        <f>_xlfn.XLOOKUP(A1743, ORIGEM!A:A, ORIGEM!B:B)</f>
        <v>Google</v>
      </c>
      <c r="F1743" t="str">
        <f>_xlfn.XLOOKUP(A1743, ORIGEM!A:A, ORIGEM!C:C)</f>
        <v>google - cpc</v>
      </c>
      <c r="G1743" t="str">
        <f>_xlfn.XLOOKUP(A1743, LOCAL!A:A, LOCAL!B:B)</f>
        <v>Valinhos - SP</v>
      </c>
      <c r="H1743" t="str">
        <f>_xlfn.XLOOKUP(A1743, PORTE!A:A, PORTE!B:B)</f>
        <v>1-10</v>
      </c>
      <c r="I1743" t="str">
        <f>_xlfn.XLOOKUP(A1743, OBJETIVO!A:A, OBJETIVO!B:B)</f>
        <v>Abertura/Expansão</v>
      </c>
      <c r="J1743">
        <f t="shared" si="27"/>
        <v>0</v>
      </c>
    </row>
    <row r="1744" spans="1:10" x14ac:dyDescent="0.25">
      <c r="A1744">
        <v>10891107</v>
      </c>
      <c r="B1744" s="1">
        <v>45663.651099537034</v>
      </c>
      <c r="C1744" t="s">
        <v>0</v>
      </c>
      <c r="D1744" t="str">
        <f>VLOOKUP(A1744,MERCADO!A:B,2,0)</f>
        <v>Franqueadora</v>
      </c>
      <c r="E1744" t="str">
        <f>_xlfn.XLOOKUP(A1744, ORIGEM!A:A, ORIGEM!B:B)</f>
        <v>Google</v>
      </c>
      <c r="F1744" t="str">
        <f>_xlfn.XLOOKUP(A1744, ORIGEM!A:A, ORIGEM!C:C)</f>
        <v>google - cpc</v>
      </c>
      <c r="G1744" t="str">
        <f>_xlfn.XLOOKUP(A1744, LOCAL!A:A, LOCAL!B:B)</f>
        <v>São Paulo - SP</v>
      </c>
      <c r="H1744" t="str">
        <f>_xlfn.XLOOKUP(A1744, PORTE!A:A, PORTE!B:B)</f>
        <v>0</v>
      </c>
      <c r="I1744" t="str">
        <f>_xlfn.XLOOKUP(A1744, OBJETIVO!A:A, OBJETIVO!B:B)</f>
        <v>Abertura/Expansão</v>
      </c>
      <c r="J1744">
        <f t="shared" si="27"/>
        <v>0</v>
      </c>
    </row>
    <row r="1745" spans="1:10" x14ac:dyDescent="0.25">
      <c r="A1745">
        <v>10891198</v>
      </c>
      <c r="B1745" s="1">
        <v>45663.65587962963</v>
      </c>
      <c r="C1745" t="s">
        <v>0</v>
      </c>
      <c r="D1745" t="str">
        <f>VLOOKUP(A1745,MERCADO!A:B,2,0)</f>
        <v>Franqueadora</v>
      </c>
      <c r="E1745" t="str">
        <f>_xlfn.XLOOKUP(A1745, ORIGEM!A:A, ORIGEM!B:B)</f>
        <v>Google</v>
      </c>
      <c r="F1745" t="str">
        <f>_xlfn.XLOOKUP(A1745, ORIGEM!A:A, ORIGEM!C:C)</f>
        <v>google - cpc</v>
      </c>
      <c r="G1745" t="str">
        <f>_xlfn.XLOOKUP(A1745, LOCAL!A:A, LOCAL!B:B)</f>
        <v>São Paulo - SP</v>
      </c>
      <c r="H1745" t="str">
        <f>_xlfn.XLOOKUP(A1745, PORTE!A:A, PORTE!B:B)</f>
        <v>0</v>
      </c>
      <c r="I1745" t="str">
        <f>_xlfn.XLOOKUP(A1745, OBJETIVO!A:A, OBJETIVO!B:B)</f>
        <v>Abertura/Expansão</v>
      </c>
      <c r="J1745">
        <f t="shared" si="27"/>
        <v>0</v>
      </c>
    </row>
    <row r="1746" spans="1:10" x14ac:dyDescent="0.25">
      <c r="A1746">
        <v>10749434</v>
      </c>
      <c r="B1746" s="1">
        <v>45642.738611111112</v>
      </c>
      <c r="C1746" t="s">
        <v>0</v>
      </c>
      <c r="D1746" t="str">
        <f>VLOOKUP(A1746,MERCADO!A:B,2,0)</f>
        <v>Franqueadora</v>
      </c>
      <c r="E1746" t="str">
        <f>_xlfn.XLOOKUP(A1746, ORIGEM!A:A, ORIGEM!B:B)</f>
        <v>Google</v>
      </c>
      <c r="F1746" t="str">
        <f>_xlfn.XLOOKUP(A1746, ORIGEM!A:A, ORIGEM!C:C)</f>
        <v>google - cpc</v>
      </c>
      <c r="G1746" t="str">
        <f>_xlfn.XLOOKUP(A1746, LOCAL!A:A, LOCAL!B:B)</f>
        <v>Rio Preto - SP</v>
      </c>
      <c r="H1746" t="str">
        <f>_xlfn.XLOOKUP(A1746, PORTE!A:A, PORTE!B:B)</f>
        <v>11-50</v>
      </c>
      <c r="I1746" t="str">
        <f>_xlfn.XLOOKUP(A1746, OBJETIVO!A:A, OBJETIVO!B:B)</f>
        <v>Abertura/Expansão</v>
      </c>
      <c r="J1746">
        <f t="shared" si="27"/>
        <v>0</v>
      </c>
    </row>
    <row r="1747" spans="1:10" x14ac:dyDescent="0.25">
      <c r="A1747">
        <v>10777652</v>
      </c>
      <c r="B1747" s="1">
        <v>45644.752488425926</v>
      </c>
      <c r="C1747" t="s">
        <v>0</v>
      </c>
      <c r="D1747" t="str">
        <f>VLOOKUP(A1747,MERCADO!A:B,2,0)</f>
        <v>Franqueadora</v>
      </c>
      <c r="E1747" t="str">
        <f>_xlfn.XLOOKUP(A1747, ORIGEM!A:A, ORIGEM!B:B)</f>
        <v>Google</v>
      </c>
      <c r="F1747" t="str">
        <f>_xlfn.XLOOKUP(A1747, ORIGEM!A:A, ORIGEM!C:C)</f>
        <v>google - cpc</v>
      </c>
      <c r="G1747" t="str">
        <f>_xlfn.XLOOKUP(A1747, LOCAL!A:A, LOCAL!B:B)</f>
        <v>São Paulo - SP</v>
      </c>
      <c r="H1747" t="str">
        <f>_xlfn.XLOOKUP(A1747, PORTE!A:A, PORTE!B:B)</f>
        <v>11-50</v>
      </c>
      <c r="I1747" t="str">
        <f>_xlfn.XLOOKUP(A1747, OBJETIVO!A:A, OBJETIVO!B:B)</f>
        <v>Abertura/Expansão</v>
      </c>
      <c r="J1747">
        <f t="shared" si="27"/>
        <v>0</v>
      </c>
    </row>
    <row r="1748" spans="1:10" x14ac:dyDescent="0.25">
      <c r="A1748">
        <v>10703830</v>
      </c>
      <c r="B1748" s="1">
        <v>45638.711180555554</v>
      </c>
      <c r="C1748" t="s">
        <v>0</v>
      </c>
      <c r="D1748" t="str">
        <f>VLOOKUP(A1748,MERCADO!A:B,2,0)</f>
        <v>Franqueadora</v>
      </c>
      <c r="E1748" t="str">
        <f>_xlfn.XLOOKUP(A1748, ORIGEM!A:A, ORIGEM!B:B)</f>
        <v>Google</v>
      </c>
      <c r="F1748" t="str">
        <f>_xlfn.XLOOKUP(A1748, ORIGEM!A:A, ORIGEM!C:C)</f>
        <v>google - cpc</v>
      </c>
      <c r="G1748" t="str">
        <f>_xlfn.XLOOKUP(A1748, LOCAL!A:A, LOCAL!B:B)</f>
        <v>São Paulo - SP</v>
      </c>
      <c r="H1748" t="str">
        <f>_xlfn.XLOOKUP(A1748, PORTE!A:A, PORTE!B:B)</f>
        <v>11-50</v>
      </c>
      <c r="I1748" t="str">
        <f>_xlfn.XLOOKUP(A1748, OBJETIVO!A:A, OBJETIVO!B:B)</f>
        <v>Abertura/Expansão</v>
      </c>
      <c r="J1748">
        <f t="shared" si="27"/>
        <v>0</v>
      </c>
    </row>
    <row r="1749" spans="1:10" x14ac:dyDescent="0.25">
      <c r="A1749">
        <v>10719260</v>
      </c>
      <c r="B1749" s="1">
        <v>45640.637662037036</v>
      </c>
      <c r="C1749" t="s">
        <v>0</v>
      </c>
      <c r="D1749" t="str">
        <f>VLOOKUP(A1749,MERCADO!A:B,2,0)</f>
        <v>Servicos</v>
      </c>
      <c r="E1749" t="str">
        <f>_xlfn.XLOOKUP(A1749, ORIGEM!A:A, ORIGEM!B:B)</f>
        <v>Google</v>
      </c>
      <c r="F1749" t="str">
        <f>_xlfn.XLOOKUP(A1749, ORIGEM!A:A, ORIGEM!C:C)</f>
        <v>google - cpc</v>
      </c>
      <c r="G1749" t="str">
        <f>_xlfn.XLOOKUP(A1749, LOCAL!A:A, LOCAL!B:B)</f>
        <v>Sao Luiz - MA</v>
      </c>
      <c r="H1749" t="str">
        <f>_xlfn.XLOOKUP(A1749, PORTE!A:A, PORTE!B:B)</f>
        <v>1-10</v>
      </c>
      <c r="I1749" t="str">
        <f>_xlfn.XLOOKUP(A1749, OBJETIVO!A:A, OBJETIVO!B:B)</f>
        <v>Ações de marketing/vendas</v>
      </c>
      <c r="J1749">
        <f t="shared" si="27"/>
        <v>0</v>
      </c>
    </row>
    <row r="1750" spans="1:10" x14ac:dyDescent="0.25">
      <c r="A1750">
        <v>10719817</v>
      </c>
      <c r="B1750" s="1">
        <v>45640.662129629629</v>
      </c>
      <c r="C1750" t="s">
        <v>0</v>
      </c>
      <c r="D1750" t="str">
        <f>VLOOKUP(A1750,MERCADO!A:B,2,0)</f>
        <v>Servicos</v>
      </c>
      <c r="E1750" t="str">
        <f>_xlfn.XLOOKUP(A1750, ORIGEM!A:A, ORIGEM!B:B)</f>
        <v>Google</v>
      </c>
      <c r="F1750" t="str">
        <f>_xlfn.XLOOKUP(A1750, ORIGEM!A:A, ORIGEM!C:C)</f>
        <v>google - cpc</v>
      </c>
      <c r="G1750" t="str">
        <f>_xlfn.XLOOKUP(A1750, LOCAL!A:A, LOCAL!B:B)</f>
        <v>Cascavel - PR</v>
      </c>
      <c r="H1750" t="str">
        <f>_xlfn.XLOOKUP(A1750, PORTE!A:A, PORTE!B:B)</f>
        <v>0</v>
      </c>
      <c r="I1750" t="str">
        <f>_xlfn.XLOOKUP(A1750, OBJETIVO!A:A, OBJETIVO!B:B)</f>
        <v>Consultoria</v>
      </c>
      <c r="J1750">
        <f t="shared" si="27"/>
        <v>0</v>
      </c>
    </row>
    <row r="1751" spans="1:10" x14ac:dyDescent="0.25">
      <c r="A1751">
        <v>11684528</v>
      </c>
      <c r="B1751" s="1">
        <v>45734.42359953704</v>
      </c>
      <c r="C1751" t="s">
        <v>0</v>
      </c>
      <c r="D1751" t="str">
        <f>VLOOKUP(A1751,MERCADO!A:B,2,0)</f>
        <v>Franqueadora</v>
      </c>
      <c r="E1751" t="str">
        <f>_xlfn.XLOOKUP(A1751, ORIGEM!A:A, ORIGEM!B:B)</f>
        <v>Prospecção Ativa</v>
      </c>
      <c r="F1751" t="str">
        <f>_xlfn.XLOOKUP(A1751, ORIGEM!A:A, ORIGEM!C:C)</f>
        <v>Sales Navigator</v>
      </c>
      <c r="G1751" t="str">
        <f>_xlfn.XLOOKUP(A1751, LOCAL!A:A, LOCAL!B:B)</f>
        <v>-</v>
      </c>
      <c r="H1751">
        <f>_xlfn.XLOOKUP(A1751, PORTE!A:A, PORTE!B:B)</f>
        <v>0</v>
      </c>
      <c r="I1751">
        <f>_xlfn.XLOOKUP(A1751, OBJETIVO!A:A, OBJETIVO!B:B)</f>
        <v>0</v>
      </c>
      <c r="J1751">
        <f t="shared" si="27"/>
        <v>0</v>
      </c>
    </row>
    <row r="1752" spans="1:10" x14ac:dyDescent="0.25">
      <c r="A1752">
        <v>11699064</v>
      </c>
      <c r="B1752" s="1">
        <v>45735.53224537037</v>
      </c>
      <c r="C1752" t="s">
        <v>0</v>
      </c>
      <c r="D1752" t="str">
        <f>VLOOKUP(A1752,MERCADO!A:B,2,0)</f>
        <v>Franqueadora</v>
      </c>
      <c r="E1752" t="str">
        <f>_xlfn.XLOOKUP(A1752, ORIGEM!A:A, ORIGEM!B:B)</f>
        <v>Prospecção Ativa</v>
      </c>
      <c r="F1752" t="str">
        <f>_xlfn.XLOOKUP(A1752, ORIGEM!A:A, ORIGEM!C:C)</f>
        <v>Sales Navigator</v>
      </c>
      <c r="G1752" t="str">
        <f>_xlfn.XLOOKUP(A1752, LOCAL!A:A, LOCAL!B:B)</f>
        <v>-</v>
      </c>
      <c r="H1752">
        <f>_xlfn.XLOOKUP(A1752, PORTE!A:A, PORTE!B:B)</f>
        <v>0</v>
      </c>
      <c r="I1752">
        <f>_xlfn.XLOOKUP(A1752, OBJETIVO!A:A, OBJETIVO!B:B)</f>
        <v>0</v>
      </c>
      <c r="J1752">
        <f t="shared" si="27"/>
        <v>0</v>
      </c>
    </row>
    <row r="1753" spans="1:10" x14ac:dyDescent="0.25">
      <c r="A1753">
        <v>11272773</v>
      </c>
      <c r="B1753" s="1">
        <v>45695.863587962966</v>
      </c>
      <c r="C1753" t="s">
        <v>0</v>
      </c>
      <c r="D1753" t="str">
        <f>VLOOKUP(A1753,MERCADO!A:B,2,0)</f>
        <v>Franqueadora</v>
      </c>
      <c r="E1753" t="str">
        <f>_xlfn.XLOOKUP(A1753, ORIGEM!A:A, ORIGEM!B:B)</f>
        <v>Instagram</v>
      </c>
      <c r="F1753" t="str">
        <f>_xlfn.XLOOKUP(A1753, ORIGEM!A:A, ORIGEM!C:C)</f>
        <v>instagram - social</v>
      </c>
      <c r="G1753" t="str">
        <f>_xlfn.XLOOKUP(A1753, LOCAL!A:A, LOCAL!B:B)</f>
        <v>V Redonda - RJ</v>
      </c>
      <c r="H1753" t="str">
        <f>_xlfn.XLOOKUP(A1753, PORTE!A:A, PORTE!B:B)</f>
        <v>0</v>
      </c>
      <c r="I1753" t="str">
        <f>_xlfn.XLOOKUP(A1753, OBJETIVO!A:A, OBJETIVO!B:B)</f>
        <v>Abertura/Expansão</v>
      </c>
      <c r="J1753">
        <f t="shared" si="27"/>
        <v>0</v>
      </c>
    </row>
    <row r="1754" spans="1:10" x14ac:dyDescent="0.25">
      <c r="A1754">
        <v>11349650</v>
      </c>
      <c r="B1754" s="1">
        <v>45703.394236111111</v>
      </c>
      <c r="C1754" t="s">
        <v>0</v>
      </c>
      <c r="D1754" t="str">
        <f>VLOOKUP(A1754,MERCADO!A:B,2,0)</f>
        <v>Franqueadora</v>
      </c>
      <c r="E1754" t="str">
        <f>_xlfn.XLOOKUP(A1754, ORIGEM!A:A, ORIGEM!B:B)</f>
        <v>Instagram</v>
      </c>
      <c r="F1754" t="str">
        <f>_xlfn.XLOOKUP(A1754, ORIGEM!A:A, ORIGEM!C:C)</f>
        <v>instagram - social</v>
      </c>
      <c r="G1754" t="str">
        <f>_xlfn.XLOOKUP(A1754, LOCAL!A:A, LOCAL!B:B)</f>
        <v>Fortaleza - CE</v>
      </c>
      <c r="H1754" t="str">
        <f>_xlfn.XLOOKUP(A1754, PORTE!A:A, PORTE!B:B)</f>
        <v>1-10</v>
      </c>
      <c r="I1754" t="str">
        <f>_xlfn.XLOOKUP(A1754, OBJETIVO!A:A, OBJETIVO!B:B)</f>
        <v>Abertura/Expansão</v>
      </c>
      <c r="J1754">
        <f t="shared" si="27"/>
        <v>0</v>
      </c>
    </row>
    <row r="1755" spans="1:10" x14ac:dyDescent="0.25">
      <c r="A1755">
        <v>11775697</v>
      </c>
      <c r="B1755" s="1">
        <v>45742.574444444443</v>
      </c>
      <c r="C1755" t="s">
        <v>0</v>
      </c>
      <c r="D1755" t="str">
        <f>VLOOKUP(A1755,MERCADO!A:B,2,0)</f>
        <v>Franqueadora</v>
      </c>
      <c r="E1755" t="str">
        <f>_xlfn.XLOOKUP(A1755, ORIGEM!A:A, ORIGEM!B:B)</f>
        <v>Instagram</v>
      </c>
      <c r="F1755" t="str">
        <f>_xlfn.XLOOKUP(A1755, ORIGEM!A:A, ORIGEM!C:C)</f>
        <v>instagram - social</v>
      </c>
      <c r="G1755" t="str">
        <f>_xlfn.XLOOKUP(A1755, LOCAL!A:A, LOCAL!B:B)</f>
        <v>Campinas - SP</v>
      </c>
      <c r="H1755" t="str">
        <f>_xlfn.XLOOKUP(A1755, PORTE!A:A, PORTE!B:B)</f>
        <v>11-50</v>
      </c>
      <c r="I1755" t="str">
        <f>_xlfn.XLOOKUP(A1755, OBJETIVO!A:A, OBJETIVO!B:B)</f>
        <v>Abertura/Expansão</v>
      </c>
      <c r="J1755">
        <f t="shared" si="27"/>
        <v>0</v>
      </c>
    </row>
    <row r="1756" spans="1:10" x14ac:dyDescent="0.25">
      <c r="A1756">
        <v>10806920</v>
      </c>
      <c r="B1756" s="1">
        <v>45649.457916666666</v>
      </c>
      <c r="C1756" t="s">
        <v>0</v>
      </c>
      <c r="D1756" t="str">
        <f>VLOOKUP(A1756,MERCADO!A:B,2,0)</f>
        <v>Franqueadora</v>
      </c>
      <c r="E1756" t="str">
        <f>_xlfn.XLOOKUP(A1756, ORIGEM!A:A, ORIGEM!B:B)</f>
        <v>Leads</v>
      </c>
      <c r="F1756" t="str">
        <f>_xlfn.XLOOKUP(A1756, ORIGEM!A:A, ORIGEM!C:C)</f>
        <v>leads - email</v>
      </c>
      <c r="G1756" t="str">
        <f>_xlfn.XLOOKUP(A1756, LOCAL!A:A, LOCAL!B:B)</f>
        <v>Betim - MG</v>
      </c>
      <c r="H1756" t="str">
        <f>_xlfn.XLOOKUP(A1756, PORTE!A:A, PORTE!B:B)</f>
        <v>0</v>
      </c>
      <c r="I1756" t="str">
        <f>_xlfn.XLOOKUP(A1756, OBJETIVO!A:A, OBJETIVO!B:B)</f>
        <v>Ações de marketing/vendas</v>
      </c>
      <c r="J1756">
        <f t="shared" si="27"/>
        <v>0</v>
      </c>
    </row>
    <row r="1757" spans="1:10" x14ac:dyDescent="0.25">
      <c r="A1757">
        <v>10691204</v>
      </c>
      <c r="B1757" s="1">
        <v>45636.883229166669</v>
      </c>
      <c r="C1757" t="s">
        <v>0</v>
      </c>
      <c r="D1757" t="str">
        <f>VLOOKUP(A1757,MERCADO!A:B,2,0)</f>
        <v>Servicos</v>
      </c>
      <c r="E1757" t="str">
        <f>_xlfn.XLOOKUP(A1757, ORIGEM!A:A, ORIGEM!B:B)</f>
        <v>Google</v>
      </c>
      <c r="F1757" t="str">
        <f>_xlfn.XLOOKUP(A1757, ORIGEM!A:A, ORIGEM!C:C)</f>
        <v>google - cpc</v>
      </c>
      <c r="G1757" t="str">
        <f>_xlfn.XLOOKUP(A1757, LOCAL!A:A, LOCAL!B:B)</f>
        <v>Salvador - BA</v>
      </c>
      <c r="H1757" t="str">
        <f>_xlfn.XLOOKUP(A1757, PORTE!A:A, PORTE!B:B)</f>
        <v>1-10</v>
      </c>
      <c r="I1757" t="str">
        <f>_xlfn.XLOOKUP(A1757, OBJETIVO!A:A, OBJETIVO!B:B)</f>
        <v>Geração de leads b2b</v>
      </c>
      <c r="J1757">
        <f t="shared" si="27"/>
        <v>0</v>
      </c>
    </row>
    <row r="1758" spans="1:10" x14ac:dyDescent="0.25">
      <c r="A1758">
        <v>10939465</v>
      </c>
      <c r="B1758" s="1">
        <v>45669.019444444442</v>
      </c>
      <c r="C1758" t="s">
        <v>0</v>
      </c>
      <c r="D1758" t="str">
        <f>VLOOKUP(A1758,MERCADO!A:B,2,0)</f>
        <v>Servicos</v>
      </c>
      <c r="E1758" t="str">
        <f>_xlfn.XLOOKUP(A1758, ORIGEM!A:A, ORIGEM!B:B)</f>
        <v>Google</v>
      </c>
      <c r="F1758" t="str">
        <f>_xlfn.XLOOKUP(A1758, ORIGEM!A:A, ORIGEM!C:C)</f>
        <v>google - cpc</v>
      </c>
      <c r="G1758" t="str">
        <f>_xlfn.XLOOKUP(A1758, LOCAL!A:A, LOCAL!B:B)</f>
        <v>São Paulo - SP</v>
      </c>
      <c r="H1758" t="str">
        <f>_xlfn.XLOOKUP(A1758, PORTE!A:A, PORTE!B:B)</f>
        <v>1-10</v>
      </c>
      <c r="I1758" t="str">
        <f>_xlfn.XLOOKUP(A1758, OBJETIVO!A:A, OBJETIVO!B:B)</f>
        <v>Abertura/Expansão</v>
      </c>
      <c r="J1758">
        <f t="shared" si="27"/>
        <v>0</v>
      </c>
    </row>
    <row r="1759" spans="1:10" x14ac:dyDescent="0.25">
      <c r="A1759">
        <v>10935283</v>
      </c>
      <c r="B1759" s="1">
        <v>45668.642129629632</v>
      </c>
      <c r="C1759" t="s">
        <v>0</v>
      </c>
      <c r="D1759" t="str">
        <f>VLOOKUP(A1759,MERCADO!A:B,2,0)</f>
        <v>Servicos</v>
      </c>
      <c r="E1759" t="str">
        <f>_xlfn.XLOOKUP(A1759, ORIGEM!A:A, ORIGEM!B:B)</f>
        <v>Google</v>
      </c>
      <c r="F1759" t="str">
        <f>_xlfn.XLOOKUP(A1759, ORIGEM!A:A, ORIGEM!C:C)</f>
        <v>google - cpc</v>
      </c>
      <c r="G1759" t="str">
        <f>_xlfn.XLOOKUP(A1759, LOCAL!A:A, LOCAL!B:B)</f>
        <v>Sorocaba - SP</v>
      </c>
      <c r="H1759" t="str">
        <f>_xlfn.XLOOKUP(A1759, PORTE!A:A, PORTE!B:B)</f>
        <v>0</v>
      </c>
      <c r="I1759" t="str">
        <f>_xlfn.XLOOKUP(A1759, OBJETIVO!A:A, OBJETIVO!B:B)</f>
        <v>Abertura/Expansão</v>
      </c>
      <c r="J1759">
        <f t="shared" si="27"/>
        <v>0</v>
      </c>
    </row>
    <row r="1760" spans="1:10" x14ac:dyDescent="0.25">
      <c r="A1760">
        <v>10936560</v>
      </c>
      <c r="B1760" s="1">
        <v>45668.686180555553</v>
      </c>
      <c r="C1760" t="s">
        <v>0</v>
      </c>
      <c r="D1760" t="str">
        <f>VLOOKUP(A1760,MERCADO!A:B,2,0)</f>
        <v>Servicos</v>
      </c>
      <c r="E1760" t="str">
        <f>_xlfn.XLOOKUP(A1760, ORIGEM!A:A, ORIGEM!B:B)</f>
        <v>Google</v>
      </c>
      <c r="F1760" t="str">
        <f>_xlfn.XLOOKUP(A1760, ORIGEM!A:A, ORIGEM!C:C)</f>
        <v>google - cpc</v>
      </c>
      <c r="G1760" t="str">
        <f>_xlfn.XLOOKUP(A1760, LOCAL!A:A, LOCAL!B:B)</f>
        <v>Goiânia - GO</v>
      </c>
      <c r="H1760" t="str">
        <f>_xlfn.XLOOKUP(A1760, PORTE!A:A, PORTE!B:B)</f>
        <v>1-10</v>
      </c>
      <c r="I1760" t="str">
        <f>_xlfn.XLOOKUP(A1760, OBJETIVO!A:A, OBJETIVO!B:B)</f>
        <v>Abertura/Expansão</v>
      </c>
      <c r="J1760">
        <f t="shared" si="27"/>
        <v>0</v>
      </c>
    </row>
    <row r="1761" spans="1:10" x14ac:dyDescent="0.25">
      <c r="A1761">
        <v>10933651</v>
      </c>
      <c r="B1761" s="1">
        <v>45668.597418981481</v>
      </c>
      <c r="C1761" t="s">
        <v>0</v>
      </c>
      <c r="D1761" t="str">
        <f>VLOOKUP(A1761,MERCADO!A:B,2,0)</f>
        <v>Servicos</v>
      </c>
      <c r="E1761" t="str">
        <f>_xlfn.XLOOKUP(A1761, ORIGEM!A:A, ORIGEM!B:B)</f>
        <v>Google</v>
      </c>
      <c r="F1761" t="str">
        <f>_xlfn.XLOOKUP(A1761, ORIGEM!A:A, ORIGEM!C:C)</f>
        <v>google - cpc</v>
      </c>
      <c r="G1761" t="str">
        <f>_xlfn.XLOOKUP(A1761, LOCAL!A:A, LOCAL!B:B)</f>
        <v>V Redonda - RJ</v>
      </c>
      <c r="H1761" t="str">
        <f>_xlfn.XLOOKUP(A1761, PORTE!A:A, PORTE!B:B)</f>
        <v>11-50</v>
      </c>
      <c r="I1761" t="str">
        <f>_xlfn.XLOOKUP(A1761, OBJETIVO!A:A, OBJETIVO!B:B)</f>
        <v>Consultoria</v>
      </c>
      <c r="J1761">
        <f t="shared" si="27"/>
        <v>0</v>
      </c>
    </row>
    <row r="1762" spans="1:10" x14ac:dyDescent="0.25">
      <c r="A1762">
        <v>11267521</v>
      </c>
      <c r="B1762" s="1">
        <v>45693.887326388889</v>
      </c>
      <c r="C1762" t="s">
        <v>0</v>
      </c>
      <c r="D1762" t="str">
        <f>VLOOKUP(A1762,MERCADO!A:B,2,0)</f>
        <v>Servicos</v>
      </c>
      <c r="E1762" t="str">
        <f>_xlfn.XLOOKUP(A1762, ORIGEM!A:A, ORIGEM!B:B)</f>
        <v>Google</v>
      </c>
      <c r="F1762" t="str">
        <f>_xlfn.XLOOKUP(A1762, ORIGEM!A:A, ORIGEM!C:C)</f>
        <v>google - cpc</v>
      </c>
      <c r="G1762" t="str">
        <f>_xlfn.XLOOKUP(A1762, LOCAL!A:A, LOCAL!B:B)</f>
        <v>São Paulo - SP</v>
      </c>
      <c r="H1762" t="str">
        <f>_xlfn.XLOOKUP(A1762, PORTE!A:A, PORTE!B:B)</f>
        <v>11-50</v>
      </c>
      <c r="I1762" t="str">
        <f>_xlfn.XLOOKUP(A1762, OBJETIVO!A:A, OBJETIVO!B:B)</f>
        <v>Abertura/Expansão</v>
      </c>
      <c r="J1762">
        <f t="shared" si="27"/>
        <v>0</v>
      </c>
    </row>
    <row r="1763" spans="1:10" x14ac:dyDescent="0.25">
      <c r="A1763">
        <v>11347589</v>
      </c>
      <c r="B1763" s="1">
        <v>45702.750381944446</v>
      </c>
      <c r="C1763" t="s">
        <v>0</v>
      </c>
      <c r="D1763" t="str">
        <f>VLOOKUP(A1763,MERCADO!A:B,2,0)</f>
        <v>Servicos</v>
      </c>
      <c r="E1763" t="str">
        <f>_xlfn.XLOOKUP(A1763, ORIGEM!A:A, ORIGEM!B:B)</f>
        <v>Google</v>
      </c>
      <c r="F1763" t="str">
        <f>_xlfn.XLOOKUP(A1763, ORIGEM!A:A, ORIGEM!C:C)</f>
        <v>google - cpc</v>
      </c>
      <c r="G1763" t="str">
        <f>_xlfn.XLOOKUP(A1763, LOCAL!A:A, LOCAL!B:B)</f>
        <v>Rio de Janeiro - RJ</v>
      </c>
      <c r="H1763" t="str">
        <f>_xlfn.XLOOKUP(A1763, PORTE!A:A, PORTE!B:B)</f>
        <v>0</v>
      </c>
      <c r="I1763" t="str">
        <f>_xlfn.XLOOKUP(A1763, OBJETIVO!A:A, OBJETIVO!B:B)</f>
        <v>Consultoria</v>
      </c>
      <c r="J1763">
        <f t="shared" si="27"/>
        <v>0</v>
      </c>
    </row>
    <row r="1764" spans="1:10" x14ac:dyDescent="0.25">
      <c r="A1764">
        <v>11282555</v>
      </c>
      <c r="B1764" s="1">
        <v>45696.616053240738</v>
      </c>
      <c r="C1764" t="s">
        <v>0</v>
      </c>
      <c r="D1764" t="str">
        <f>VLOOKUP(A1764,MERCADO!A:B,2,0)</f>
        <v>Servicos</v>
      </c>
      <c r="E1764" t="str">
        <f>_xlfn.XLOOKUP(A1764, ORIGEM!A:A, ORIGEM!B:B)</f>
        <v>Google</v>
      </c>
      <c r="F1764" t="str">
        <f>_xlfn.XLOOKUP(A1764, ORIGEM!A:A, ORIGEM!C:C)</f>
        <v>google - cpc</v>
      </c>
      <c r="G1764" t="str">
        <f>_xlfn.XLOOKUP(A1764, LOCAL!A:A, LOCAL!B:B)</f>
        <v>Imbiribeira - PE</v>
      </c>
      <c r="H1764" t="str">
        <f>_xlfn.XLOOKUP(A1764, PORTE!A:A, PORTE!B:B)</f>
        <v>51-300</v>
      </c>
      <c r="I1764" t="str">
        <f>_xlfn.XLOOKUP(A1764, OBJETIVO!A:A, OBJETIVO!B:B)</f>
        <v>Outro</v>
      </c>
      <c r="J1764">
        <f t="shared" si="27"/>
        <v>0</v>
      </c>
    </row>
    <row r="1765" spans="1:10" x14ac:dyDescent="0.25">
      <c r="A1765">
        <v>11273353</v>
      </c>
      <c r="B1765" s="1">
        <v>45696.058356481481</v>
      </c>
      <c r="C1765" t="s">
        <v>0</v>
      </c>
      <c r="D1765" t="str">
        <f>VLOOKUP(A1765,MERCADO!A:B,2,0)</f>
        <v>Servicos</v>
      </c>
      <c r="E1765" t="str">
        <f>_xlfn.XLOOKUP(A1765, ORIGEM!A:A, ORIGEM!B:B)</f>
        <v>Google</v>
      </c>
      <c r="F1765" t="str">
        <f>_xlfn.XLOOKUP(A1765, ORIGEM!A:A, ORIGEM!C:C)</f>
        <v>google - cpc</v>
      </c>
      <c r="G1765" t="str">
        <f>_xlfn.XLOOKUP(A1765, LOCAL!A:A, LOCAL!B:B)</f>
        <v>São Paulo - SP</v>
      </c>
      <c r="H1765" t="str">
        <f>_xlfn.XLOOKUP(A1765, PORTE!A:A, PORTE!B:B)</f>
        <v>301-1000</v>
      </c>
      <c r="I1765" t="str">
        <f>_xlfn.XLOOKUP(A1765, OBJETIVO!A:A, OBJETIVO!B:B)</f>
        <v>Abertura/Expansão</v>
      </c>
      <c r="J1765">
        <f t="shared" si="27"/>
        <v>0</v>
      </c>
    </row>
    <row r="1766" spans="1:10" x14ac:dyDescent="0.25">
      <c r="A1766">
        <v>11673966</v>
      </c>
      <c r="B1766" s="1">
        <v>45733.592152777775</v>
      </c>
      <c r="C1766" t="s">
        <v>0</v>
      </c>
      <c r="D1766" t="str">
        <f>VLOOKUP(A1766,MERCADO!A:B,2,0)</f>
        <v>Servicos</v>
      </c>
      <c r="E1766" t="str">
        <f>_xlfn.XLOOKUP(A1766, ORIGEM!A:A, ORIGEM!B:B)</f>
        <v>Google</v>
      </c>
      <c r="F1766" t="str">
        <f>_xlfn.XLOOKUP(A1766, ORIGEM!A:A, ORIGEM!C:C)</f>
        <v>google - cpc</v>
      </c>
      <c r="G1766" t="str">
        <f>_xlfn.XLOOKUP(A1766, LOCAL!A:A, LOCAL!B:B)</f>
        <v>Bauru - SP</v>
      </c>
      <c r="H1766" t="str">
        <f>_xlfn.XLOOKUP(A1766, PORTE!A:A, PORTE!B:B)</f>
        <v>11-50</v>
      </c>
      <c r="I1766" t="str">
        <f>_xlfn.XLOOKUP(A1766, OBJETIVO!A:A, OBJETIVO!B:B)</f>
        <v>Geração de leads b2b</v>
      </c>
      <c r="J1766">
        <f t="shared" si="27"/>
        <v>0</v>
      </c>
    </row>
    <row r="1767" spans="1:10" x14ac:dyDescent="0.25">
      <c r="A1767">
        <v>11674740</v>
      </c>
      <c r="B1767" s="1">
        <v>45733.622546296298</v>
      </c>
      <c r="C1767" t="s">
        <v>0</v>
      </c>
      <c r="D1767" t="str">
        <f>VLOOKUP(A1767,MERCADO!A:B,2,0)</f>
        <v>Servicos</v>
      </c>
      <c r="E1767" t="str">
        <f>_xlfn.XLOOKUP(A1767, ORIGEM!A:A, ORIGEM!B:B)</f>
        <v>Google</v>
      </c>
      <c r="F1767" t="str">
        <f>_xlfn.XLOOKUP(A1767, ORIGEM!A:A, ORIGEM!C:C)</f>
        <v>google - cpc</v>
      </c>
      <c r="G1767" t="str">
        <f>_xlfn.XLOOKUP(A1767, LOCAL!A:A, LOCAL!B:B)</f>
        <v>Brasília - DF</v>
      </c>
      <c r="H1767" t="str">
        <f>_xlfn.XLOOKUP(A1767, PORTE!A:A, PORTE!B:B)</f>
        <v>301-1000</v>
      </c>
      <c r="I1767" t="str">
        <f>_xlfn.XLOOKUP(A1767, OBJETIVO!A:A, OBJETIVO!B:B)</f>
        <v>Geração de leads b2b</v>
      </c>
      <c r="J1767">
        <f t="shared" si="27"/>
        <v>0</v>
      </c>
    </row>
    <row r="1768" spans="1:10" x14ac:dyDescent="0.25">
      <c r="A1768">
        <v>11646736</v>
      </c>
      <c r="B1768" s="1">
        <v>45731.711736111109</v>
      </c>
      <c r="C1768" t="s">
        <v>0</v>
      </c>
      <c r="D1768" t="str">
        <f>VLOOKUP(A1768,MERCADO!A:B,2,0)</f>
        <v>Servicos</v>
      </c>
      <c r="E1768" t="str">
        <f>_xlfn.XLOOKUP(A1768, ORIGEM!A:A, ORIGEM!B:B)</f>
        <v>Google</v>
      </c>
      <c r="F1768" t="str">
        <f>_xlfn.XLOOKUP(A1768, ORIGEM!A:A, ORIGEM!C:C)</f>
        <v>google - cpc</v>
      </c>
      <c r="G1768" t="str">
        <f>_xlfn.XLOOKUP(A1768, LOCAL!A:A, LOCAL!B:B)</f>
        <v>Panambi - RS</v>
      </c>
      <c r="H1768" t="str">
        <f>_xlfn.XLOOKUP(A1768, PORTE!A:A, PORTE!B:B)</f>
        <v>1-10</v>
      </c>
      <c r="I1768" t="str">
        <f>_xlfn.XLOOKUP(A1768, OBJETIVO!A:A, OBJETIVO!B:B)</f>
        <v>Ações de marketing/vendas</v>
      </c>
      <c r="J1768">
        <f t="shared" si="27"/>
        <v>0</v>
      </c>
    </row>
    <row r="1769" spans="1:10" x14ac:dyDescent="0.25">
      <c r="A1769">
        <v>11666215</v>
      </c>
      <c r="B1769" s="1">
        <v>45733.366377314815</v>
      </c>
      <c r="C1769" t="s">
        <v>0</v>
      </c>
      <c r="D1769" t="str">
        <f>VLOOKUP(A1769,MERCADO!A:B,2,0)</f>
        <v>Servicos</v>
      </c>
      <c r="E1769" t="str">
        <f>_xlfn.XLOOKUP(A1769, ORIGEM!A:A, ORIGEM!B:B)</f>
        <v>Google</v>
      </c>
      <c r="F1769" t="str">
        <f>_xlfn.XLOOKUP(A1769, ORIGEM!A:A, ORIGEM!C:C)</f>
        <v>google - cpc</v>
      </c>
      <c r="G1769" t="str">
        <f>_xlfn.XLOOKUP(A1769, LOCAL!A:A, LOCAL!B:B)</f>
        <v>São Paulo - SP</v>
      </c>
      <c r="H1769" t="str">
        <f>_xlfn.XLOOKUP(A1769, PORTE!A:A, PORTE!B:B)</f>
        <v>+ 1000</v>
      </c>
      <c r="I1769" t="str">
        <f>_xlfn.XLOOKUP(A1769, OBJETIVO!A:A, OBJETIVO!B:B)</f>
        <v>Ações de marketing/vendas</v>
      </c>
      <c r="J1769">
        <f t="shared" si="27"/>
        <v>0</v>
      </c>
    </row>
    <row r="1770" spans="1:10" x14ac:dyDescent="0.25">
      <c r="A1770">
        <v>11650191</v>
      </c>
      <c r="B1770" s="1">
        <v>45732.322384259256</v>
      </c>
      <c r="C1770" t="s">
        <v>0</v>
      </c>
      <c r="D1770" t="str">
        <f>VLOOKUP(A1770,MERCADO!A:B,2,0)</f>
        <v>Servicos</v>
      </c>
      <c r="E1770" t="str">
        <f>_xlfn.XLOOKUP(A1770, ORIGEM!A:A, ORIGEM!B:B)</f>
        <v>Google</v>
      </c>
      <c r="F1770" t="str">
        <f>_xlfn.XLOOKUP(A1770, ORIGEM!A:A, ORIGEM!C:C)</f>
        <v>google - cpc</v>
      </c>
      <c r="G1770" t="str">
        <f>_xlfn.XLOOKUP(A1770, LOCAL!A:A, LOCAL!B:B)</f>
        <v>Cariacica - ES</v>
      </c>
      <c r="H1770" t="str">
        <f>_xlfn.XLOOKUP(A1770, PORTE!A:A, PORTE!B:B)</f>
        <v>0</v>
      </c>
      <c r="I1770" t="str">
        <f>_xlfn.XLOOKUP(A1770, OBJETIVO!A:A, OBJETIVO!B:B)</f>
        <v>Abertura/Expansão</v>
      </c>
      <c r="J1770">
        <f t="shared" si="27"/>
        <v>0</v>
      </c>
    </row>
    <row r="1771" spans="1:10" x14ac:dyDescent="0.25">
      <c r="A1771">
        <v>11717257</v>
      </c>
      <c r="B1771" s="1">
        <v>45738.500416666669</v>
      </c>
      <c r="C1771" t="s">
        <v>0</v>
      </c>
      <c r="D1771" t="str">
        <f>VLOOKUP(A1771,MERCADO!A:B,2,0)</f>
        <v>Servicos</v>
      </c>
      <c r="E1771" t="str">
        <f>_xlfn.XLOOKUP(A1771, ORIGEM!A:A, ORIGEM!B:B)</f>
        <v>Google</v>
      </c>
      <c r="F1771" t="str">
        <f>_xlfn.XLOOKUP(A1771, ORIGEM!A:A, ORIGEM!C:C)</f>
        <v>google - cpc</v>
      </c>
      <c r="G1771" t="str">
        <f>_xlfn.XLOOKUP(A1771, LOCAL!A:A, LOCAL!B:B)</f>
        <v>Sao Jose Da Lapa - MG</v>
      </c>
      <c r="H1771" t="str">
        <f>_xlfn.XLOOKUP(A1771, PORTE!A:A, PORTE!B:B)</f>
        <v>1-10</v>
      </c>
      <c r="I1771" t="str">
        <f>_xlfn.XLOOKUP(A1771, OBJETIVO!A:A, OBJETIVO!B:B)</f>
        <v>Abertura/Expansão</v>
      </c>
      <c r="J1771">
        <f t="shared" si="27"/>
        <v>0</v>
      </c>
    </row>
    <row r="1772" spans="1:10" x14ac:dyDescent="0.25">
      <c r="A1772">
        <v>11623552</v>
      </c>
      <c r="B1772" s="1">
        <v>45728.491469907407</v>
      </c>
      <c r="C1772" t="s">
        <v>0</v>
      </c>
      <c r="D1772" t="str">
        <f>VLOOKUP(A1772,MERCADO!A:B,2,0)</f>
        <v>Servicos</v>
      </c>
      <c r="E1772" t="str">
        <f>_xlfn.XLOOKUP(A1772, ORIGEM!A:A, ORIGEM!B:B)</f>
        <v>Google</v>
      </c>
      <c r="F1772" t="str">
        <f>_xlfn.XLOOKUP(A1772, ORIGEM!A:A, ORIGEM!C:C)</f>
        <v>google - cpc</v>
      </c>
      <c r="G1772" t="str">
        <f>_xlfn.XLOOKUP(A1772, LOCAL!A:A, LOCAL!B:B)</f>
        <v>São Luís - MA</v>
      </c>
      <c r="H1772" t="str">
        <f>_xlfn.XLOOKUP(A1772, PORTE!A:A, PORTE!B:B)</f>
        <v>11-50</v>
      </c>
      <c r="I1772" t="str">
        <f>_xlfn.XLOOKUP(A1772, OBJETIVO!A:A, OBJETIVO!B:B)</f>
        <v>Planejamento estratégico</v>
      </c>
      <c r="J1772">
        <f t="shared" si="27"/>
        <v>0</v>
      </c>
    </row>
    <row r="1773" spans="1:10" x14ac:dyDescent="0.25">
      <c r="A1773">
        <v>11579800</v>
      </c>
      <c r="B1773" s="1">
        <v>45725.351076388892</v>
      </c>
      <c r="C1773" t="s">
        <v>0</v>
      </c>
      <c r="D1773" t="str">
        <f>VLOOKUP(A1773,MERCADO!A:B,2,0)</f>
        <v>Franqueadora</v>
      </c>
      <c r="E1773" t="str">
        <f>_xlfn.XLOOKUP(A1773, ORIGEM!A:A, ORIGEM!B:B)</f>
        <v>Bing</v>
      </c>
      <c r="F1773" t="str">
        <f>_xlfn.XLOOKUP(A1773, ORIGEM!A:A, ORIGEM!C:C)</f>
        <v>bing - cpc</v>
      </c>
      <c r="G1773" t="str">
        <f>_xlfn.XLOOKUP(A1773, LOCAL!A:A, LOCAL!B:B)</f>
        <v>Jaguaribe - CE</v>
      </c>
      <c r="H1773" t="str">
        <f>_xlfn.XLOOKUP(A1773, PORTE!A:A, PORTE!B:B)</f>
        <v>1-10</v>
      </c>
      <c r="I1773" t="str">
        <f>_xlfn.XLOOKUP(A1773, OBJETIVO!A:A, OBJETIVO!B:B)</f>
        <v>Abertura/Expansão</v>
      </c>
      <c r="J1773">
        <f t="shared" si="27"/>
        <v>0</v>
      </c>
    </row>
    <row r="1774" spans="1:10" x14ac:dyDescent="0.25">
      <c r="A1774">
        <v>11608030</v>
      </c>
      <c r="B1774" s="1">
        <v>45727.343298611115</v>
      </c>
      <c r="C1774" t="s">
        <v>0</v>
      </c>
      <c r="D1774" t="str">
        <f>VLOOKUP(A1774,MERCADO!A:B,2,0)</f>
        <v>Franqueadora</v>
      </c>
      <c r="E1774" t="str">
        <f>_xlfn.XLOOKUP(A1774, ORIGEM!A:A, ORIGEM!B:B)</f>
        <v>Bing</v>
      </c>
      <c r="F1774" t="str">
        <f>_xlfn.XLOOKUP(A1774, ORIGEM!A:A, ORIGEM!C:C)</f>
        <v>bing - cpc</v>
      </c>
      <c r="G1774" t="str">
        <f>_xlfn.XLOOKUP(A1774, LOCAL!A:A, LOCAL!B:B)</f>
        <v>Marília - SP</v>
      </c>
      <c r="H1774" t="str">
        <f>_xlfn.XLOOKUP(A1774, PORTE!A:A, PORTE!B:B)</f>
        <v>11-50</v>
      </c>
      <c r="I1774" t="str">
        <f>_xlfn.XLOOKUP(A1774, OBJETIVO!A:A, OBJETIVO!B:B)</f>
        <v>Abertura/Expansão</v>
      </c>
      <c r="J1774">
        <f t="shared" si="27"/>
        <v>0</v>
      </c>
    </row>
    <row r="1775" spans="1:10" x14ac:dyDescent="0.25">
      <c r="A1775">
        <v>10747018</v>
      </c>
      <c r="B1775" s="1">
        <v>45642.635949074072</v>
      </c>
      <c r="C1775" t="s">
        <v>0</v>
      </c>
      <c r="D1775" t="str">
        <f>VLOOKUP(A1775,MERCADO!A:B,2,0)</f>
        <v>Servicos</v>
      </c>
      <c r="E1775" t="str">
        <f>_xlfn.XLOOKUP(A1775, ORIGEM!A:A, ORIGEM!B:B)</f>
        <v>Google</v>
      </c>
      <c r="F1775" t="str">
        <f>_xlfn.XLOOKUP(A1775, ORIGEM!A:A, ORIGEM!C:C)</f>
        <v>google - cpc</v>
      </c>
      <c r="G1775" t="str">
        <f>_xlfn.XLOOKUP(A1775, LOCAL!A:A, LOCAL!B:B)</f>
        <v>Brasília - DF</v>
      </c>
      <c r="H1775" t="str">
        <f>_xlfn.XLOOKUP(A1775, PORTE!A:A, PORTE!B:B)</f>
        <v>1-10</v>
      </c>
      <c r="I1775" t="str">
        <f>_xlfn.XLOOKUP(A1775, OBJETIVO!A:A, OBJETIVO!B:B)</f>
        <v>Ações de marketing/vendas</v>
      </c>
      <c r="J1775">
        <f t="shared" si="27"/>
        <v>0</v>
      </c>
    </row>
    <row r="1776" spans="1:10" x14ac:dyDescent="0.25">
      <c r="A1776">
        <v>10745001</v>
      </c>
      <c r="B1776" s="1">
        <v>45642.551226851851</v>
      </c>
      <c r="C1776" t="s">
        <v>0</v>
      </c>
      <c r="D1776" t="str">
        <f>VLOOKUP(A1776,MERCADO!A:B,2,0)</f>
        <v>Servicos</v>
      </c>
      <c r="E1776" t="str">
        <f>_xlfn.XLOOKUP(A1776, ORIGEM!A:A, ORIGEM!B:B)</f>
        <v>Google</v>
      </c>
      <c r="F1776" t="str">
        <f>_xlfn.XLOOKUP(A1776, ORIGEM!A:A, ORIGEM!C:C)</f>
        <v>google - cpc</v>
      </c>
      <c r="G1776" t="str">
        <f>_xlfn.XLOOKUP(A1776, LOCAL!A:A, LOCAL!B:B)</f>
        <v>Tubarao - SC</v>
      </c>
      <c r="H1776" t="str">
        <f>_xlfn.XLOOKUP(A1776, PORTE!A:A, PORTE!B:B)</f>
        <v>301-1000</v>
      </c>
      <c r="I1776" t="str">
        <f>_xlfn.XLOOKUP(A1776, OBJETIVO!A:A, OBJETIVO!B:B)</f>
        <v>Geração de leads b2b</v>
      </c>
      <c r="J1776">
        <f t="shared" si="27"/>
        <v>0</v>
      </c>
    </row>
    <row r="1777" spans="1:10" x14ac:dyDescent="0.25">
      <c r="A1777">
        <v>10737411</v>
      </c>
      <c r="B1777" s="1">
        <v>45641.907847222225</v>
      </c>
      <c r="C1777" t="s">
        <v>0</v>
      </c>
      <c r="D1777" t="str">
        <f>VLOOKUP(A1777,MERCADO!A:B,2,0)</f>
        <v>Servicos</v>
      </c>
      <c r="E1777" t="str">
        <f>_xlfn.XLOOKUP(A1777, ORIGEM!A:A, ORIGEM!B:B)</f>
        <v>Google</v>
      </c>
      <c r="F1777" t="str">
        <f>_xlfn.XLOOKUP(A1777, ORIGEM!A:A, ORIGEM!C:C)</f>
        <v>google - cpc</v>
      </c>
      <c r="G1777" t="str">
        <f>_xlfn.XLOOKUP(A1777, LOCAL!A:A, LOCAL!B:B)</f>
        <v>Betim - MG</v>
      </c>
      <c r="H1777" t="str">
        <f>_xlfn.XLOOKUP(A1777, PORTE!A:A, PORTE!B:B)</f>
        <v>1-10</v>
      </c>
      <c r="I1777" t="str">
        <f>_xlfn.XLOOKUP(A1777, OBJETIVO!A:A, OBJETIVO!B:B)</f>
        <v>Abertura/Expansão</v>
      </c>
      <c r="J1777">
        <f t="shared" si="27"/>
        <v>0</v>
      </c>
    </row>
    <row r="1778" spans="1:10" x14ac:dyDescent="0.25">
      <c r="A1778">
        <v>10846157</v>
      </c>
      <c r="B1778" s="1">
        <v>45656.77412037037</v>
      </c>
      <c r="C1778" t="s">
        <v>0</v>
      </c>
      <c r="D1778" t="str">
        <f>VLOOKUP(A1778,MERCADO!A:B,2,0)</f>
        <v>Servicos</v>
      </c>
      <c r="E1778" t="str">
        <f>_xlfn.XLOOKUP(A1778, ORIGEM!A:A, ORIGEM!B:B)</f>
        <v>Google</v>
      </c>
      <c r="F1778" t="str">
        <f>_xlfn.XLOOKUP(A1778, ORIGEM!A:A, ORIGEM!C:C)</f>
        <v>google - cpc</v>
      </c>
      <c r="G1778" t="str">
        <f>_xlfn.XLOOKUP(A1778, LOCAL!A:A, LOCAL!B:B)</f>
        <v>Porto Velho - RO</v>
      </c>
      <c r="H1778" t="str">
        <f>_xlfn.XLOOKUP(A1778, PORTE!A:A, PORTE!B:B)</f>
        <v>51-300</v>
      </c>
      <c r="I1778" t="str">
        <f>_xlfn.XLOOKUP(A1778, OBJETIVO!A:A, OBJETIVO!B:B)</f>
        <v>Ações de marketing/vendas</v>
      </c>
      <c r="J1778">
        <f t="shared" si="27"/>
        <v>0</v>
      </c>
    </row>
    <row r="1779" spans="1:10" x14ac:dyDescent="0.25">
      <c r="A1779">
        <v>10834999</v>
      </c>
      <c r="B1779" s="1">
        <v>45655.859212962961</v>
      </c>
      <c r="C1779" t="s">
        <v>0</v>
      </c>
      <c r="D1779" t="str">
        <f>VLOOKUP(A1779,MERCADO!A:B,2,0)</f>
        <v>Servicos</v>
      </c>
      <c r="E1779" t="str">
        <f>_xlfn.XLOOKUP(A1779, ORIGEM!A:A, ORIGEM!B:B)</f>
        <v>Google</v>
      </c>
      <c r="F1779" t="str">
        <f>_xlfn.XLOOKUP(A1779, ORIGEM!A:A, ORIGEM!C:C)</f>
        <v>google - cpc</v>
      </c>
      <c r="G1779" t="str">
        <f>_xlfn.XLOOKUP(A1779, LOCAL!A:A, LOCAL!B:B)</f>
        <v>Belo Horizonte - MG</v>
      </c>
      <c r="H1779" t="str">
        <f>_xlfn.XLOOKUP(A1779, PORTE!A:A, PORTE!B:B)</f>
        <v>0</v>
      </c>
      <c r="I1779" t="str">
        <f>_xlfn.XLOOKUP(A1779, OBJETIVO!A:A, OBJETIVO!B:B)</f>
        <v>Abertura/Expansão</v>
      </c>
      <c r="J1779">
        <f t="shared" si="27"/>
        <v>0</v>
      </c>
    </row>
    <row r="1780" spans="1:10" x14ac:dyDescent="0.25">
      <c r="A1780">
        <v>10826533</v>
      </c>
      <c r="B1780" s="1">
        <v>45654.809571759259</v>
      </c>
      <c r="C1780" t="s">
        <v>0</v>
      </c>
      <c r="D1780" t="str">
        <f>VLOOKUP(A1780,MERCADO!A:B,2,0)</f>
        <v>Servicos</v>
      </c>
      <c r="E1780" t="str">
        <f>_xlfn.XLOOKUP(A1780, ORIGEM!A:A, ORIGEM!B:B)</f>
        <v>Google</v>
      </c>
      <c r="F1780" t="str">
        <f>_xlfn.XLOOKUP(A1780, ORIGEM!A:A, ORIGEM!C:C)</f>
        <v>google - cpc</v>
      </c>
      <c r="G1780" t="str">
        <f>_xlfn.XLOOKUP(A1780, LOCAL!A:A, LOCAL!B:B)</f>
        <v>Taubate - SP</v>
      </c>
      <c r="H1780" t="str">
        <f>_xlfn.XLOOKUP(A1780, PORTE!A:A, PORTE!B:B)</f>
        <v>1-10</v>
      </c>
      <c r="I1780" t="str">
        <f>_xlfn.XLOOKUP(A1780, OBJETIVO!A:A, OBJETIVO!B:B)</f>
        <v>Abertura/Expansão</v>
      </c>
      <c r="J1780">
        <f t="shared" si="27"/>
        <v>0</v>
      </c>
    </row>
    <row r="1781" spans="1:10" x14ac:dyDescent="0.25">
      <c r="A1781">
        <v>10817655</v>
      </c>
      <c r="B1781" s="1">
        <v>45652.691643518519</v>
      </c>
      <c r="C1781" t="s">
        <v>0</v>
      </c>
      <c r="D1781" t="str">
        <f>VLOOKUP(A1781,MERCADO!A:B,2,0)</f>
        <v>Servicos</v>
      </c>
      <c r="E1781" t="str">
        <f>_xlfn.XLOOKUP(A1781, ORIGEM!A:A, ORIGEM!B:B)</f>
        <v>Google</v>
      </c>
      <c r="F1781" t="str">
        <f>_xlfn.XLOOKUP(A1781, ORIGEM!A:A, ORIGEM!C:C)</f>
        <v>google - cpc</v>
      </c>
      <c r="G1781" t="str">
        <f>_xlfn.XLOOKUP(A1781, LOCAL!A:A, LOCAL!B:B)</f>
        <v>Mario Campos - MG</v>
      </c>
      <c r="H1781" t="str">
        <f>_xlfn.XLOOKUP(A1781, PORTE!A:A, PORTE!B:B)</f>
        <v>11-50</v>
      </c>
      <c r="I1781" t="str">
        <f>_xlfn.XLOOKUP(A1781, OBJETIVO!A:A, OBJETIVO!B:B)</f>
        <v>Abertura/Expansão</v>
      </c>
      <c r="J1781">
        <f t="shared" si="27"/>
        <v>0</v>
      </c>
    </row>
    <row r="1782" spans="1:10" x14ac:dyDescent="0.25">
      <c r="A1782">
        <v>10818860</v>
      </c>
      <c r="B1782" s="1">
        <v>45653.532361111109</v>
      </c>
      <c r="C1782" t="s">
        <v>0</v>
      </c>
      <c r="D1782" t="str">
        <f>VLOOKUP(A1782,MERCADO!A:B,2,0)</f>
        <v>Servicos</v>
      </c>
      <c r="E1782" t="str">
        <f>_xlfn.XLOOKUP(A1782, ORIGEM!A:A, ORIGEM!B:B)</f>
        <v>Google</v>
      </c>
      <c r="F1782" t="str">
        <f>_xlfn.XLOOKUP(A1782, ORIGEM!A:A, ORIGEM!C:C)</f>
        <v>google - cpc</v>
      </c>
      <c r="G1782" t="str">
        <f>_xlfn.XLOOKUP(A1782, LOCAL!A:A, LOCAL!B:B)</f>
        <v>Balneário Camboriú - SC</v>
      </c>
      <c r="H1782" t="str">
        <f>_xlfn.XLOOKUP(A1782, PORTE!A:A, PORTE!B:B)</f>
        <v>0</v>
      </c>
      <c r="I1782" t="str">
        <f>_xlfn.XLOOKUP(A1782, OBJETIVO!A:A, OBJETIVO!B:B)</f>
        <v>Ações de marketing/vendas</v>
      </c>
      <c r="J1782">
        <f t="shared" si="27"/>
        <v>0</v>
      </c>
    </row>
    <row r="1783" spans="1:10" x14ac:dyDescent="0.25">
      <c r="A1783">
        <v>10824328</v>
      </c>
      <c r="B1783" s="1">
        <v>45654.629363425927</v>
      </c>
      <c r="C1783" t="s">
        <v>0</v>
      </c>
      <c r="D1783" t="str">
        <f>VLOOKUP(A1783,MERCADO!A:B,2,0)</f>
        <v>Servicos</v>
      </c>
      <c r="E1783" t="str">
        <f>_xlfn.XLOOKUP(A1783, ORIGEM!A:A, ORIGEM!B:B)</f>
        <v>Google</v>
      </c>
      <c r="F1783" t="str">
        <f>_xlfn.XLOOKUP(A1783, ORIGEM!A:A, ORIGEM!C:C)</f>
        <v>google - cpc</v>
      </c>
      <c r="G1783" t="str">
        <f>_xlfn.XLOOKUP(A1783, LOCAL!A:A, LOCAL!B:B)</f>
        <v>Belo Horizonte - MG</v>
      </c>
      <c r="H1783" t="str">
        <f>_xlfn.XLOOKUP(A1783, PORTE!A:A, PORTE!B:B)</f>
        <v>51-300</v>
      </c>
      <c r="I1783" t="str">
        <f>_xlfn.XLOOKUP(A1783, OBJETIVO!A:A, OBJETIVO!B:B)</f>
        <v>Abertura/Expansão</v>
      </c>
      <c r="J1783">
        <f t="shared" si="27"/>
        <v>0</v>
      </c>
    </row>
    <row r="1784" spans="1:10" x14ac:dyDescent="0.25">
      <c r="A1784">
        <v>10804267</v>
      </c>
      <c r="B1784" s="1">
        <v>45648.969606481478</v>
      </c>
      <c r="C1784" t="s">
        <v>0</v>
      </c>
      <c r="D1784" t="str">
        <f>VLOOKUP(A1784,MERCADO!A:B,2,0)</f>
        <v>Servicos</v>
      </c>
      <c r="E1784" t="str">
        <f>_xlfn.XLOOKUP(A1784, ORIGEM!A:A, ORIGEM!B:B)</f>
        <v>Google</v>
      </c>
      <c r="F1784" t="str">
        <f>_xlfn.XLOOKUP(A1784, ORIGEM!A:A, ORIGEM!C:C)</f>
        <v>google - cpc</v>
      </c>
      <c r="G1784" t="str">
        <f>_xlfn.XLOOKUP(A1784, LOCAL!A:A, LOCAL!B:B)</f>
        <v>Belo Horizonte - MG</v>
      </c>
      <c r="H1784" t="str">
        <f>_xlfn.XLOOKUP(A1784, PORTE!A:A, PORTE!B:B)</f>
        <v>1-10</v>
      </c>
      <c r="I1784" t="str">
        <f>_xlfn.XLOOKUP(A1784, OBJETIVO!A:A, OBJETIVO!B:B)</f>
        <v>Planejamento estratégico</v>
      </c>
      <c r="J1784">
        <f t="shared" si="27"/>
        <v>0</v>
      </c>
    </row>
    <row r="1785" spans="1:10" x14ac:dyDescent="0.25">
      <c r="A1785">
        <v>11216187</v>
      </c>
      <c r="B1785" s="1">
        <v>45690.356990740744</v>
      </c>
      <c r="C1785" t="s">
        <v>0</v>
      </c>
      <c r="D1785" t="str">
        <f>VLOOKUP(A1785,MERCADO!A:B,2,0)</f>
        <v>Servicos</v>
      </c>
      <c r="E1785" t="str">
        <f>_xlfn.XLOOKUP(A1785, ORIGEM!A:A, ORIGEM!B:B)</f>
        <v>Google</v>
      </c>
      <c r="F1785" t="str">
        <f>_xlfn.XLOOKUP(A1785, ORIGEM!A:A, ORIGEM!C:C)</f>
        <v>google - cpc</v>
      </c>
      <c r="G1785" t="str">
        <f>_xlfn.XLOOKUP(A1785, LOCAL!A:A, LOCAL!B:B)</f>
        <v>Rio de Janeiro - RJ</v>
      </c>
      <c r="H1785" t="str">
        <f>_xlfn.XLOOKUP(A1785, PORTE!A:A, PORTE!B:B)</f>
        <v>51-300</v>
      </c>
      <c r="I1785" t="str">
        <f>_xlfn.XLOOKUP(A1785, OBJETIVO!A:A, OBJETIVO!B:B)</f>
        <v>Consultoria</v>
      </c>
      <c r="J1785">
        <f t="shared" si="27"/>
        <v>0</v>
      </c>
    </row>
    <row r="1786" spans="1:10" x14ac:dyDescent="0.25">
      <c r="A1786">
        <v>11070445</v>
      </c>
      <c r="B1786" s="1">
        <v>45678.572430555556</v>
      </c>
      <c r="C1786" t="s">
        <v>0</v>
      </c>
      <c r="D1786" t="str">
        <f>VLOOKUP(A1786,MERCADO!A:B,2,0)</f>
        <v>Servicos</v>
      </c>
      <c r="E1786" t="str">
        <f>_xlfn.XLOOKUP(A1786, ORIGEM!A:A, ORIGEM!B:B)</f>
        <v>Google</v>
      </c>
      <c r="F1786" t="str">
        <f>_xlfn.XLOOKUP(A1786, ORIGEM!A:A, ORIGEM!C:C)</f>
        <v>google - cpc</v>
      </c>
      <c r="G1786" t="str">
        <f>_xlfn.XLOOKUP(A1786, LOCAL!A:A, LOCAL!B:B)</f>
        <v>Barcarena Nova - PA</v>
      </c>
      <c r="H1786" t="str">
        <f>_xlfn.XLOOKUP(A1786, PORTE!A:A, PORTE!B:B)</f>
        <v>1-10</v>
      </c>
      <c r="I1786" t="str">
        <f>_xlfn.XLOOKUP(A1786, OBJETIVO!A:A, OBJETIVO!B:B)</f>
        <v>Planejamento estratégico</v>
      </c>
      <c r="J1786">
        <f t="shared" si="27"/>
        <v>0</v>
      </c>
    </row>
    <row r="1787" spans="1:10" x14ac:dyDescent="0.25">
      <c r="A1787">
        <v>11008097</v>
      </c>
      <c r="B1787" s="1">
        <v>45673.339039351849</v>
      </c>
      <c r="C1787" t="s">
        <v>0</v>
      </c>
      <c r="D1787" t="str">
        <f>VLOOKUP(A1787,MERCADO!A:B,2,0)</f>
        <v>Servicos</v>
      </c>
      <c r="E1787" t="str">
        <f>_xlfn.XLOOKUP(A1787, ORIGEM!A:A, ORIGEM!B:B)</f>
        <v>Google</v>
      </c>
      <c r="F1787" t="str">
        <f>_xlfn.XLOOKUP(A1787, ORIGEM!A:A, ORIGEM!C:C)</f>
        <v>google - cpc</v>
      </c>
      <c r="G1787" t="str">
        <f>_xlfn.XLOOKUP(A1787, LOCAL!A:A, LOCAL!B:B)</f>
        <v>Rio de Janeiro - RJ</v>
      </c>
      <c r="H1787" t="str">
        <f>_xlfn.XLOOKUP(A1787, PORTE!A:A, PORTE!B:B)</f>
        <v>1-10</v>
      </c>
      <c r="I1787" t="str">
        <f>_xlfn.XLOOKUP(A1787, OBJETIVO!A:A, OBJETIVO!B:B)</f>
        <v>Planejamento estratégico</v>
      </c>
      <c r="J1787">
        <f t="shared" si="27"/>
        <v>0</v>
      </c>
    </row>
    <row r="1788" spans="1:10" x14ac:dyDescent="0.25">
      <c r="A1788">
        <v>11012692</v>
      </c>
      <c r="B1788" s="1">
        <v>45674.865682870368</v>
      </c>
      <c r="C1788" t="s">
        <v>0</v>
      </c>
      <c r="D1788" t="str">
        <f>VLOOKUP(A1788,MERCADO!A:B,2,0)</f>
        <v>Servicos</v>
      </c>
      <c r="E1788" t="str">
        <f>_xlfn.XLOOKUP(A1788, ORIGEM!A:A, ORIGEM!B:B)</f>
        <v>Google</v>
      </c>
      <c r="F1788" t="str">
        <f>_xlfn.XLOOKUP(A1788, ORIGEM!A:A, ORIGEM!C:C)</f>
        <v>google - cpc</v>
      </c>
      <c r="G1788" t="str">
        <f>_xlfn.XLOOKUP(A1788, LOCAL!A:A, LOCAL!B:B)</f>
        <v>Belo Horizonte - MG</v>
      </c>
      <c r="H1788" t="str">
        <f>_xlfn.XLOOKUP(A1788, PORTE!A:A, PORTE!B:B)</f>
        <v>11-50</v>
      </c>
      <c r="I1788" t="str">
        <f>_xlfn.XLOOKUP(A1788, OBJETIVO!A:A, OBJETIVO!B:B)</f>
        <v>Outro</v>
      </c>
      <c r="J1788">
        <f t="shared" si="27"/>
        <v>0</v>
      </c>
    </row>
    <row r="1789" spans="1:10" x14ac:dyDescent="0.25">
      <c r="A1789">
        <v>10997806</v>
      </c>
      <c r="B1789" s="1">
        <v>45672.468252314815</v>
      </c>
      <c r="C1789" t="s">
        <v>0</v>
      </c>
      <c r="D1789" t="str">
        <f>VLOOKUP(A1789,MERCADO!A:B,2,0)</f>
        <v>Servicos</v>
      </c>
      <c r="E1789" t="str">
        <f>_xlfn.XLOOKUP(A1789, ORIGEM!A:A, ORIGEM!B:B)</f>
        <v>Google</v>
      </c>
      <c r="F1789" t="str">
        <f>_xlfn.XLOOKUP(A1789, ORIGEM!A:A, ORIGEM!C:C)</f>
        <v>google - cpc</v>
      </c>
      <c r="G1789" t="str">
        <f>_xlfn.XLOOKUP(A1789, LOCAL!A:A, LOCAL!B:B)</f>
        <v>Sao Goncalo - RJ</v>
      </c>
      <c r="H1789" t="str">
        <f>_xlfn.XLOOKUP(A1789, PORTE!A:A, PORTE!B:B)</f>
        <v>1-10</v>
      </c>
      <c r="I1789" t="str">
        <f>_xlfn.XLOOKUP(A1789, OBJETIVO!A:A, OBJETIVO!B:B)</f>
        <v>Abertura/Expansão</v>
      </c>
      <c r="J1789">
        <f t="shared" si="27"/>
        <v>0</v>
      </c>
    </row>
    <row r="1790" spans="1:10" x14ac:dyDescent="0.25">
      <c r="A1790">
        <v>10964873</v>
      </c>
      <c r="B1790" s="1">
        <v>45670.639328703706</v>
      </c>
      <c r="C1790" t="s">
        <v>0</v>
      </c>
      <c r="D1790" t="str">
        <f>VLOOKUP(A1790,MERCADO!A:B,2,0)</f>
        <v>Servicos</v>
      </c>
      <c r="E1790" t="str">
        <f>_xlfn.XLOOKUP(A1790, ORIGEM!A:A, ORIGEM!B:B)</f>
        <v>Google</v>
      </c>
      <c r="F1790" t="str">
        <f>_xlfn.XLOOKUP(A1790, ORIGEM!A:A, ORIGEM!C:C)</f>
        <v>google - cpc</v>
      </c>
      <c r="G1790" t="str">
        <f>_xlfn.XLOOKUP(A1790, LOCAL!A:A, LOCAL!B:B)</f>
        <v>São Bernardo do Campo - SP</v>
      </c>
      <c r="H1790" t="str">
        <f>_xlfn.XLOOKUP(A1790, PORTE!A:A, PORTE!B:B)</f>
        <v>11-50</v>
      </c>
      <c r="I1790" t="str">
        <f>_xlfn.XLOOKUP(A1790, OBJETIVO!A:A, OBJETIVO!B:B)</f>
        <v>Geração de leads b2b</v>
      </c>
      <c r="J1790">
        <f t="shared" si="27"/>
        <v>0</v>
      </c>
    </row>
    <row r="1791" spans="1:10" x14ac:dyDescent="0.25">
      <c r="A1791">
        <v>10950407</v>
      </c>
      <c r="B1791" s="1">
        <v>45669.648599537039</v>
      </c>
      <c r="C1791" t="s">
        <v>0</v>
      </c>
      <c r="D1791" t="str">
        <f>VLOOKUP(A1791,MERCADO!A:B,2,0)</f>
        <v>Servicos</v>
      </c>
      <c r="E1791" t="str">
        <f>_xlfn.XLOOKUP(A1791, ORIGEM!A:A, ORIGEM!B:B)</f>
        <v>Google</v>
      </c>
      <c r="F1791" t="str">
        <f>_xlfn.XLOOKUP(A1791, ORIGEM!A:A, ORIGEM!C:C)</f>
        <v>google - cpc</v>
      </c>
      <c r="G1791" t="str">
        <f>_xlfn.XLOOKUP(A1791, LOCAL!A:A, LOCAL!B:B)</f>
        <v>São Paulo - SP</v>
      </c>
      <c r="H1791" t="str">
        <f>_xlfn.XLOOKUP(A1791, PORTE!A:A, PORTE!B:B)</f>
        <v>1-10</v>
      </c>
      <c r="I1791" t="str">
        <f>_xlfn.XLOOKUP(A1791, OBJETIVO!A:A, OBJETIVO!B:B)</f>
        <v>Outro</v>
      </c>
      <c r="J1791">
        <f t="shared" si="27"/>
        <v>0</v>
      </c>
    </row>
    <row r="1792" spans="1:10" x14ac:dyDescent="0.25">
      <c r="A1792">
        <v>10953202</v>
      </c>
      <c r="B1792" s="1">
        <v>45669.724120370367</v>
      </c>
      <c r="C1792" t="s">
        <v>0</v>
      </c>
      <c r="D1792" t="str">
        <f>VLOOKUP(A1792,MERCADO!A:B,2,0)</f>
        <v>Servicos</v>
      </c>
      <c r="E1792" t="str">
        <f>_xlfn.XLOOKUP(A1792, ORIGEM!A:A, ORIGEM!B:B)</f>
        <v>Google</v>
      </c>
      <c r="F1792" t="str">
        <f>_xlfn.XLOOKUP(A1792, ORIGEM!A:A, ORIGEM!C:C)</f>
        <v>google - cpc</v>
      </c>
      <c r="G1792" t="str">
        <f>_xlfn.XLOOKUP(A1792, LOCAL!A:A, LOCAL!B:B)</f>
        <v>Londrina - PR</v>
      </c>
      <c r="H1792" t="str">
        <f>_xlfn.XLOOKUP(A1792, PORTE!A:A, PORTE!B:B)</f>
        <v>11-50</v>
      </c>
      <c r="I1792" t="str">
        <f>_xlfn.XLOOKUP(A1792, OBJETIVO!A:A, OBJETIVO!B:B)</f>
        <v>Geração de leads b2b</v>
      </c>
      <c r="J1792">
        <f t="shared" si="27"/>
        <v>0</v>
      </c>
    </row>
    <row r="1793" spans="1:10" x14ac:dyDescent="0.25">
      <c r="A1793">
        <v>10958795</v>
      </c>
      <c r="B1793" s="1">
        <v>45670.439236111109</v>
      </c>
      <c r="C1793" t="s">
        <v>0</v>
      </c>
      <c r="D1793" t="str">
        <f>VLOOKUP(A1793,MERCADO!A:B,2,0)</f>
        <v>Servicos</v>
      </c>
      <c r="E1793" t="str">
        <f>_xlfn.XLOOKUP(A1793, ORIGEM!A:A, ORIGEM!B:B)</f>
        <v>Google</v>
      </c>
      <c r="F1793" t="str">
        <f>_xlfn.XLOOKUP(A1793, ORIGEM!A:A, ORIGEM!C:C)</f>
        <v>google - cpc</v>
      </c>
      <c r="G1793" t="str">
        <f>_xlfn.XLOOKUP(A1793, LOCAL!A:A, LOCAL!B:B)</f>
        <v>Brasília - DF</v>
      </c>
      <c r="H1793" t="str">
        <f>_xlfn.XLOOKUP(A1793, PORTE!A:A, PORTE!B:B)</f>
        <v>1-10</v>
      </c>
      <c r="I1793" t="str">
        <f>_xlfn.XLOOKUP(A1793, OBJETIVO!A:A, OBJETIVO!B:B)</f>
        <v>Abertura/Expansão</v>
      </c>
      <c r="J1793">
        <f t="shared" si="27"/>
        <v>0</v>
      </c>
    </row>
    <row r="1794" spans="1:10" x14ac:dyDescent="0.25">
      <c r="A1794">
        <v>11317634</v>
      </c>
      <c r="B1794" s="1">
        <v>45698.812268518515</v>
      </c>
      <c r="C1794" t="s">
        <v>0</v>
      </c>
      <c r="D1794" t="str">
        <f>VLOOKUP(A1794,MERCADO!A:B,2,0)</f>
        <v>Servicos</v>
      </c>
      <c r="E1794" t="str">
        <f>_xlfn.XLOOKUP(A1794, ORIGEM!A:A, ORIGEM!B:B)</f>
        <v>Google</v>
      </c>
      <c r="F1794" t="str">
        <f>_xlfn.XLOOKUP(A1794, ORIGEM!A:A, ORIGEM!C:C)</f>
        <v>google - cpc</v>
      </c>
      <c r="G1794" t="str">
        <f>_xlfn.XLOOKUP(A1794, LOCAL!A:A, LOCAL!B:B)</f>
        <v>São Paulo - SP</v>
      </c>
      <c r="H1794" t="str">
        <f>_xlfn.XLOOKUP(A1794, PORTE!A:A, PORTE!B:B)</f>
        <v>0</v>
      </c>
      <c r="I1794" t="str">
        <f>_xlfn.XLOOKUP(A1794, OBJETIVO!A:A, OBJETIVO!B:B)</f>
        <v>Geração de leads b2b</v>
      </c>
      <c r="J1794">
        <f t="shared" si="27"/>
        <v>0</v>
      </c>
    </row>
    <row r="1795" spans="1:10" x14ac:dyDescent="0.25">
      <c r="A1795">
        <v>11242777</v>
      </c>
      <c r="B1795" s="1">
        <v>45691.882476851853</v>
      </c>
      <c r="C1795" t="s">
        <v>0</v>
      </c>
      <c r="D1795" t="str">
        <f>VLOOKUP(A1795,MERCADO!A:B,2,0)</f>
        <v>Servicos</v>
      </c>
      <c r="E1795" t="str">
        <f>_xlfn.XLOOKUP(A1795, ORIGEM!A:A, ORIGEM!B:B)</f>
        <v>Google</v>
      </c>
      <c r="F1795" t="str">
        <f>_xlfn.XLOOKUP(A1795, ORIGEM!A:A, ORIGEM!C:C)</f>
        <v>google - cpc</v>
      </c>
      <c r="G1795" t="str">
        <f>_xlfn.XLOOKUP(A1795, LOCAL!A:A, LOCAL!B:B)</f>
        <v>São Paulo - SP</v>
      </c>
      <c r="H1795" t="str">
        <f>_xlfn.XLOOKUP(A1795, PORTE!A:A, PORTE!B:B)</f>
        <v>1-10</v>
      </c>
      <c r="I1795" t="str">
        <f>_xlfn.XLOOKUP(A1795, OBJETIVO!A:A, OBJETIVO!B:B)</f>
        <v>Abertura/Expansão</v>
      </c>
      <c r="J1795">
        <f t="shared" ref="J1795:J1858" si="28">IF(C1795="SIM",1,0)</f>
        <v>0</v>
      </c>
    </row>
    <row r="1796" spans="1:10" x14ac:dyDescent="0.25">
      <c r="A1796">
        <v>11268843</v>
      </c>
      <c r="B1796" s="1">
        <v>45694.480046296296</v>
      </c>
      <c r="C1796" t="s">
        <v>0</v>
      </c>
      <c r="D1796" t="str">
        <f>VLOOKUP(A1796,MERCADO!A:B,2,0)</f>
        <v>Servicos</v>
      </c>
      <c r="E1796" t="str">
        <f>_xlfn.XLOOKUP(A1796, ORIGEM!A:A, ORIGEM!B:B)</f>
        <v>Google</v>
      </c>
      <c r="F1796" t="str">
        <f>_xlfn.XLOOKUP(A1796, ORIGEM!A:A, ORIGEM!C:C)</f>
        <v>google - cpc</v>
      </c>
      <c r="G1796" t="str">
        <f>_xlfn.XLOOKUP(A1796, LOCAL!A:A, LOCAL!B:B)</f>
        <v>São Bernardo do Campo - SP</v>
      </c>
      <c r="H1796" t="str">
        <f>_xlfn.XLOOKUP(A1796, PORTE!A:A, PORTE!B:B)</f>
        <v>1-10</v>
      </c>
      <c r="I1796" t="str">
        <f>_xlfn.XLOOKUP(A1796, OBJETIVO!A:A, OBJETIVO!B:B)</f>
        <v>Geração de leads b2b</v>
      </c>
      <c r="J1796">
        <f t="shared" si="28"/>
        <v>0</v>
      </c>
    </row>
    <row r="1797" spans="1:10" x14ac:dyDescent="0.25">
      <c r="A1797">
        <v>11386360</v>
      </c>
      <c r="B1797" s="1">
        <v>45706.470694444448</v>
      </c>
      <c r="C1797" t="s">
        <v>0</v>
      </c>
      <c r="D1797" t="str">
        <f>VLOOKUP(A1797,MERCADO!A:B,2,0)</f>
        <v>Tecnologia</v>
      </c>
      <c r="E1797" t="str">
        <f>_xlfn.XLOOKUP(A1797, ORIGEM!A:A, ORIGEM!B:B)</f>
        <v>Google</v>
      </c>
      <c r="F1797" t="str">
        <f>_xlfn.XLOOKUP(A1797, ORIGEM!A:A, ORIGEM!C:C)</f>
        <v>google - cpc</v>
      </c>
      <c r="G1797" t="str">
        <f>_xlfn.XLOOKUP(A1797, LOCAL!A:A, LOCAL!B:B)</f>
        <v>São Paulo - SP</v>
      </c>
      <c r="H1797" t="str">
        <f>_xlfn.XLOOKUP(A1797, PORTE!A:A, PORTE!B:B)</f>
        <v>11-50</v>
      </c>
      <c r="I1797" t="str">
        <f>_xlfn.XLOOKUP(A1797, OBJETIVO!A:A, OBJETIVO!B:B)</f>
        <v>Outro</v>
      </c>
      <c r="J1797">
        <f t="shared" si="28"/>
        <v>0</v>
      </c>
    </row>
    <row r="1798" spans="1:10" x14ac:dyDescent="0.25">
      <c r="A1798">
        <v>11353534</v>
      </c>
      <c r="B1798" s="1">
        <v>45703.575104166666</v>
      </c>
      <c r="C1798" t="s">
        <v>0</v>
      </c>
      <c r="D1798" t="str">
        <f>VLOOKUP(A1798,MERCADO!A:B,2,0)</f>
        <v>Tecnologia</v>
      </c>
      <c r="E1798" t="str">
        <f>_xlfn.XLOOKUP(A1798, ORIGEM!A:A, ORIGEM!B:B)</f>
        <v>Google</v>
      </c>
      <c r="F1798" t="str">
        <f>_xlfn.XLOOKUP(A1798, ORIGEM!A:A, ORIGEM!C:C)</f>
        <v>google - cpc</v>
      </c>
      <c r="G1798" t="str">
        <f>_xlfn.XLOOKUP(A1798, LOCAL!A:A, LOCAL!B:B)</f>
        <v>São Paulo - SP</v>
      </c>
      <c r="H1798" t="str">
        <f>_xlfn.XLOOKUP(A1798, PORTE!A:A, PORTE!B:B)</f>
        <v>51-300</v>
      </c>
      <c r="I1798" t="str">
        <f>_xlfn.XLOOKUP(A1798, OBJETIVO!A:A, OBJETIVO!B:B)</f>
        <v>Outro</v>
      </c>
      <c r="J1798">
        <f t="shared" si="28"/>
        <v>0</v>
      </c>
    </row>
    <row r="1799" spans="1:10" x14ac:dyDescent="0.25">
      <c r="A1799">
        <v>11580462</v>
      </c>
      <c r="B1799" s="1">
        <v>45725.380879629629</v>
      </c>
      <c r="C1799" t="s">
        <v>0</v>
      </c>
      <c r="D1799" t="str">
        <f>VLOOKUP(A1799,MERCADO!A:B,2,0)</f>
        <v>Tecnologia</v>
      </c>
      <c r="E1799" t="str">
        <f>_xlfn.XLOOKUP(A1799, ORIGEM!A:A, ORIGEM!B:B)</f>
        <v>Instagram</v>
      </c>
      <c r="F1799" t="str">
        <f>_xlfn.XLOOKUP(A1799, ORIGEM!A:A, ORIGEM!C:C)</f>
        <v>instagram - social</v>
      </c>
      <c r="G1799" t="str">
        <f>_xlfn.XLOOKUP(A1799, LOCAL!A:A, LOCAL!B:B)</f>
        <v>Embu das Artes - SP</v>
      </c>
      <c r="H1799" t="str">
        <f>_xlfn.XLOOKUP(A1799, PORTE!A:A, PORTE!B:B)</f>
        <v>0</v>
      </c>
      <c r="I1799" t="str">
        <f>_xlfn.XLOOKUP(A1799, OBJETIVO!A:A, OBJETIVO!B:B)</f>
        <v>Consultoria</v>
      </c>
      <c r="J1799">
        <f t="shared" si="28"/>
        <v>0</v>
      </c>
    </row>
    <row r="1800" spans="1:10" x14ac:dyDescent="0.25">
      <c r="A1800">
        <v>11507864</v>
      </c>
      <c r="B1800" s="1">
        <v>45718.642002314817</v>
      </c>
      <c r="C1800" t="s">
        <v>0</v>
      </c>
      <c r="D1800" t="str">
        <f>VLOOKUP(A1800,MERCADO!A:B,2,0)</f>
        <v>Tecnologia</v>
      </c>
      <c r="E1800" t="str">
        <f>_xlfn.XLOOKUP(A1800, ORIGEM!A:A, ORIGEM!B:B)</f>
        <v>Bing</v>
      </c>
      <c r="F1800" t="str">
        <f>_xlfn.XLOOKUP(A1800, ORIGEM!A:A, ORIGEM!C:C)</f>
        <v>bing - cpc</v>
      </c>
      <c r="G1800" t="str">
        <f>_xlfn.XLOOKUP(A1800, LOCAL!A:A, LOCAL!B:B)</f>
        <v>Goiânia - GO</v>
      </c>
      <c r="H1800" t="str">
        <f>_xlfn.XLOOKUP(A1800, PORTE!A:A, PORTE!B:B)</f>
        <v>1-10</v>
      </c>
      <c r="I1800" t="str">
        <f>_xlfn.XLOOKUP(A1800, OBJETIVO!A:A, OBJETIVO!B:B)</f>
        <v>Geração de leads b2b</v>
      </c>
      <c r="J1800">
        <f t="shared" si="28"/>
        <v>0</v>
      </c>
    </row>
    <row r="1801" spans="1:10" x14ac:dyDescent="0.25">
      <c r="A1801">
        <v>11435155</v>
      </c>
      <c r="B1801" s="1">
        <v>45711.641493055555</v>
      </c>
      <c r="C1801" t="s">
        <v>0</v>
      </c>
      <c r="D1801" t="str">
        <f>VLOOKUP(A1801,MERCADO!A:B,2,0)</f>
        <v>Tecnologia</v>
      </c>
      <c r="E1801" t="str">
        <f>_xlfn.XLOOKUP(A1801, ORIGEM!A:A, ORIGEM!B:B)</f>
        <v>Youtube</v>
      </c>
      <c r="F1801" t="str">
        <f>_xlfn.XLOOKUP(A1801, ORIGEM!A:A, ORIGEM!C:C)</f>
        <v>youtube - cpc</v>
      </c>
      <c r="G1801" t="str">
        <f>_xlfn.XLOOKUP(A1801, LOCAL!A:A, LOCAL!B:B)</f>
        <v>Goiânia - GO</v>
      </c>
      <c r="H1801" t="str">
        <f>_xlfn.XLOOKUP(A1801, PORTE!A:A, PORTE!B:B)</f>
        <v>0</v>
      </c>
      <c r="I1801" t="str">
        <f>_xlfn.XLOOKUP(A1801, OBJETIVO!A:A, OBJETIVO!B:B)</f>
        <v>Planejamento estratégico</v>
      </c>
      <c r="J1801">
        <f t="shared" si="28"/>
        <v>0</v>
      </c>
    </row>
    <row r="1802" spans="1:10" x14ac:dyDescent="0.25">
      <c r="A1802">
        <v>11457587</v>
      </c>
      <c r="B1802" s="1">
        <v>45713.435335648152</v>
      </c>
      <c r="C1802" t="s">
        <v>0</v>
      </c>
      <c r="D1802" t="str">
        <f>VLOOKUP(A1802,MERCADO!A:B,2,0)</f>
        <v>Tecnologia</v>
      </c>
      <c r="E1802" t="str">
        <f>_xlfn.XLOOKUP(A1802, ORIGEM!A:A, ORIGEM!B:B)</f>
        <v>Youtube</v>
      </c>
      <c r="F1802" t="str">
        <f>_xlfn.XLOOKUP(A1802, ORIGEM!A:A, ORIGEM!C:C)</f>
        <v>youtube - cpc</v>
      </c>
      <c r="G1802" t="str">
        <f>_xlfn.XLOOKUP(A1802, LOCAL!A:A, LOCAL!B:B)</f>
        <v>Mage - RJ</v>
      </c>
      <c r="H1802" t="str">
        <f>_xlfn.XLOOKUP(A1802, PORTE!A:A, PORTE!B:B)</f>
        <v>1-10</v>
      </c>
      <c r="I1802" t="str">
        <f>_xlfn.XLOOKUP(A1802, OBJETIVO!A:A, OBJETIVO!B:B)</f>
        <v>Ações de marketing/vendas</v>
      </c>
      <c r="J1802">
        <f t="shared" si="28"/>
        <v>0</v>
      </c>
    </row>
    <row r="1803" spans="1:10" x14ac:dyDescent="0.25">
      <c r="A1803">
        <v>11419904</v>
      </c>
      <c r="B1803" s="1">
        <v>45710.547465277778</v>
      </c>
      <c r="C1803" t="s">
        <v>0</v>
      </c>
      <c r="D1803" t="str">
        <f>VLOOKUP(A1803,MERCADO!A:B,2,0)</f>
        <v>Tecnologia</v>
      </c>
      <c r="E1803" t="str">
        <f>_xlfn.XLOOKUP(A1803, ORIGEM!A:A, ORIGEM!B:B)</f>
        <v>Youtube</v>
      </c>
      <c r="F1803" t="str">
        <f>_xlfn.XLOOKUP(A1803, ORIGEM!A:A, ORIGEM!C:C)</f>
        <v>youtube - cpc</v>
      </c>
      <c r="G1803" t="str">
        <f>_xlfn.XLOOKUP(A1803, LOCAL!A:A, LOCAL!B:B)</f>
        <v>Belford Roxo - RJ</v>
      </c>
      <c r="H1803" t="str">
        <f>_xlfn.XLOOKUP(A1803, PORTE!A:A, PORTE!B:B)</f>
        <v>0</v>
      </c>
      <c r="I1803" t="str">
        <f>_xlfn.XLOOKUP(A1803, OBJETIVO!A:A, OBJETIVO!B:B)</f>
        <v>Outro</v>
      </c>
      <c r="J1803">
        <f t="shared" si="28"/>
        <v>0</v>
      </c>
    </row>
    <row r="1804" spans="1:10" x14ac:dyDescent="0.25">
      <c r="A1804">
        <v>11710491</v>
      </c>
      <c r="B1804" s="1">
        <v>45737.629270833335</v>
      </c>
      <c r="C1804" t="s">
        <v>0</v>
      </c>
      <c r="D1804" t="str">
        <f>VLOOKUP(A1804,MERCADO!A:B,2,0)</f>
        <v>Tecnologia</v>
      </c>
      <c r="E1804" t="str">
        <f>_xlfn.XLOOKUP(A1804, ORIGEM!A:A, ORIGEM!B:B)</f>
        <v>Youtube</v>
      </c>
      <c r="F1804" t="str">
        <f>_xlfn.XLOOKUP(A1804, ORIGEM!A:A, ORIGEM!C:C)</f>
        <v>youtube - social</v>
      </c>
      <c r="G1804" t="str">
        <f>_xlfn.XLOOKUP(A1804, LOCAL!A:A, LOCAL!B:B)</f>
        <v>Blumenau - SC</v>
      </c>
      <c r="H1804" t="str">
        <f>_xlfn.XLOOKUP(A1804, PORTE!A:A, PORTE!B:B)</f>
        <v>0</v>
      </c>
      <c r="I1804" t="str">
        <f>_xlfn.XLOOKUP(A1804, OBJETIVO!A:A, OBJETIVO!B:B)</f>
        <v>Consultoria</v>
      </c>
      <c r="J1804">
        <f t="shared" si="28"/>
        <v>0</v>
      </c>
    </row>
    <row r="1805" spans="1:10" x14ac:dyDescent="0.25">
      <c r="A1805">
        <v>11997202</v>
      </c>
      <c r="B1805" s="1">
        <v>45762.438726851855</v>
      </c>
      <c r="C1805" t="s">
        <v>0</v>
      </c>
      <c r="D1805" t="str">
        <f>VLOOKUP(A1805,MERCADO!A:B,2,0)</f>
        <v>Tecnologia</v>
      </c>
      <c r="E1805" t="str">
        <f>_xlfn.XLOOKUP(A1805, ORIGEM!A:A, ORIGEM!B:B)</f>
        <v>Google</v>
      </c>
      <c r="F1805" t="str">
        <f>_xlfn.XLOOKUP(A1805, ORIGEM!A:A, ORIGEM!C:C)</f>
        <v>google - cpc</v>
      </c>
      <c r="G1805" t="str">
        <f>_xlfn.XLOOKUP(A1805, LOCAL!A:A, LOCAL!B:B)</f>
        <v>Penapolis - SP</v>
      </c>
      <c r="H1805" t="str">
        <f>_xlfn.XLOOKUP(A1805, PORTE!A:A, PORTE!B:B)</f>
        <v>51-300</v>
      </c>
      <c r="I1805" t="str">
        <f>_xlfn.XLOOKUP(A1805, OBJETIVO!A:A, OBJETIVO!B:B)</f>
        <v>Ações de marketing/vendas</v>
      </c>
      <c r="J1805">
        <f t="shared" si="28"/>
        <v>0</v>
      </c>
    </row>
    <row r="1806" spans="1:10" x14ac:dyDescent="0.25">
      <c r="A1806">
        <v>11930189</v>
      </c>
      <c r="B1806" s="1">
        <v>45756.524016203701</v>
      </c>
      <c r="C1806" t="s">
        <v>0</v>
      </c>
      <c r="D1806" t="str">
        <f>VLOOKUP(A1806,MERCADO!A:B,2,0)</f>
        <v>Tecnologia</v>
      </c>
      <c r="E1806" t="str">
        <f>_xlfn.XLOOKUP(A1806, ORIGEM!A:A, ORIGEM!B:B)</f>
        <v>Google</v>
      </c>
      <c r="F1806" t="str">
        <f>_xlfn.XLOOKUP(A1806, ORIGEM!A:A, ORIGEM!C:C)</f>
        <v>google - cpc</v>
      </c>
      <c r="G1806" t="str">
        <f>_xlfn.XLOOKUP(A1806, LOCAL!A:A, LOCAL!B:B)</f>
        <v>Sorocaba - SP</v>
      </c>
      <c r="H1806" t="str">
        <f>_xlfn.XLOOKUP(A1806, PORTE!A:A, PORTE!B:B)</f>
        <v>1-10</v>
      </c>
      <c r="I1806" t="str">
        <f>_xlfn.XLOOKUP(A1806, OBJETIVO!A:A, OBJETIVO!B:B)</f>
        <v>Abertura/Expansão</v>
      </c>
      <c r="J1806">
        <f t="shared" si="28"/>
        <v>0</v>
      </c>
    </row>
    <row r="1807" spans="1:10" x14ac:dyDescent="0.25">
      <c r="A1807">
        <v>11967603</v>
      </c>
      <c r="B1807" s="1">
        <v>45760.524583333332</v>
      </c>
      <c r="C1807" t="s">
        <v>0</v>
      </c>
      <c r="D1807" t="str">
        <f>VLOOKUP(A1807,MERCADO!A:B,2,0)</f>
        <v>Tecnologia</v>
      </c>
      <c r="E1807" t="str">
        <f>_xlfn.XLOOKUP(A1807, ORIGEM!A:A, ORIGEM!B:B)</f>
        <v>Google</v>
      </c>
      <c r="F1807" t="str">
        <f>_xlfn.XLOOKUP(A1807, ORIGEM!A:A, ORIGEM!C:C)</f>
        <v>google - cpc</v>
      </c>
      <c r="G1807" t="str">
        <f>_xlfn.XLOOKUP(A1807, LOCAL!A:A, LOCAL!B:B)</f>
        <v>Mage - RJ</v>
      </c>
      <c r="H1807" t="str">
        <f>_xlfn.XLOOKUP(A1807, PORTE!A:A, PORTE!B:B)</f>
        <v>1-10</v>
      </c>
      <c r="I1807" t="str">
        <f>_xlfn.XLOOKUP(A1807, OBJETIVO!A:A, OBJETIVO!B:B)</f>
        <v>Geração de leads b2b</v>
      </c>
      <c r="J1807">
        <f t="shared" si="28"/>
        <v>0</v>
      </c>
    </row>
    <row r="1808" spans="1:10" x14ac:dyDescent="0.25">
      <c r="A1808">
        <v>11949593</v>
      </c>
      <c r="B1808" s="1">
        <v>45759.529502314814</v>
      </c>
      <c r="C1808" t="s">
        <v>0</v>
      </c>
      <c r="D1808" t="str">
        <f>VLOOKUP(A1808,MERCADO!A:B,2,0)</f>
        <v>Tecnologia</v>
      </c>
      <c r="E1808" t="str">
        <f>_xlfn.XLOOKUP(A1808, ORIGEM!A:A, ORIGEM!B:B)</f>
        <v>Google</v>
      </c>
      <c r="F1808" t="str">
        <f>_xlfn.XLOOKUP(A1808, ORIGEM!A:A, ORIGEM!C:C)</f>
        <v>google - cpc</v>
      </c>
      <c r="G1808" t="str">
        <f>_xlfn.XLOOKUP(A1808, LOCAL!A:A, LOCAL!B:B)</f>
        <v>São Paulo - SP</v>
      </c>
      <c r="H1808" t="str">
        <f>_xlfn.XLOOKUP(A1808, PORTE!A:A, PORTE!B:B)</f>
        <v>51-300</v>
      </c>
      <c r="I1808" t="str">
        <f>_xlfn.XLOOKUP(A1808, OBJETIVO!A:A, OBJETIVO!B:B)</f>
        <v>Abertura/Expansão</v>
      </c>
      <c r="J1808">
        <f t="shared" si="28"/>
        <v>0</v>
      </c>
    </row>
    <row r="1809" spans="1:10" x14ac:dyDescent="0.25">
      <c r="A1809">
        <v>11382540</v>
      </c>
      <c r="B1809" s="1">
        <v>45705.989247685182</v>
      </c>
      <c r="C1809" t="s">
        <v>0</v>
      </c>
      <c r="D1809" t="str">
        <f>VLOOKUP(A1809,MERCADO!A:B,2,0)</f>
        <v>Tecnologia</v>
      </c>
      <c r="E1809" t="str">
        <f>_xlfn.XLOOKUP(A1809, ORIGEM!A:A, ORIGEM!B:B)</f>
        <v>Facebook</v>
      </c>
      <c r="F1809" t="str">
        <f>_xlfn.XLOOKUP(A1809, ORIGEM!A:A, ORIGEM!C:C)</f>
        <v>facebook - cpc</v>
      </c>
      <c r="G1809" t="str">
        <f>_xlfn.XLOOKUP(A1809, LOCAL!A:A, LOCAL!B:B)</f>
        <v>Guarulhos - SP</v>
      </c>
      <c r="H1809" t="str">
        <f>_xlfn.XLOOKUP(A1809, PORTE!A:A, PORTE!B:B)</f>
        <v>0</v>
      </c>
      <c r="I1809" t="str">
        <f>_xlfn.XLOOKUP(A1809, OBJETIVO!A:A, OBJETIVO!B:B)</f>
        <v>Consultoria</v>
      </c>
      <c r="J1809">
        <f t="shared" si="28"/>
        <v>0</v>
      </c>
    </row>
    <row r="1810" spans="1:10" x14ac:dyDescent="0.25">
      <c r="A1810">
        <v>11382849</v>
      </c>
      <c r="B1810" s="1">
        <v>45706.233240740738</v>
      </c>
      <c r="C1810" t="s">
        <v>0</v>
      </c>
      <c r="D1810" t="str">
        <f>VLOOKUP(A1810,MERCADO!A:B,2,0)</f>
        <v>Tecnologia</v>
      </c>
      <c r="E1810" t="str">
        <f>_xlfn.XLOOKUP(A1810, ORIGEM!A:A, ORIGEM!B:B)</f>
        <v>Facebook</v>
      </c>
      <c r="F1810" t="str">
        <f>_xlfn.XLOOKUP(A1810, ORIGEM!A:A, ORIGEM!C:C)</f>
        <v>facebook - cpc</v>
      </c>
      <c r="G1810" t="str">
        <f>_xlfn.XLOOKUP(A1810, LOCAL!A:A, LOCAL!B:B)</f>
        <v>Nova Fátima - BA</v>
      </c>
      <c r="H1810" t="str">
        <f>_xlfn.XLOOKUP(A1810, PORTE!A:A, PORTE!B:B)</f>
        <v>1-10</v>
      </c>
      <c r="I1810" t="str">
        <f>_xlfn.XLOOKUP(A1810, OBJETIVO!A:A, OBJETIVO!B:B)</f>
        <v>Abertura/Expansão</v>
      </c>
      <c r="J1810">
        <f t="shared" si="28"/>
        <v>0</v>
      </c>
    </row>
    <row r="1811" spans="1:10" x14ac:dyDescent="0.25">
      <c r="A1811">
        <v>11300176</v>
      </c>
      <c r="B1811" s="1">
        <v>45697.611192129632</v>
      </c>
      <c r="C1811" t="s">
        <v>0</v>
      </c>
      <c r="D1811" t="str">
        <f>VLOOKUP(A1811,MERCADO!A:B,2,0)</f>
        <v>Tecnologia</v>
      </c>
      <c r="E1811" t="str">
        <f>_xlfn.XLOOKUP(A1811, ORIGEM!A:A, ORIGEM!B:B)</f>
        <v>Leads</v>
      </c>
      <c r="F1811" t="str">
        <f>_xlfn.XLOOKUP(A1811, ORIGEM!A:A, ORIGEM!C:C)</f>
        <v>leads - email</v>
      </c>
      <c r="G1811" t="str">
        <f>_xlfn.XLOOKUP(A1811, LOCAL!A:A, LOCAL!B:B)</f>
        <v>Blumenau - SC</v>
      </c>
      <c r="H1811" t="str">
        <f>_xlfn.XLOOKUP(A1811, PORTE!A:A, PORTE!B:B)</f>
        <v>1-10</v>
      </c>
      <c r="I1811" t="str">
        <f>_xlfn.XLOOKUP(A1811, OBJETIVO!A:A, OBJETIVO!B:B)</f>
        <v>Geração de leads b2b</v>
      </c>
      <c r="J1811">
        <f t="shared" si="28"/>
        <v>0</v>
      </c>
    </row>
    <row r="1812" spans="1:10" x14ac:dyDescent="0.25">
      <c r="A1812">
        <v>11300378</v>
      </c>
      <c r="B1812" s="1">
        <v>45697.619293981479</v>
      </c>
      <c r="C1812" t="s">
        <v>0</v>
      </c>
      <c r="D1812" t="str">
        <f>VLOOKUP(A1812,MERCADO!A:B,2,0)</f>
        <v>Tecnologia</v>
      </c>
      <c r="E1812" t="str">
        <f>_xlfn.XLOOKUP(A1812, ORIGEM!A:A, ORIGEM!B:B)</f>
        <v>Leads</v>
      </c>
      <c r="F1812" t="str">
        <f>_xlfn.XLOOKUP(A1812, ORIGEM!A:A, ORIGEM!C:C)</f>
        <v>leads - email</v>
      </c>
      <c r="G1812" t="str">
        <f>_xlfn.XLOOKUP(A1812, LOCAL!A:A, LOCAL!B:B)</f>
        <v>Blumenau - SC</v>
      </c>
      <c r="H1812" t="str">
        <f>_xlfn.XLOOKUP(A1812, PORTE!A:A, PORTE!B:B)</f>
        <v>1-10</v>
      </c>
      <c r="I1812" t="str">
        <f>_xlfn.XLOOKUP(A1812, OBJETIVO!A:A, OBJETIVO!B:B)</f>
        <v>Geração de leads b2b</v>
      </c>
      <c r="J1812">
        <f t="shared" si="28"/>
        <v>0</v>
      </c>
    </row>
    <row r="1813" spans="1:10" x14ac:dyDescent="0.25">
      <c r="A1813">
        <v>11868790</v>
      </c>
      <c r="B1813" s="1">
        <v>45752.604861111111</v>
      </c>
      <c r="C1813" t="s">
        <v>0</v>
      </c>
      <c r="D1813" t="str">
        <f>VLOOKUP(A1813,MERCADO!A:B,2,0)</f>
        <v>Tecnologia</v>
      </c>
      <c r="E1813" t="str">
        <f>_xlfn.XLOOKUP(A1813, ORIGEM!A:A, ORIGEM!B:B)</f>
        <v>Prospecção Ativa</v>
      </c>
      <c r="F1813" t="str">
        <f>_xlfn.XLOOKUP(A1813, ORIGEM!A:A, ORIGEM!C:C)</f>
        <v>Sales Navigator</v>
      </c>
      <c r="G1813" t="str">
        <f>_xlfn.XLOOKUP(A1813, LOCAL!A:A, LOCAL!B:B)</f>
        <v>-</v>
      </c>
      <c r="H1813" t="str">
        <f>_xlfn.XLOOKUP(A1813, PORTE!A:A, PORTE!B:B)</f>
        <v>1-10</v>
      </c>
      <c r="I1813">
        <f>_xlfn.XLOOKUP(A1813, OBJETIVO!A:A, OBJETIVO!B:B)</f>
        <v>0</v>
      </c>
      <c r="J1813">
        <f t="shared" si="28"/>
        <v>0</v>
      </c>
    </row>
    <row r="1814" spans="1:10" x14ac:dyDescent="0.25">
      <c r="A1814">
        <v>11911487</v>
      </c>
      <c r="B1814" s="1">
        <v>45755.435914351852</v>
      </c>
      <c r="C1814" t="s">
        <v>0</v>
      </c>
      <c r="D1814" t="str">
        <f>VLOOKUP(A1814,MERCADO!A:B,2,0)</f>
        <v>Tecnologia</v>
      </c>
      <c r="E1814" t="str">
        <f>_xlfn.XLOOKUP(A1814, ORIGEM!A:A, ORIGEM!B:B)</f>
        <v>Google</v>
      </c>
      <c r="F1814">
        <f>_xlfn.XLOOKUP(A1814, ORIGEM!A:A, ORIGEM!C:C)</f>
        <v>0</v>
      </c>
      <c r="G1814" t="str">
        <f>_xlfn.XLOOKUP(A1814, LOCAL!A:A, LOCAL!B:B)</f>
        <v>São Paulo</v>
      </c>
      <c r="H1814" t="str">
        <f>_xlfn.XLOOKUP(A1814, PORTE!A:A, PORTE!B:B)</f>
        <v>1-10</v>
      </c>
      <c r="I1814" t="str">
        <f>_xlfn.XLOOKUP(A1814, OBJETIVO!A:A, OBJETIVO!B:B)</f>
        <v>Consultoria</v>
      </c>
      <c r="J1814">
        <f t="shared" si="28"/>
        <v>0</v>
      </c>
    </row>
    <row r="1815" spans="1:10" x14ac:dyDescent="0.25">
      <c r="A1815">
        <v>11843830</v>
      </c>
      <c r="B1815" s="1">
        <v>45748.50236111111</v>
      </c>
      <c r="C1815" t="s">
        <v>0</v>
      </c>
      <c r="D1815" t="str">
        <f>VLOOKUP(A1815,MERCADO!A:B,2,0)</f>
        <v>Tecnologia</v>
      </c>
      <c r="E1815" t="str">
        <f>_xlfn.XLOOKUP(A1815, ORIGEM!A:A, ORIGEM!B:B)</f>
        <v>Google</v>
      </c>
      <c r="F1815" t="str">
        <f>_xlfn.XLOOKUP(A1815, ORIGEM!A:A, ORIGEM!C:C)</f>
        <v>google - cpc</v>
      </c>
      <c r="G1815" t="str">
        <f>_xlfn.XLOOKUP(A1815, LOCAL!A:A, LOCAL!B:B)</f>
        <v>Atibaia - SP</v>
      </c>
      <c r="H1815" t="str">
        <f>_xlfn.XLOOKUP(A1815, PORTE!A:A, PORTE!B:B)</f>
        <v>11-50</v>
      </c>
      <c r="I1815" t="str">
        <f>_xlfn.XLOOKUP(A1815, OBJETIVO!A:A, OBJETIVO!B:B)</f>
        <v>Geração de leads b2b</v>
      </c>
      <c r="J1815">
        <f t="shared" si="28"/>
        <v>0</v>
      </c>
    </row>
    <row r="1816" spans="1:10" x14ac:dyDescent="0.25">
      <c r="A1816">
        <v>11876290</v>
      </c>
      <c r="B1816" s="1">
        <v>45753.392916666664</v>
      </c>
      <c r="C1816" t="s">
        <v>0</v>
      </c>
      <c r="D1816" t="str">
        <f>VLOOKUP(A1816,MERCADO!A:B,2,0)</f>
        <v>Tecnologia</v>
      </c>
      <c r="E1816" t="str">
        <f>_xlfn.XLOOKUP(A1816, ORIGEM!A:A, ORIGEM!B:B)</f>
        <v>Google</v>
      </c>
      <c r="F1816" t="str">
        <f>_xlfn.XLOOKUP(A1816, ORIGEM!A:A, ORIGEM!C:C)</f>
        <v>google - cpc</v>
      </c>
      <c r="G1816" t="str">
        <f>_xlfn.XLOOKUP(A1816, LOCAL!A:A, LOCAL!B:B)</f>
        <v>Fortaleza - CE</v>
      </c>
      <c r="H1816" t="str">
        <f>_xlfn.XLOOKUP(A1816, PORTE!A:A, PORTE!B:B)</f>
        <v>11-50</v>
      </c>
      <c r="I1816" t="str">
        <f>_xlfn.XLOOKUP(A1816, OBJETIVO!A:A, OBJETIVO!B:B)</f>
        <v>Planejamento estratégico</v>
      </c>
      <c r="J1816">
        <f t="shared" si="28"/>
        <v>0</v>
      </c>
    </row>
    <row r="1817" spans="1:10" x14ac:dyDescent="0.25">
      <c r="A1817">
        <v>11880212</v>
      </c>
      <c r="B1817" s="1">
        <v>45753.496493055558</v>
      </c>
      <c r="C1817" t="s">
        <v>0</v>
      </c>
      <c r="D1817" t="str">
        <f>VLOOKUP(A1817,MERCADO!A:B,2,0)</f>
        <v>Tecnologia</v>
      </c>
      <c r="E1817" t="str">
        <f>_xlfn.XLOOKUP(A1817, ORIGEM!A:A, ORIGEM!B:B)</f>
        <v>Google</v>
      </c>
      <c r="F1817" t="str">
        <f>_xlfn.XLOOKUP(A1817, ORIGEM!A:A, ORIGEM!C:C)</f>
        <v>google - cpc</v>
      </c>
      <c r="G1817" t="str">
        <f>_xlfn.XLOOKUP(A1817, LOCAL!A:A, LOCAL!B:B)</f>
        <v>Itaquaquecetuba - SP</v>
      </c>
      <c r="H1817" t="str">
        <f>_xlfn.XLOOKUP(A1817, PORTE!A:A, PORTE!B:B)</f>
        <v>51-300</v>
      </c>
      <c r="I1817" t="str">
        <f>_xlfn.XLOOKUP(A1817, OBJETIVO!A:A, OBJETIVO!B:B)</f>
        <v>Geração de leads b2b</v>
      </c>
      <c r="J1817">
        <f t="shared" si="28"/>
        <v>0</v>
      </c>
    </row>
    <row r="1818" spans="1:10" x14ac:dyDescent="0.25">
      <c r="A1818">
        <v>11648417</v>
      </c>
      <c r="B1818" s="1">
        <v>45731.803900462961</v>
      </c>
      <c r="C1818" t="s">
        <v>0</v>
      </c>
      <c r="D1818" t="str">
        <f>VLOOKUP(A1818,MERCADO!A:B,2,0)</f>
        <v>Tecnologia</v>
      </c>
      <c r="E1818" t="str">
        <f>_xlfn.XLOOKUP(A1818, ORIGEM!A:A, ORIGEM!B:B)</f>
        <v>Google</v>
      </c>
      <c r="F1818" t="str">
        <f>_xlfn.XLOOKUP(A1818, ORIGEM!A:A, ORIGEM!C:C)</f>
        <v>google - cpc</v>
      </c>
      <c r="G1818" t="str">
        <f>_xlfn.XLOOKUP(A1818, LOCAL!A:A, LOCAL!B:B)</f>
        <v>Tijucas - SC</v>
      </c>
      <c r="H1818" t="str">
        <f>_xlfn.XLOOKUP(A1818, PORTE!A:A, PORTE!B:B)</f>
        <v>1-10</v>
      </c>
      <c r="I1818" t="str">
        <f>_xlfn.XLOOKUP(A1818, OBJETIVO!A:A, OBJETIVO!B:B)</f>
        <v>Geração de leads b2b</v>
      </c>
      <c r="J1818">
        <f t="shared" si="28"/>
        <v>0</v>
      </c>
    </row>
    <row r="1819" spans="1:10" x14ac:dyDescent="0.25">
      <c r="A1819">
        <v>11490009</v>
      </c>
      <c r="B1819" s="1">
        <v>45717.476099537038</v>
      </c>
      <c r="C1819" t="s">
        <v>0</v>
      </c>
      <c r="D1819" t="str">
        <f>VLOOKUP(A1819,MERCADO!A:B,2,0)</f>
        <v>Tecnologia</v>
      </c>
      <c r="E1819" t="str">
        <f>_xlfn.XLOOKUP(A1819, ORIGEM!A:A, ORIGEM!B:B)</f>
        <v>Google</v>
      </c>
      <c r="F1819" t="str">
        <f>_xlfn.XLOOKUP(A1819, ORIGEM!A:A, ORIGEM!C:C)</f>
        <v>google - cpc</v>
      </c>
      <c r="G1819" t="str">
        <f>_xlfn.XLOOKUP(A1819, LOCAL!A:A, LOCAL!B:B)</f>
        <v>Belo Horizonte - MG</v>
      </c>
      <c r="H1819" t="str">
        <f>_xlfn.XLOOKUP(A1819, PORTE!A:A, PORTE!B:B)</f>
        <v>51-300</v>
      </c>
      <c r="I1819" t="str">
        <f>_xlfn.XLOOKUP(A1819, OBJETIVO!A:A, OBJETIVO!B:B)</f>
        <v>Geração de leads b2b</v>
      </c>
      <c r="J1819">
        <f t="shared" si="28"/>
        <v>0</v>
      </c>
    </row>
    <row r="1820" spans="1:10" x14ac:dyDescent="0.25">
      <c r="A1820">
        <v>11633652</v>
      </c>
      <c r="B1820" s="1">
        <v>45730.312581018516</v>
      </c>
      <c r="C1820" t="s">
        <v>0</v>
      </c>
      <c r="D1820" t="str">
        <f>VLOOKUP(A1820,MERCADO!A:B,2,0)</f>
        <v>Tecnologia</v>
      </c>
      <c r="E1820" t="str">
        <f>_xlfn.XLOOKUP(A1820, ORIGEM!A:A, ORIGEM!B:B)</f>
        <v>Google</v>
      </c>
      <c r="F1820" t="str">
        <f>_xlfn.XLOOKUP(A1820, ORIGEM!A:A, ORIGEM!C:C)</f>
        <v>google - cpc</v>
      </c>
      <c r="G1820" t="str">
        <f>_xlfn.XLOOKUP(A1820, LOCAL!A:A, LOCAL!B:B)</f>
        <v>Teresopolis - RJ</v>
      </c>
      <c r="H1820" t="str">
        <f>_xlfn.XLOOKUP(A1820, PORTE!A:A, PORTE!B:B)</f>
        <v>1-10</v>
      </c>
      <c r="I1820" t="str">
        <f>_xlfn.XLOOKUP(A1820, OBJETIVO!A:A, OBJETIVO!B:B)</f>
        <v>Ações de marketing/vendas</v>
      </c>
      <c r="J1820">
        <f t="shared" si="28"/>
        <v>0</v>
      </c>
    </row>
    <row r="1821" spans="1:10" x14ac:dyDescent="0.25">
      <c r="A1821">
        <v>11264785</v>
      </c>
      <c r="B1821" s="1">
        <v>45693.667314814818</v>
      </c>
      <c r="C1821" t="s">
        <v>0</v>
      </c>
      <c r="D1821" t="str">
        <f>VLOOKUP(A1821,MERCADO!A:B,2,0)</f>
        <v>Tecnologia</v>
      </c>
      <c r="E1821" t="str">
        <f>_xlfn.XLOOKUP(A1821, ORIGEM!A:A, ORIGEM!B:B)</f>
        <v>Google</v>
      </c>
      <c r="F1821" t="str">
        <f>_xlfn.XLOOKUP(A1821, ORIGEM!A:A, ORIGEM!C:C)</f>
        <v>google - cpc</v>
      </c>
      <c r="G1821" t="str">
        <f>_xlfn.XLOOKUP(A1821, LOCAL!A:A, LOCAL!B:B)</f>
        <v>Blumenau - SC</v>
      </c>
      <c r="H1821" t="str">
        <f>_xlfn.XLOOKUP(A1821, PORTE!A:A, PORTE!B:B)</f>
        <v>0</v>
      </c>
      <c r="I1821" t="str">
        <f>_xlfn.XLOOKUP(A1821, OBJETIVO!A:A, OBJETIVO!B:B)</f>
        <v>Planejamento estratégico</v>
      </c>
      <c r="J1821">
        <f t="shared" si="28"/>
        <v>0</v>
      </c>
    </row>
    <row r="1822" spans="1:10" x14ac:dyDescent="0.25">
      <c r="A1822">
        <v>11264862</v>
      </c>
      <c r="B1822" s="1">
        <v>45693.670798611114</v>
      </c>
      <c r="C1822" t="s">
        <v>0</v>
      </c>
      <c r="D1822" t="str">
        <f>VLOOKUP(A1822,MERCADO!A:B,2,0)</f>
        <v>Tecnologia</v>
      </c>
      <c r="E1822" t="str">
        <f>_xlfn.XLOOKUP(A1822, ORIGEM!A:A, ORIGEM!B:B)</f>
        <v>Google</v>
      </c>
      <c r="F1822" t="str">
        <f>_xlfn.XLOOKUP(A1822, ORIGEM!A:A, ORIGEM!C:C)</f>
        <v>google - cpc</v>
      </c>
      <c r="G1822" t="str">
        <f>_xlfn.XLOOKUP(A1822, LOCAL!A:A, LOCAL!B:B)</f>
        <v>Blumenau - SC</v>
      </c>
      <c r="H1822" t="str">
        <f>_xlfn.XLOOKUP(A1822, PORTE!A:A, PORTE!B:B)</f>
        <v>0</v>
      </c>
      <c r="I1822" t="str">
        <f>_xlfn.XLOOKUP(A1822, OBJETIVO!A:A, OBJETIVO!B:B)</f>
        <v>Abertura/Expansão</v>
      </c>
      <c r="J1822">
        <f t="shared" si="28"/>
        <v>0</v>
      </c>
    </row>
    <row r="1823" spans="1:10" x14ac:dyDescent="0.25">
      <c r="A1823">
        <v>10641502</v>
      </c>
      <c r="B1823" s="1">
        <v>45633.741319444445</v>
      </c>
      <c r="C1823" t="s">
        <v>0</v>
      </c>
      <c r="D1823" t="str">
        <f>VLOOKUP(A1823,MERCADO!A:B,2,0)</f>
        <v>Tecnologia</v>
      </c>
      <c r="E1823" t="str">
        <f>_xlfn.XLOOKUP(A1823, ORIGEM!A:A, ORIGEM!B:B)</f>
        <v>Google</v>
      </c>
      <c r="F1823" t="str">
        <f>_xlfn.XLOOKUP(A1823, ORIGEM!A:A, ORIGEM!C:C)</f>
        <v>google - cpc</v>
      </c>
      <c r="G1823" t="str">
        <f>_xlfn.XLOOKUP(A1823, LOCAL!A:A, LOCAL!B:B)</f>
        <v>Pelotas - RS</v>
      </c>
      <c r="H1823" t="str">
        <f>_xlfn.XLOOKUP(A1823, PORTE!A:A, PORTE!B:B)</f>
        <v>0</v>
      </c>
      <c r="I1823" t="str">
        <f>_xlfn.XLOOKUP(A1823, OBJETIVO!A:A, OBJETIVO!B:B)</f>
        <v>Abertura/Expansão</v>
      </c>
      <c r="J1823">
        <f t="shared" si="28"/>
        <v>0</v>
      </c>
    </row>
    <row r="1824" spans="1:10" x14ac:dyDescent="0.25">
      <c r="A1824">
        <v>11303671</v>
      </c>
      <c r="B1824" s="1">
        <v>45697.725358796299</v>
      </c>
      <c r="C1824" t="s">
        <v>0</v>
      </c>
      <c r="D1824" t="str">
        <f>VLOOKUP(A1824,MERCADO!A:B,2,0)</f>
        <v>Tecnologia</v>
      </c>
      <c r="E1824" t="str">
        <f>_xlfn.XLOOKUP(A1824, ORIGEM!A:A, ORIGEM!B:B)</f>
        <v>Google</v>
      </c>
      <c r="F1824" t="str">
        <f>_xlfn.XLOOKUP(A1824, ORIGEM!A:A, ORIGEM!C:C)</f>
        <v>google - cpc</v>
      </c>
      <c r="G1824" t="str">
        <f>_xlfn.XLOOKUP(A1824, LOCAL!A:A, LOCAL!B:B)</f>
        <v>Curitiba - PR</v>
      </c>
      <c r="H1824" t="str">
        <f>_xlfn.XLOOKUP(A1824, PORTE!A:A, PORTE!B:B)</f>
        <v>1-10</v>
      </c>
      <c r="I1824" t="str">
        <f>_xlfn.XLOOKUP(A1824, OBJETIVO!A:A, OBJETIVO!B:B)</f>
        <v>Geração de leads b2b</v>
      </c>
      <c r="J1824">
        <f t="shared" si="28"/>
        <v>0</v>
      </c>
    </row>
    <row r="1825" spans="1:10" x14ac:dyDescent="0.25">
      <c r="A1825">
        <v>11304237</v>
      </c>
      <c r="B1825" s="1">
        <v>45697.755162037036</v>
      </c>
      <c r="C1825" t="s">
        <v>0</v>
      </c>
      <c r="D1825" t="str">
        <f>VLOOKUP(A1825,MERCADO!A:B,2,0)</f>
        <v>Tecnologia</v>
      </c>
      <c r="E1825" t="str">
        <f>_xlfn.XLOOKUP(A1825, ORIGEM!A:A, ORIGEM!B:B)</f>
        <v>Google</v>
      </c>
      <c r="F1825" t="str">
        <f>_xlfn.XLOOKUP(A1825, ORIGEM!A:A, ORIGEM!C:C)</f>
        <v>google - cpc</v>
      </c>
      <c r="G1825" t="str">
        <f>_xlfn.XLOOKUP(A1825, LOCAL!A:A, LOCAL!B:B)</f>
        <v>Dracena - SP</v>
      </c>
      <c r="H1825" t="str">
        <f>_xlfn.XLOOKUP(A1825, PORTE!A:A, PORTE!B:B)</f>
        <v>1-10</v>
      </c>
      <c r="I1825" t="str">
        <f>_xlfn.XLOOKUP(A1825, OBJETIVO!A:A, OBJETIVO!B:B)</f>
        <v>Abertura/Expansão</v>
      </c>
      <c r="J1825">
        <f t="shared" si="28"/>
        <v>0</v>
      </c>
    </row>
    <row r="1826" spans="1:10" x14ac:dyDescent="0.25">
      <c r="A1826">
        <v>10961540</v>
      </c>
      <c r="B1826" s="1">
        <v>45670.4999537037</v>
      </c>
      <c r="C1826" t="s">
        <v>0</v>
      </c>
      <c r="D1826" t="str">
        <f>VLOOKUP(A1826,MERCADO!A:B,2,0)</f>
        <v>Tecnologia</v>
      </c>
      <c r="E1826" t="str">
        <f>_xlfn.XLOOKUP(A1826, ORIGEM!A:A, ORIGEM!B:B)</f>
        <v>Google</v>
      </c>
      <c r="F1826" t="str">
        <f>_xlfn.XLOOKUP(A1826, ORIGEM!A:A, ORIGEM!C:C)</f>
        <v>google - cpc</v>
      </c>
      <c r="G1826" t="str">
        <f>_xlfn.XLOOKUP(A1826, LOCAL!A:A, LOCAL!B:B)</f>
        <v>Rio de Janeiro, RJ</v>
      </c>
      <c r="H1826" t="str">
        <f>_xlfn.XLOOKUP(A1826, PORTE!A:A, PORTE!B:B)</f>
        <v>1-10</v>
      </c>
      <c r="I1826" t="str">
        <f>_xlfn.XLOOKUP(A1826, OBJETIVO!A:A, OBJETIVO!B:B)</f>
        <v>Abertura/Expansão</v>
      </c>
      <c r="J1826">
        <f t="shared" si="28"/>
        <v>0</v>
      </c>
    </row>
    <row r="1827" spans="1:10" x14ac:dyDescent="0.25">
      <c r="A1827">
        <v>10955618</v>
      </c>
      <c r="B1827" s="1">
        <v>45670.339178240742</v>
      </c>
      <c r="C1827" t="s">
        <v>0</v>
      </c>
      <c r="D1827" t="str">
        <f>VLOOKUP(A1827,MERCADO!A:B,2,0)</f>
        <v>Tecnologia</v>
      </c>
      <c r="E1827" t="str">
        <f>_xlfn.XLOOKUP(A1827, ORIGEM!A:A, ORIGEM!B:B)</f>
        <v>Google</v>
      </c>
      <c r="F1827" t="str">
        <f>_xlfn.XLOOKUP(A1827, ORIGEM!A:A, ORIGEM!C:C)</f>
        <v>google - cpc</v>
      </c>
      <c r="G1827" t="str">
        <f>_xlfn.XLOOKUP(A1827, LOCAL!A:A, LOCAL!B:B)</f>
        <v>São Paulo - SP</v>
      </c>
      <c r="H1827" t="str">
        <f>_xlfn.XLOOKUP(A1827, PORTE!A:A, PORTE!B:B)</f>
        <v>1-10</v>
      </c>
      <c r="I1827" t="str">
        <f>_xlfn.XLOOKUP(A1827, OBJETIVO!A:A, OBJETIVO!B:B)</f>
        <v>Ações de marketing/vendas</v>
      </c>
      <c r="J1827">
        <f t="shared" si="28"/>
        <v>0</v>
      </c>
    </row>
    <row r="1828" spans="1:10" x14ac:dyDescent="0.25">
      <c r="A1828">
        <v>10970381</v>
      </c>
      <c r="B1828" s="1">
        <v>45670.761689814812</v>
      </c>
      <c r="C1828" t="s">
        <v>0</v>
      </c>
      <c r="D1828" t="str">
        <f>VLOOKUP(A1828,MERCADO!A:B,2,0)</f>
        <v>Tecnologia</v>
      </c>
      <c r="E1828" t="str">
        <f>_xlfn.XLOOKUP(A1828, ORIGEM!A:A, ORIGEM!B:B)</f>
        <v>Google</v>
      </c>
      <c r="F1828" t="str">
        <f>_xlfn.XLOOKUP(A1828, ORIGEM!A:A, ORIGEM!C:C)</f>
        <v>google - cpc</v>
      </c>
      <c r="G1828" t="str">
        <f>_xlfn.XLOOKUP(A1828, LOCAL!A:A, LOCAL!B:B)</f>
        <v>Sinop - MT</v>
      </c>
      <c r="H1828" t="str">
        <f>_xlfn.XLOOKUP(A1828, PORTE!A:A, PORTE!B:B)</f>
        <v>1-10</v>
      </c>
      <c r="I1828" t="str">
        <f>_xlfn.XLOOKUP(A1828, OBJETIVO!A:A, OBJETIVO!B:B)</f>
        <v>Planejamento estratégico</v>
      </c>
      <c r="J1828">
        <f t="shared" si="28"/>
        <v>0</v>
      </c>
    </row>
    <row r="1829" spans="1:10" x14ac:dyDescent="0.25">
      <c r="A1829">
        <v>10952585</v>
      </c>
      <c r="B1829" s="1">
        <v>45669.699571759258</v>
      </c>
      <c r="C1829" t="s">
        <v>0</v>
      </c>
      <c r="D1829" t="str">
        <f>VLOOKUP(A1829,MERCADO!A:B,2,0)</f>
        <v>Tecnologia</v>
      </c>
      <c r="E1829" t="str">
        <f>_xlfn.XLOOKUP(A1829, ORIGEM!A:A, ORIGEM!B:B)</f>
        <v>Google</v>
      </c>
      <c r="F1829" t="str">
        <f>_xlfn.XLOOKUP(A1829, ORIGEM!A:A, ORIGEM!C:C)</f>
        <v>google - cpc</v>
      </c>
      <c r="G1829" t="str">
        <f>_xlfn.XLOOKUP(A1829, LOCAL!A:A, LOCAL!B:B)</f>
        <v>Paracambi - RJ</v>
      </c>
      <c r="H1829" t="str">
        <f>_xlfn.XLOOKUP(A1829, PORTE!A:A, PORTE!B:B)</f>
        <v>1-10</v>
      </c>
      <c r="I1829" t="str">
        <f>_xlfn.XLOOKUP(A1829, OBJETIVO!A:A, OBJETIVO!B:B)</f>
        <v>Planejamento estratégico</v>
      </c>
      <c r="J1829">
        <f t="shared" si="28"/>
        <v>0</v>
      </c>
    </row>
    <row r="1830" spans="1:10" x14ac:dyDescent="0.25">
      <c r="A1830">
        <v>11030645</v>
      </c>
      <c r="B1830" s="1">
        <v>45676.089120370372</v>
      </c>
      <c r="C1830" t="s">
        <v>0</v>
      </c>
      <c r="D1830" t="str">
        <f>VLOOKUP(A1830,MERCADO!A:B,2,0)</f>
        <v>Tecnologia</v>
      </c>
      <c r="E1830" t="str">
        <f>_xlfn.XLOOKUP(A1830, ORIGEM!A:A, ORIGEM!B:B)</f>
        <v>Google</v>
      </c>
      <c r="F1830" t="str">
        <f>_xlfn.XLOOKUP(A1830, ORIGEM!A:A, ORIGEM!C:C)</f>
        <v>google - cpc</v>
      </c>
      <c r="G1830" t="str">
        <f>_xlfn.XLOOKUP(A1830, LOCAL!A:A, LOCAL!B:B)</f>
        <v>Uberlândia - MG</v>
      </c>
      <c r="H1830" t="str">
        <f>_xlfn.XLOOKUP(A1830, PORTE!A:A, PORTE!B:B)</f>
        <v>11-50</v>
      </c>
      <c r="I1830" t="str">
        <f>_xlfn.XLOOKUP(A1830, OBJETIVO!A:A, OBJETIVO!B:B)</f>
        <v>Outro</v>
      </c>
      <c r="J1830">
        <f t="shared" si="28"/>
        <v>0</v>
      </c>
    </row>
    <row r="1831" spans="1:10" x14ac:dyDescent="0.25">
      <c r="A1831">
        <v>11013332</v>
      </c>
      <c r="B1831" s="1">
        <v>45675.048148148147</v>
      </c>
      <c r="C1831" t="s">
        <v>0</v>
      </c>
      <c r="D1831" t="str">
        <f>VLOOKUP(A1831,MERCADO!A:B,2,0)</f>
        <v>Tecnologia</v>
      </c>
      <c r="E1831" t="str">
        <f>_xlfn.XLOOKUP(A1831, ORIGEM!A:A, ORIGEM!B:B)</f>
        <v>Google</v>
      </c>
      <c r="F1831" t="str">
        <f>_xlfn.XLOOKUP(A1831, ORIGEM!A:A, ORIGEM!C:C)</f>
        <v>google - cpc</v>
      </c>
      <c r="G1831" t="str">
        <f>_xlfn.XLOOKUP(A1831, LOCAL!A:A, LOCAL!B:B)</f>
        <v>-</v>
      </c>
      <c r="H1831" t="str">
        <f>_xlfn.XLOOKUP(A1831, PORTE!A:A, PORTE!B:B)</f>
        <v>1-10</v>
      </c>
      <c r="I1831" t="str">
        <f>_xlfn.XLOOKUP(A1831, OBJETIVO!A:A, OBJETIVO!B:B)</f>
        <v>Planejamento estratégico</v>
      </c>
      <c r="J1831">
        <f t="shared" si="28"/>
        <v>0</v>
      </c>
    </row>
    <row r="1832" spans="1:10" x14ac:dyDescent="0.25">
      <c r="A1832">
        <v>11489953</v>
      </c>
      <c r="B1832" s="1">
        <v>45717.47284722222</v>
      </c>
      <c r="C1832" t="s">
        <v>0</v>
      </c>
      <c r="D1832" t="str">
        <f>VLOOKUP(A1832,MERCADO!A:B,2,0)</f>
        <v>Tecnologia</v>
      </c>
      <c r="E1832" t="str">
        <f>_xlfn.XLOOKUP(A1832, ORIGEM!A:A, ORIGEM!B:B)</f>
        <v>Google</v>
      </c>
      <c r="F1832">
        <f>_xlfn.XLOOKUP(A1832, ORIGEM!A:A, ORIGEM!C:C)</f>
        <v>0</v>
      </c>
      <c r="G1832" t="str">
        <f>_xlfn.XLOOKUP(A1832, LOCAL!A:A, LOCAL!B:B)</f>
        <v>São Paulo</v>
      </c>
      <c r="H1832" t="str">
        <f>_xlfn.XLOOKUP(A1832, PORTE!A:A, PORTE!B:B)</f>
        <v>1-10</v>
      </c>
      <c r="I1832" t="str">
        <f>_xlfn.XLOOKUP(A1832, OBJETIVO!A:A, OBJETIVO!B:B)</f>
        <v>Planejamento estratégico</v>
      </c>
      <c r="J1832">
        <f t="shared" si="28"/>
        <v>0</v>
      </c>
    </row>
    <row r="1833" spans="1:10" x14ac:dyDescent="0.25">
      <c r="A1833">
        <v>10746472</v>
      </c>
      <c r="B1833" s="1">
        <v>45642.609733796293</v>
      </c>
      <c r="C1833" t="s">
        <v>0</v>
      </c>
      <c r="D1833" t="str">
        <f>VLOOKUP(A1833,MERCADO!A:B,2,0)</f>
        <v>Tecnologia</v>
      </c>
      <c r="E1833" t="str">
        <f>_xlfn.XLOOKUP(A1833, ORIGEM!A:A, ORIGEM!B:B)</f>
        <v>rep</v>
      </c>
      <c r="F1833" t="str">
        <f>_xlfn.XLOOKUP(A1833, ORIGEM!A:A, ORIGEM!C:C)</f>
        <v>rep - ximena-cubillos</v>
      </c>
      <c r="G1833" t="str">
        <f>_xlfn.XLOOKUP(A1833, LOCAL!A:A, LOCAL!B:B)</f>
        <v>São Paulo - SP</v>
      </c>
      <c r="H1833" t="str">
        <f>_xlfn.XLOOKUP(A1833, PORTE!A:A, PORTE!B:B)</f>
        <v>0</v>
      </c>
      <c r="I1833" t="str">
        <f>_xlfn.XLOOKUP(A1833, OBJETIVO!A:A, OBJETIVO!B:B)</f>
        <v>Geração de leads b2b</v>
      </c>
      <c r="J1833">
        <f t="shared" si="28"/>
        <v>0</v>
      </c>
    </row>
    <row r="1834" spans="1:10" x14ac:dyDescent="0.25">
      <c r="A1834">
        <v>11374221</v>
      </c>
      <c r="B1834" s="1">
        <v>45705.441805555558</v>
      </c>
      <c r="C1834" t="s">
        <v>0</v>
      </c>
      <c r="D1834" t="str">
        <f>VLOOKUP(A1834,MERCADO!A:B,2,0)</f>
        <v>Tecnologia</v>
      </c>
      <c r="E1834" t="str">
        <f>_xlfn.XLOOKUP(A1834, ORIGEM!A:A, ORIGEM!B:B)</f>
        <v>Facebook</v>
      </c>
      <c r="F1834" t="str">
        <f>_xlfn.XLOOKUP(A1834, ORIGEM!A:A, ORIGEM!C:C)</f>
        <v>facebook - cpc</v>
      </c>
      <c r="G1834" t="str">
        <f>_xlfn.XLOOKUP(A1834, LOCAL!A:A, LOCAL!B:B)</f>
        <v>Cuiabá - MT</v>
      </c>
      <c r="H1834" t="str">
        <f>_xlfn.XLOOKUP(A1834, PORTE!A:A, PORTE!B:B)</f>
        <v>0</v>
      </c>
      <c r="I1834" t="str">
        <f>_xlfn.XLOOKUP(A1834, OBJETIVO!A:A, OBJETIVO!B:B)</f>
        <v>Geração de leads b2b</v>
      </c>
      <c r="J1834">
        <f t="shared" si="28"/>
        <v>0</v>
      </c>
    </row>
    <row r="1835" spans="1:10" x14ac:dyDescent="0.25">
      <c r="A1835">
        <v>11348623</v>
      </c>
      <c r="B1835" s="1">
        <v>45703.227418981478</v>
      </c>
      <c r="C1835" t="s">
        <v>0</v>
      </c>
      <c r="D1835" t="str">
        <f>VLOOKUP(A1835,MERCADO!A:B,2,0)</f>
        <v>Tecnologia</v>
      </c>
      <c r="E1835" t="str">
        <f>_xlfn.XLOOKUP(A1835, ORIGEM!A:A, ORIGEM!B:B)</f>
        <v>Facebook</v>
      </c>
      <c r="F1835" t="str">
        <f>_xlfn.XLOOKUP(A1835, ORIGEM!A:A, ORIGEM!C:C)</f>
        <v>facebook - cpc</v>
      </c>
      <c r="G1835" t="str">
        <f>_xlfn.XLOOKUP(A1835, LOCAL!A:A, LOCAL!B:B)</f>
        <v>Niterói - RJ</v>
      </c>
      <c r="H1835" t="str">
        <f>_xlfn.XLOOKUP(A1835, PORTE!A:A, PORTE!B:B)</f>
        <v>1-10</v>
      </c>
      <c r="I1835" t="str">
        <f>_xlfn.XLOOKUP(A1835, OBJETIVO!A:A, OBJETIVO!B:B)</f>
        <v>Geração de leads b2b</v>
      </c>
      <c r="J1835">
        <f t="shared" si="28"/>
        <v>0</v>
      </c>
    </row>
    <row r="1836" spans="1:10" x14ac:dyDescent="0.25">
      <c r="A1836">
        <v>11358078</v>
      </c>
      <c r="B1836" s="1">
        <v>45703.808067129627</v>
      </c>
      <c r="C1836" t="s">
        <v>0</v>
      </c>
      <c r="D1836" t="str">
        <f>VLOOKUP(A1836,MERCADO!A:B,2,0)</f>
        <v>Tecnologia</v>
      </c>
      <c r="E1836" t="str">
        <f>_xlfn.XLOOKUP(A1836, ORIGEM!A:A, ORIGEM!B:B)</f>
        <v>Facebook</v>
      </c>
      <c r="F1836" t="str">
        <f>_xlfn.XLOOKUP(A1836, ORIGEM!A:A, ORIGEM!C:C)</f>
        <v>facebook - cpc</v>
      </c>
      <c r="G1836" t="str">
        <f>_xlfn.XLOOKUP(A1836, LOCAL!A:A, LOCAL!B:B)</f>
        <v>Fortaleza - CE</v>
      </c>
      <c r="H1836" t="str">
        <f>_xlfn.XLOOKUP(A1836, PORTE!A:A, PORTE!B:B)</f>
        <v>1-10</v>
      </c>
      <c r="I1836" t="str">
        <f>_xlfn.XLOOKUP(A1836, OBJETIVO!A:A, OBJETIVO!B:B)</f>
        <v>Geração de leads b2b</v>
      </c>
      <c r="J1836">
        <f t="shared" si="28"/>
        <v>0</v>
      </c>
    </row>
    <row r="1837" spans="1:10" x14ac:dyDescent="0.25">
      <c r="A1837">
        <v>11680702</v>
      </c>
      <c r="B1837" s="1">
        <v>45733.896631944444</v>
      </c>
      <c r="C1837" t="s">
        <v>0</v>
      </c>
      <c r="D1837" t="str">
        <f>VLOOKUP(A1837,MERCADO!A:B,2,0)</f>
        <v>Tecnologia</v>
      </c>
      <c r="E1837" t="str">
        <f>_xlfn.XLOOKUP(A1837, ORIGEM!A:A, ORIGEM!B:B)</f>
        <v>Google</v>
      </c>
      <c r="F1837" t="str">
        <f>_xlfn.XLOOKUP(A1837, ORIGEM!A:A, ORIGEM!C:C)</f>
        <v>google - cpc</v>
      </c>
      <c r="G1837" t="str">
        <f>_xlfn.XLOOKUP(A1837, LOCAL!A:A, LOCAL!B:B)</f>
        <v>São Paulo - SP</v>
      </c>
      <c r="H1837" t="str">
        <f>_xlfn.XLOOKUP(A1837, PORTE!A:A, PORTE!B:B)</f>
        <v>1-10</v>
      </c>
      <c r="I1837" t="str">
        <f>_xlfn.XLOOKUP(A1837, OBJETIVO!A:A, OBJETIVO!B:B)</f>
        <v>Ações de marketing/vendas</v>
      </c>
      <c r="J1837">
        <f t="shared" si="28"/>
        <v>0</v>
      </c>
    </row>
    <row r="1838" spans="1:10" x14ac:dyDescent="0.25">
      <c r="A1838">
        <v>11801937</v>
      </c>
      <c r="B1838" s="1">
        <v>45745.455069444448</v>
      </c>
      <c r="C1838" t="s">
        <v>0</v>
      </c>
      <c r="D1838" t="str">
        <f>VLOOKUP(A1838,MERCADO!A:B,2,0)</f>
        <v>Tecnologia</v>
      </c>
      <c r="E1838" t="str">
        <f>_xlfn.XLOOKUP(A1838, ORIGEM!A:A, ORIGEM!B:B)</f>
        <v>Google</v>
      </c>
      <c r="F1838" t="str">
        <f>_xlfn.XLOOKUP(A1838, ORIGEM!A:A, ORIGEM!C:C)</f>
        <v>google - cpc</v>
      </c>
      <c r="G1838" t="str">
        <f>_xlfn.XLOOKUP(A1838, LOCAL!A:A, LOCAL!B:B)</f>
        <v>Maranguape - CE</v>
      </c>
      <c r="H1838" t="str">
        <f>_xlfn.XLOOKUP(A1838, PORTE!A:A, PORTE!B:B)</f>
        <v>1-10</v>
      </c>
      <c r="I1838" t="str">
        <f>_xlfn.XLOOKUP(A1838, OBJETIVO!A:A, OBJETIVO!B:B)</f>
        <v>Planejamento estratégico</v>
      </c>
      <c r="J1838">
        <f t="shared" si="28"/>
        <v>0</v>
      </c>
    </row>
    <row r="1839" spans="1:10" x14ac:dyDescent="0.25">
      <c r="A1839">
        <v>11736597</v>
      </c>
      <c r="B1839" s="1">
        <v>45739.746990740743</v>
      </c>
      <c r="C1839" t="s">
        <v>0</v>
      </c>
      <c r="D1839" t="str">
        <f>VLOOKUP(A1839,MERCADO!A:B,2,0)</f>
        <v>Tecnologia</v>
      </c>
      <c r="E1839" t="str">
        <f>_xlfn.XLOOKUP(A1839, ORIGEM!A:A, ORIGEM!B:B)</f>
        <v>Google</v>
      </c>
      <c r="F1839" t="str">
        <f>_xlfn.XLOOKUP(A1839, ORIGEM!A:A, ORIGEM!C:C)</f>
        <v>google - cpc</v>
      </c>
      <c r="G1839" t="str">
        <f>_xlfn.XLOOKUP(A1839, LOCAL!A:A, LOCAL!B:B)</f>
        <v>Rio de Janeiro - RJ</v>
      </c>
      <c r="H1839" t="str">
        <f>_xlfn.XLOOKUP(A1839, PORTE!A:A, PORTE!B:B)</f>
        <v>51-300</v>
      </c>
      <c r="I1839" t="str">
        <f>_xlfn.XLOOKUP(A1839, OBJETIVO!A:A, OBJETIVO!B:B)</f>
        <v>Outro</v>
      </c>
      <c r="J1839">
        <f t="shared" si="28"/>
        <v>0</v>
      </c>
    </row>
    <row r="1840" spans="1:10" x14ac:dyDescent="0.25">
      <c r="A1840">
        <v>11707589</v>
      </c>
      <c r="B1840" s="1">
        <v>45736.440393518518</v>
      </c>
      <c r="C1840" t="s">
        <v>0</v>
      </c>
      <c r="D1840" t="str">
        <f>VLOOKUP(A1840,MERCADO!A:B,2,0)</f>
        <v>Tecnologia</v>
      </c>
      <c r="E1840" t="str">
        <f>_xlfn.XLOOKUP(A1840, ORIGEM!A:A, ORIGEM!B:B)</f>
        <v>Google</v>
      </c>
      <c r="F1840" t="str">
        <f>_xlfn.XLOOKUP(A1840, ORIGEM!A:A, ORIGEM!C:C)</f>
        <v>google - cpc</v>
      </c>
      <c r="G1840" t="str">
        <f>_xlfn.XLOOKUP(A1840, LOCAL!A:A, LOCAL!B:B)</f>
        <v>Uberaba - MG</v>
      </c>
      <c r="H1840" t="str">
        <f>_xlfn.XLOOKUP(A1840, PORTE!A:A, PORTE!B:B)</f>
        <v>0</v>
      </c>
      <c r="I1840" t="str">
        <f>_xlfn.XLOOKUP(A1840, OBJETIVO!A:A, OBJETIVO!B:B)</f>
        <v>Abertura/Expansão</v>
      </c>
      <c r="J1840">
        <f t="shared" si="28"/>
        <v>0</v>
      </c>
    </row>
    <row r="1841" spans="1:10" x14ac:dyDescent="0.25">
      <c r="A1841">
        <v>11762169</v>
      </c>
      <c r="B1841" s="1">
        <v>45741.672002314815</v>
      </c>
      <c r="C1841" t="s">
        <v>0</v>
      </c>
      <c r="D1841" t="str">
        <f>VLOOKUP(A1841,MERCADO!A:B,2,0)</f>
        <v>Tecnologia</v>
      </c>
      <c r="E1841" t="str">
        <f>_xlfn.XLOOKUP(A1841, ORIGEM!A:A, ORIGEM!B:B)</f>
        <v>Google</v>
      </c>
      <c r="F1841" t="str">
        <f>_xlfn.XLOOKUP(A1841, ORIGEM!A:A, ORIGEM!C:C)</f>
        <v>google - cpc</v>
      </c>
      <c r="G1841" t="str">
        <f>_xlfn.XLOOKUP(A1841, LOCAL!A:A, LOCAL!B:B)</f>
        <v>Mogi das Cruzes - SP</v>
      </c>
      <c r="H1841" t="str">
        <f>_xlfn.XLOOKUP(A1841, PORTE!A:A, PORTE!B:B)</f>
        <v>301-1000</v>
      </c>
      <c r="I1841" t="str">
        <f>_xlfn.XLOOKUP(A1841, OBJETIVO!A:A, OBJETIVO!B:B)</f>
        <v>Outro</v>
      </c>
      <c r="J1841">
        <f t="shared" si="28"/>
        <v>0</v>
      </c>
    </row>
    <row r="1842" spans="1:10" x14ac:dyDescent="0.25">
      <c r="A1842">
        <v>11810939</v>
      </c>
      <c r="B1842" s="1">
        <v>45745.701979166668</v>
      </c>
      <c r="C1842" t="s">
        <v>0</v>
      </c>
      <c r="D1842" t="str">
        <f>VLOOKUP(A1842,MERCADO!A:B,2,0)</f>
        <v>Tecnologia</v>
      </c>
      <c r="E1842" t="str">
        <f>_xlfn.XLOOKUP(A1842, ORIGEM!A:A, ORIGEM!B:B)</f>
        <v>Google</v>
      </c>
      <c r="F1842" t="str">
        <f>_xlfn.XLOOKUP(A1842, ORIGEM!A:A, ORIGEM!C:C)</f>
        <v>google - cpc</v>
      </c>
      <c r="G1842" t="str">
        <f>_xlfn.XLOOKUP(A1842, LOCAL!A:A, LOCAL!B:B)</f>
        <v>Maringá - PR</v>
      </c>
      <c r="H1842" t="str">
        <f>_xlfn.XLOOKUP(A1842, PORTE!A:A, PORTE!B:B)</f>
        <v>11-50</v>
      </c>
      <c r="I1842" t="str">
        <f>_xlfn.XLOOKUP(A1842, OBJETIVO!A:A, OBJETIVO!B:B)</f>
        <v>Geração de leads b2b</v>
      </c>
      <c r="J1842">
        <f t="shared" si="28"/>
        <v>0</v>
      </c>
    </row>
    <row r="1843" spans="1:10" x14ac:dyDescent="0.25">
      <c r="A1843">
        <v>11731186</v>
      </c>
      <c r="B1843" s="1">
        <v>45739.494780092595</v>
      </c>
      <c r="C1843" t="s">
        <v>0</v>
      </c>
      <c r="D1843" t="str">
        <f>VLOOKUP(A1843,MERCADO!A:B,2,0)</f>
        <v>Tecnologia</v>
      </c>
      <c r="E1843" t="str">
        <f>_xlfn.XLOOKUP(A1843, ORIGEM!A:A, ORIGEM!B:B)</f>
        <v>Google</v>
      </c>
      <c r="F1843" t="str">
        <f>_xlfn.XLOOKUP(A1843, ORIGEM!A:A, ORIGEM!C:C)</f>
        <v>google - cpc</v>
      </c>
      <c r="G1843" t="str">
        <f>_xlfn.XLOOKUP(A1843, LOCAL!A:A, LOCAL!B:B)</f>
        <v>Brasília - DF</v>
      </c>
      <c r="H1843" t="str">
        <f>_xlfn.XLOOKUP(A1843, PORTE!A:A, PORTE!B:B)</f>
        <v>0</v>
      </c>
      <c r="I1843" t="str">
        <f>_xlfn.XLOOKUP(A1843, OBJETIVO!A:A, OBJETIVO!B:B)</f>
        <v>Planejamento estratégico</v>
      </c>
      <c r="J1843">
        <f t="shared" si="28"/>
        <v>0</v>
      </c>
    </row>
    <row r="1844" spans="1:10" x14ac:dyDescent="0.25">
      <c r="A1844">
        <v>11708571</v>
      </c>
      <c r="B1844" s="1">
        <v>45736.739166666666</v>
      </c>
      <c r="C1844" t="s">
        <v>0</v>
      </c>
      <c r="D1844" t="str">
        <f>VLOOKUP(A1844,MERCADO!A:B,2,0)</f>
        <v>Tecnologia</v>
      </c>
      <c r="E1844" t="str">
        <f>_xlfn.XLOOKUP(A1844, ORIGEM!A:A, ORIGEM!B:B)</f>
        <v>Orgânico</v>
      </c>
      <c r="F1844">
        <f>_xlfn.XLOOKUP(A1844, ORIGEM!A:A, ORIGEM!C:C)</f>
        <v>0</v>
      </c>
      <c r="G1844" t="str">
        <f>_xlfn.XLOOKUP(A1844, LOCAL!A:A, LOCAL!B:B)</f>
        <v>Salvador - BA</v>
      </c>
      <c r="H1844" t="str">
        <f>_xlfn.XLOOKUP(A1844, PORTE!A:A, PORTE!B:B)</f>
        <v>+ 1000</v>
      </c>
      <c r="I1844" t="str">
        <f>_xlfn.XLOOKUP(A1844, OBJETIVO!A:A, OBJETIVO!B:B)</f>
        <v>Abertura/Expansão</v>
      </c>
      <c r="J1844">
        <f t="shared" si="28"/>
        <v>0</v>
      </c>
    </row>
    <row r="1845" spans="1:10" x14ac:dyDescent="0.25">
      <c r="A1845">
        <v>11629722</v>
      </c>
      <c r="B1845" s="1">
        <v>45728.770810185182</v>
      </c>
      <c r="C1845" t="s">
        <v>0</v>
      </c>
      <c r="D1845" t="str">
        <f>VLOOKUP(A1845,MERCADO!A:B,2,0)</f>
        <v>Tecnologia</v>
      </c>
      <c r="E1845" t="str">
        <f>_xlfn.XLOOKUP(A1845, ORIGEM!A:A, ORIGEM!B:B)</f>
        <v>Orgânico</v>
      </c>
      <c r="F1845">
        <f>_xlfn.XLOOKUP(A1845, ORIGEM!A:A, ORIGEM!C:C)</f>
        <v>0</v>
      </c>
      <c r="G1845" t="str">
        <f>_xlfn.XLOOKUP(A1845, LOCAL!A:A, LOCAL!B:B)</f>
        <v>Niterói - RJ</v>
      </c>
      <c r="H1845" t="str">
        <f>_xlfn.XLOOKUP(A1845, PORTE!A:A, PORTE!B:B)</f>
        <v>11-50</v>
      </c>
      <c r="I1845" t="str">
        <f>_xlfn.XLOOKUP(A1845, OBJETIVO!A:A, OBJETIVO!B:B)</f>
        <v>Planejamento estratégico</v>
      </c>
      <c r="J1845">
        <f t="shared" si="28"/>
        <v>0</v>
      </c>
    </row>
    <row r="1846" spans="1:10" x14ac:dyDescent="0.25">
      <c r="A1846">
        <v>11562201</v>
      </c>
      <c r="B1846" s="1">
        <v>45723.938599537039</v>
      </c>
      <c r="C1846" t="s">
        <v>0</v>
      </c>
      <c r="D1846" t="str">
        <f>VLOOKUP(A1846,MERCADO!A:B,2,0)</f>
        <v>Tecnologia</v>
      </c>
      <c r="E1846" t="str">
        <f>_xlfn.XLOOKUP(A1846, ORIGEM!A:A, ORIGEM!B:B)</f>
        <v>Orgânico</v>
      </c>
      <c r="F1846">
        <f>_xlfn.XLOOKUP(A1846, ORIGEM!A:A, ORIGEM!C:C)</f>
        <v>0</v>
      </c>
      <c r="G1846" t="str">
        <f>_xlfn.XLOOKUP(A1846, LOCAL!A:A, LOCAL!B:B)</f>
        <v>Rio de Janeiro - RJ</v>
      </c>
      <c r="H1846" t="str">
        <f>_xlfn.XLOOKUP(A1846, PORTE!A:A, PORTE!B:B)</f>
        <v>0</v>
      </c>
      <c r="I1846" t="str">
        <f>_xlfn.XLOOKUP(A1846, OBJETIVO!A:A, OBJETIVO!B:B)</f>
        <v>Consultoria</v>
      </c>
      <c r="J1846">
        <f t="shared" si="28"/>
        <v>0</v>
      </c>
    </row>
    <row r="1847" spans="1:10" x14ac:dyDescent="0.25">
      <c r="A1847">
        <v>11573700</v>
      </c>
      <c r="B1847" s="1">
        <v>45724.679409722223</v>
      </c>
      <c r="C1847" t="s">
        <v>0</v>
      </c>
      <c r="D1847" t="str">
        <f>VLOOKUP(A1847,MERCADO!A:B,2,0)</f>
        <v>Tecnologia</v>
      </c>
      <c r="E1847" t="str">
        <f>_xlfn.XLOOKUP(A1847, ORIGEM!A:A, ORIGEM!B:B)</f>
        <v>Orgânico</v>
      </c>
      <c r="F1847">
        <f>_xlfn.XLOOKUP(A1847, ORIGEM!A:A, ORIGEM!C:C)</f>
        <v>0</v>
      </c>
      <c r="G1847" t="str">
        <f>_xlfn.XLOOKUP(A1847, LOCAL!A:A, LOCAL!B:B)</f>
        <v>Ribeirão Preto - SP</v>
      </c>
      <c r="H1847" t="str">
        <f>_xlfn.XLOOKUP(A1847, PORTE!A:A, PORTE!B:B)</f>
        <v>11-50</v>
      </c>
      <c r="I1847" t="str">
        <f>_xlfn.XLOOKUP(A1847, OBJETIVO!A:A, OBJETIVO!B:B)</f>
        <v>Outro</v>
      </c>
      <c r="J1847">
        <f t="shared" si="28"/>
        <v>0</v>
      </c>
    </row>
    <row r="1848" spans="1:10" x14ac:dyDescent="0.25">
      <c r="A1848">
        <v>11317433</v>
      </c>
      <c r="B1848" s="1">
        <v>45698.781192129631</v>
      </c>
      <c r="C1848" t="s">
        <v>0</v>
      </c>
      <c r="D1848" t="str">
        <f>VLOOKUP(A1848,MERCADO!A:B,2,0)</f>
        <v>Tecnologia</v>
      </c>
      <c r="E1848" t="str">
        <f>_xlfn.XLOOKUP(A1848, ORIGEM!A:A, ORIGEM!B:B)</f>
        <v>Orgânico</v>
      </c>
      <c r="F1848">
        <f>_xlfn.XLOOKUP(A1848, ORIGEM!A:A, ORIGEM!C:C)</f>
        <v>0</v>
      </c>
      <c r="G1848" t="str">
        <f>_xlfn.XLOOKUP(A1848, LOCAL!A:A, LOCAL!B:B)</f>
        <v>Tailandia - PA</v>
      </c>
      <c r="H1848" t="str">
        <f>_xlfn.XLOOKUP(A1848, PORTE!A:A, PORTE!B:B)</f>
        <v>1-10</v>
      </c>
      <c r="I1848" t="str">
        <f>_xlfn.XLOOKUP(A1848, OBJETIVO!A:A, OBJETIVO!B:B)</f>
        <v>Geração de leads b2b</v>
      </c>
      <c r="J1848">
        <f t="shared" si="28"/>
        <v>0</v>
      </c>
    </row>
    <row r="1849" spans="1:10" x14ac:dyDescent="0.25">
      <c r="A1849">
        <v>11282992</v>
      </c>
      <c r="B1849" s="1">
        <v>45696.626145833332</v>
      </c>
      <c r="C1849" t="s">
        <v>0</v>
      </c>
      <c r="D1849" t="str">
        <f>VLOOKUP(A1849,MERCADO!A:B,2,0)</f>
        <v>Tecnologia</v>
      </c>
      <c r="E1849" t="str">
        <f>_xlfn.XLOOKUP(A1849, ORIGEM!A:A, ORIGEM!B:B)</f>
        <v>Orgânico</v>
      </c>
      <c r="F1849">
        <f>_xlfn.XLOOKUP(A1849, ORIGEM!A:A, ORIGEM!C:C)</f>
        <v>0</v>
      </c>
      <c r="G1849" t="str">
        <f>_xlfn.XLOOKUP(A1849, LOCAL!A:A, LOCAL!B:B)</f>
        <v>Caieiras - SP</v>
      </c>
      <c r="H1849" t="str">
        <f>_xlfn.XLOOKUP(A1849, PORTE!A:A, PORTE!B:B)</f>
        <v>11-50</v>
      </c>
      <c r="I1849" t="str">
        <f>_xlfn.XLOOKUP(A1849, OBJETIVO!A:A, OBJETIVO!B:B)</f>
        <v>Geração de leads b2b</v>
      </c>
      <c r="J1849">
        <f t="shared" si="28"/>
        <v>0</v>
      </c>
    </row>
    <row r="1850" spans="1:10" x14ac:dyDescent="0.25">
      <c r="A1850">
        <v>11266443</v>
      </c>
      <c r="B1850" s="1">
        <v>45693.743564814817</v>
      </c>
      <c r="C1850" t="s">
        <v>0</v>
      </c>
      <c r="D1850" t="str">
        <f>VLOOKUP(A1850,MERCADO!A:B,2,0)</f>
        <v>Tecnologia</v>
      </c>
      <c r="E1850" t="str">
        <f>_xlfn.XLOOKUP(A1850, ORIGEM!A:A, ORIGEM!B:B)</f>
        <v>Orgânico</v>
      </c>
      <c r="F1850">
        <f>_xlfn.XLOOKUP(A1850, ORIGEM!A:A, ORIGEM!C:C)</f>
        <v>0</v>
      </c>
      <c r="G1850" t="str">
        <f>_xlfn.XLOOKUP(A1850, LOCAL!A:A, LOCAL!B:B)</f>
        <v>Porto Alegre - RS</v>
      </c>
      <c r="H1850" t="str">
        <f>_xlfn.XLOOKUP(A1850, PORTE!A:A, PORTE!B:B)</f>
        <v>51-300</v>
      </c>
      <c r="I1850" t="str">
        <f>_xlfn.XLOOKUP(A1850, OBJETIVO!A:A, OBJETIVO!B:B)</f>
        <v>Abertura/Expansão</v>
      </c>
      <c r="J1850">
        <f t="shared" si="28"/>
        <v>0</v>
      </c>
    </row>
    <row r="1851" spans="1:10" x14ac:dyDescent="0.25">
      <c r="A1851">
        <v>11263822</v>
      </c>
      <c r="B1851" s="1">
        <v>45693.639305555553</v>
      </c>
      <c r="C1851" t="s">
        <v>0</v>
      </c>
      <c r="D1851" t="str">
        <f>VLOOKUP(A1851,MERCADO!A:B,2,0)</f>
        <v>Tecnologia</v>
      </c>
      <c r="E1851" t="str">
        <f>_xlfn.XLOOKUP(A1851, ORIGEM!A:A, ORIGEM!B:B)</f>
        <v>Orgânico</v>
      </c>
      <c r="F1851">
        <f>_xlfn.XLOOKUP(A1851, ORIGEM!A:A, ORIGEM!C:C)</f>
        <v>0</v>
      </c>
      <c r="G1851" t="str">
        <f>_xlfn.XLOOKUP(A1851, LOCAL!A:A, LOCAL!B:B)</f>
        <v>São Paulo - SP</v>
      </c>
      <c r="H1851" t="str">
        <f>_xlfn.XLOOKUP(A1851, PORTE!A:A, PORTE!B:B)</f>
        <v>0</v>
      </c>
      <c r="I1851" t="str">
        <f>_xlfn.XLOOKUP(A1851, OBJETIVO!A:A, OBJETIVO!B:B)</f>
        <v>Consultoria</v>
      </c>
      <c r="J1851">
        <f t="shared" si="28"/>
        <v>0</v>
      </c>
    </row>
    <row r="1852" spans="1:10" x14ac:dyDescent="0.25">
      <c r="A1852">
        <v>11431874</v>
      </c>
      <c r="B1852" s="1">
        <v>45711.493703703702</v>
      </c>
      <c r="C1852" t="s">
        <v>0</v>
      </c>
      <c r="D1852" t="str">
        <f>VLOOKUP(A1852,MERCADO!A:B,2,0)</f>
        <v>Tecnologia</v>
      </c>
      <c r="E1852" t="str">
        <f>_xlfn.XLOOKUP(A1852, ORIGEM!A:A, ORIGEM!B:B)</f>
        <v>Orgânico</v>
      </c>
      <c r="F1852">
        <f>_xlfn.XLOOKUP(A1852, ORIGEM!A:A, ORIGEM!C:C)</f>
        <v>0</v>
      </c>
      <c r="G1852" t="str">
        <f>_xlfn.XLOOKUP(A1852, LOCAL!A:A, LOCAL!B:B)</f>
        <v>Belo Horizonte - MG</v>
      </c>
      <c r="H1852" t="str">
        <f>_xlfn.XLOOKUP(A1852, PORTE!A:A, PORTE!B:B)</f>
        <v>51-300</v>
      </c>
      <c r="I1852" t="str">
        <f>_xlfn.XLOOKUP(A1852, OBJETIVO!A:A, OBJETIVO!B:B)</f>
        <v>Planejamento estratégico</v>
      </c>
      <c r="J1852">
        <f t="shared" si="28"/>
        <v>0</v>
      </c>
    </row>
    <row r="1853" spans="1:10" x14ac:dyDescent="0.25">
      <c r="A1853">
        <v>10840880</v>
      </c>
      <c r="B1853" s="1">
        <v>45656.635081018518</v>
      </c>
      <c r="C1853" t="s">
        <v>0</v>
      </c>
      <c r="D1853" t="str">
        <f>VLOOKUP(A1853,MERCADO!A:B,2,0)</f>
        <v>Tecnologia</v>
      </c>
      <c r="E1853" t="str">
        <f>_xlfn.XLOOKUP(A1853, ORIGEM!A:A, ORIGEM!B:B)</f>
        <v>Orgânico</v>
      </c>
      <c r="F1853">
        <f>_xlfn.XLOOKUP(A1853, ORIGEM!A:A, ORIGEM!C:C)</f>
        <v>0</v>
      </c>
      <c r="G1853" t="str">
        <f>_xlfn.XLOOKUP(A1853, LOCAL!A:A, LOCAL!B:B)</f>
        <v>Imbe de Minas - MG</v>
      </c>
      <c r="H1853" t="str">
        <f>_xlfn.XLOOKUP(A1853, PORTE!A:A, PORTE!B:B)</f>
        <v>1-10</v>
      </c>
      <c r="I1853" t="str">
        <f>_xlfn.XLOOKUP(A1853, OBJETIVO!A:A, OBJETIVO!B:B)</f>
        <v>Outro</v>
      </c>
      <c r="J1853">
        <f t="shared" si="28"/>
        <v>0</v>
      </c>
    </row>
    <row r="1854" spans="1:10" x14ac:dyDescent="0.25">
      <c r="A1854">
        <v>10773060</v>
      </c>
      <c r="B1854" s="1">
        <v>45644.56795138889</v>
      </c>
      <c r="C1854" t="s">
        <v>0</v>
      </c>
      <c r="D1854" t="str">
        <f>VLOOKUP(A1854,MERCADO!A:B,2,0)</f>
        <v>Tecnologia</v>
      </c>
      <c r="E1854" t="str">
        <f>_xlfn.XLOOKUP(A1854, ORIGEM!A:A, ORIGEM!B:B)</f>
        <v>Orgânico</v>
      </c>
      <c r="F1854">
        <f>_xlfn.XLOOKUP(A1854, ORIGEM!A:A, ORIGEM!C:C)</f>
        <v>0</v>
      </c>
      <c r="G1854" t="str">
        <f>_xlfn.XLOOKUP(A1854, LOCAL!A:A, LOCAL!B:B)</f>
        <v>-</v>
      </c>
      <c r="H1854" t="str">
        <f>_xlfn.XLOOKUP(A1854, PORTE!A:A, PORTE!B:B)</f>
        <v>51-300</v>
      </c>
      <c r="I1854" t="str">
        <f>_xlfn.XLOOKUP(A1854, OBJETIVO!A:A, OBJETIVO!B:B)</f>
        <v>Geração de leads b2b</v>
      </c>
      <c r="J1854">
        <f t="shared" si="28"/>
        <v>0</v>
      </c>
    </row>
    <row r="1855" spans="1:10" x14ac:dyDescent="0.25">
      <c r="A1855">
        <v>11920881</v>
      </c>
      <c r="B1855" s="1">
        <v>45755.751342592594</v>
      </c>
      <c r="C1855" t="s">
        <v>0</v>
      </c>
      <c r="D1855" t="str">
        <f>VLOOKUP(A1855,MERCADO!A:B,2,0)</f>
        <v>Tecnologia</v>
      </c>
      <c r="E1855" t="str">
        <f>_xlfn.XLOOKUP(A1855, ORIGEM!A:A, ORIGEM!B:B)</f>
        <v>Orgânico</v>
      </c>
      <c r="F1855">
        <f>_xlfn.XLOOKUP(A1855, ORIGEM!A:A, ORIGEM!C:C)</f>
        <v>0</v>
      </c>
      <c r="G1855" t="str">
        <f>_xlfn.XLOOKUP(A1855, LOCAL!A:A, LOCAL!B:B)</f>
        <v>Diadema - SP</v>
      </c>
      <c r="H1855" t="str">
        <f>_xlfn.XLOOKUP(A1855, PORTE!A:A, PORTE!B:B)</f>
        <v>1-10</v>
      </c>
      <c r="I1855" t="str">
        <f>_xlfn.XLOOKUP(A1855, OBJETIVO!A:A, OBJETIVO!B:B)</f>
        <v>Consultoria</v>
      </c>
      <c r="J1855">
        <f t="shared" si="28"/>
        <v>0</v>
      </c>
    </row>
    <row r="1856" spans="1:10" x14ac:dyDescent="0.25">
      <c r="A1856">
        <v>11900798</v>
      </c>
      <c r="B1856" s="1">
        <v>45754.598819444444</v>
      </c>
      <c r="C1856" t="s">
        <v>0</v>
      </c>
      <c r="D1856" t="str">
        <f>VLOOKUP(A1856,MERCADO!A:B,2,0)</f>
        <v>Tecnologia</v>
      </c>
      <c r="E1856" t="str">
        <f>_xlfn.XLOOKUP(A1856, ORIGEM!A:A, ORIGEM!B:B)</f>
        <v>Orgânico</v>
      </c>
      <c r="F1856">
        <f>_xlfn.XLOOKUP(A1856, ORIGEM!A:A, ORIGEM!C:C)</f>
        <v>0</v>
      </c>
      <c r="G1856" t="str">
        <f>_xlfn.XLOOKUP(A1856, LOCAL!A:A, LOCAL!B:B)</f>
        <v>Betim - MG</v>
      </c>
      <c r="H1856" t="str">
        <f>_xlfn.XLOOKUP(A1856, PORTE!A:A, PORTE!B:B)</f>
        <v>11-50</v>
      </c>
      <c r="I1856" t="str">
        <f>_xlfn.XLOOKUP(A1856, OBJETIVO!A:A, OBJETIVO!B:B)</f>
        <v>Outro</v>
      </c>
      <c r="J1856">
        <f t="shared" si="28"/>
        <v>0</v>
      </c>
    </row>
    <row r="1857" spans="1:10" x14ac:dyDescent="0.25">
      <c r="A1857">
        <v>10782692</v>
      </c>
      <c r="B1857" s="1">
        <v>45646.971643518518</v>
      </c>
      <c r="C1857" t="s">
        <v>0</v>
      </c>
      <c r="D1857" t="str">
        <f>VLOOKUP(A1857,MERCADO!A:B,2,0)</f>
        <v>Tecnologia</v>
      </c>
      <c r="E1857" t="str">
        <f>_xlfn.XLOOKUP(A1857, ORIGEM!A:A, ORIGEM!B:B)</f>
        <v>Orgânico</v>
      </c>
      <c r="F1857">
        <f>_xlfn.XLOOKUP(A1857, ORIGEM!A:A, ORIGEM!C:C)</f>
        <v>0</v>
      </c>
      <c r="G1857" t="str">
        <f>_xlfn.XLOOKUP(A1857, LOCAL!A:A, LOCAL!B:B)</f>
        <v>Balneário Camboriú - SC</v>
      </c>
      <c r="H1857" t="str">
        <f>_xlfn.XLOOKUP(A1857, PORTE!A:A, PORTE!B:B)</f>
        <v>0</v>
      </c>
      <c r="I1857" t="str">
        <f>_xlfn.XLOOKUP(A1857, OBJETIVO!A:A, OBJETIVO!B:B)</f>
        <v>Outro</v>
      </c>
      <c r="J1857">
        <f t="shared" si="28"/>
        <v>0</v>
      </c>
    </row>
    <row r="1858" spans="1:10" x14ac:dyDescent="0.25">
      <c r="A1858">
        <v>10794590</v>
      </c>
      <c r="B1858" s="1">
        <v>45647.973749999997</v>
      </c>
      <c r="C1858" t="s">
        <v>0</v>
      </c>
      <c r="D1858" t="str">
        <f>VLOOKUP(A1858,MERCADO!A:B,2,0)</f>
        <v>Tecnologia</v>
      </c>
      <c r="E1858" t="str">
        <f>_xlfn.XLOOKUP(A1858, ORIGEM!A:A, ORIGEM!B:B)</f>
        <v>Orgânico</v>
      </c>
      <c r="F1858">
        <f>_xlfn.XLOOKUP(A1858, ORIGEM!A:A, ORIGEM!C:C)</f>
        <v>0</v>
      </c>
      <c r="G1858" t="str">
        <f>_xlfn.XLOOKUP(A1858, LOCAL!A:A, LOCAL!B:B)</f>
        <v>São Paulo - SP</v>
      </c>
      <c r="H1858" t="str">
        <f>_xlfn.XLOOKUP(A1858, PORTE!A:A, PORTE!B:B)</f>
        <v>11-50</v>
      </c>
      <c r="I1858" t="str">
        <f>_xlfn.XLOOKUP(A1858, OBJETIVO!A:A, OBJETIVO!B:B)</f>
        <v>Geração de leads b2b</v>
      </c>
      <c r="J1858">
        <f t="shared" si="28"/>
        <v>0</v>
      </c>
    </row>
    <row r="1859" spans="1:10" x14ac:dyDescent="0.25">
      <c r="A1859">
        <v>10665604</v>
      </c>
      <c r="B1859" s="1">
        <v>45635.495613425926</v>
      </c>
      <c r="C1859" t="s">
        <v>0</v>
      </c>
      <c r="D1859" t="str">
        <f>VLOOKUP(A1859,MERCADO!A:B,2,0)</f>
        <v>Tecnologia</v>
      </c>
      <c r="E1859" t="str">
        <f>_xlfn.XLOOKUP(A1859, ORIGEM!A:A, ORIGEM!B:B)</f>
        <v>Orgânico</v>
      </c>
      <c r="F1859">
        <f>_xlfn.XLOOKUP(A1859, ORIGEM!A:A, ORIGEM!C:C)</f>
        <v>0</v>
      </c>
      <c r="G1859" t="str">
        <f>_xlfn.XLOOKUP(A1859, LOCAL!A:A, LOCAL!B:B)</f>
        <v>Rio de Janeiro - RJ</v>
      </c>
      <c r="H1859" t="str">
        <f>_xlfn.XLOOKUP(A1859, PORTE!A:A, PORTE!B:B)</f>
        <v>11-50</v>
      </c>
      <c r="I1859" t="str">
        <f>_xlfn.XLOOKUP(A1859, OBJETIVO!A:A, OBJETIVO!B:B)</f>
        <v>Outro</v>
      </c>
      <c r="J1859">
        <f t="shared" ref="J1859:J1922" si="29">IF(C1859="SIM",1,0)</f>
        <v>0</v>
      </c>
    </row>
    <row r="1860" spans="1:10" x14ac:dyDescent="0.25">
      <c r="A1860">
        <v>10683933</v>
      </c>
      <c r="B1860" s="1">
        <v>45636.566689814812</v>
      </c>
      <c r="C1860" t="s">
        <v>0</v>
      </c>
      <c r="D1860" t="str">
        <f>VLOOKUP(A1860,MERCADO!A:B,2,0)</f>
        <v>Tecnologia</v>
      </c>
      <c r="E1860" t="str">
        <f>_xlfn.XLOOKUP(A1860, ORIGEM!A:A, ORIGEM!B:B)</f>
        <v>Orgânico</v>
      </c>
      <c r="F1860">
        <f>_xlfn.XLOOKUP(A1860, ORIGEM!A:A, ORIGEM!C:C)</f>
        <v>0</v>
      </c>
      <c r="G1860" t="str">
        <f>_xlfn.XLOOKUP(A1860, LOCAL!A:A, LOCAL!B:B)</f>
        <v>Xanxere - SC</v>
      </c>
      <c r="H1860" t="str">
        <f>_xlfn.XLOOKUP(A1860, PORTE!A:A, PORTE!B:B)</f>
        <v>0</v>
      </c>
      <c r="I1860" t="str">
        <f>_xlfn.XLOOKUP(A1860, OBJETIVO!A:A, OBJETIVO!B:B)</f>
        <v>Geração de leads b2b</v>
      </c>
      <c r="J1860">
        <f t="shared" si="29"/>
        <v>0</v>
      </c>
    </row>
    <row r="1861" spans="1:10" x14ac:dyDescent="0.25">
      <c r="A1861">
        <v>10691252</v>
      </c>
      <c r="B1861" s="1">
        <v>45636.896793981483</v>
      </c>
      <c r="C1861" t="s">
        <v>0</v>
      </c>
      <c r="D1861" t="str">
        <f>VLOOKUP(A1861,MERCADO!A:B,2,0)</f>
        <v>Tecnologia</v>
      </c>
      <c r="E1861" t="str">
        <f>_xlfn.XLOOKUP(A1861, ORIGEM!A:A, ORIGEM!B:B)</f>
        <v>Orgânico</v>
      </c>
      <c r="F1861">
        <f>_xlfn.XLOOKUP(A1861, ORIGEM!A:A, ORIGEM!C:C)</f>
        <v>0</v>
      </c>
      <c r="G1861" t="str">
        <f>_xlfn.XLOOKUP(A1861, LOCAL!A:A, LOCAL!B:B)</f>
        <v>Águas Lindas - PA</v>
      </c>
      <c r="H1861" t="str">
        <f>_xlfn.XLOOKUP(A1861, PORTE!A:A, PORTE!B:B)</f>
        <v>1-10</v>
      </c>
      <c r="I1861" t="str">
        <f>_xlfn.XLOOKUP(A1861, OBJETIVO!A:A, OBJETIVO!B:B)</f>
        <v>Planejamento estratégico</v>
      </c>
      <c r="J1861">
        <f t="shared" si="29"/>
        <v>0</v>
      </c>
    </row>
    <row r="1862" spans="1:10" x14ac:dyDescent="0.25">
      <c r="A1862">
        <v>11666771</v>
      </c>
      <c r="B1862" s="1">
        <v>45733.383298611108</v>
      </c>
      <c r="C1862" t="s">
        <v>0</v>
      </c>
      <c r="D1862" t="str">
        <f>VLOOKUP(A1862,MERCADO!A:B,2,0)</f>
        <v>Tecnologia</v>
      </c>
      <c r="E1862" t="str">
        <f>_xlfn.XLOOKUP(A1862, ORIGEM!A:A, ORIGEM!B:B)</f>
        <v>Google</v>
      </c>
      <c r="F1862" t="str">
        <f>_xlfn.XLOOKUP(A1862, ORIGEM!A:A, ORIGEM!C:C)</f>
        <v>google - cpc</v>
      </c>
      <c r="G1862" t="str">
        <f>_xlfn.XLOOKUP(A1862, LOCAL!A:A, LOCAL!B:B)</f>
        <v>Fazenda Rio Grande - PR</v>
      </c>
      <c r="H1862" t="str">
        <f>_xlfn.XLOOKUP(A1862, PORTE!A:A, PORTE!B:B)</f>
        <v>1-10</v>
      </c>
      <c r="I1862" t="str">
        <f>_xlfn.XLOOKUP(A1862, OBJETIVO!A:A, OBJETIVO!B:B)</f>
        <v>Ações de marketing/vendas</v>
      </c>
      <c r="J1862">
        <f t="shared" si="29"/>
        <v>0</v>
      </c>
    </row>
    <row r="1863" spans="1:10" x14ac:dyDescent="0.25">
      <c r="A1863">
        <v>11645536</v>
      </c>
      <c r="B1863" s="1">
        <v>45731.670243055552</v>
      </c>
      <c r="C1863" t="s">
        <v>0</v>
      </c>
      <c r="D1863" t="str">
        <f>VLOOKUP(A1863,MERCADO!A:B,2,0)</f>
        <v>Tecnologia</v>
      </c>
      <c r="E1863" t="str">
        <f>_xlfn.XLOOKUP(A1863, ORIGEM!A:A, ORIGEM!B:B)</f>
        <v>Google</v>
      </c>
      <c r="F1863" t="str">
        <f>_xlfn.XLOOKUP(A1863, ORIGEM!A:A, ORIGEM!C:C)</f>
        <v>google - cpc</v>
      </c>
      <c r="G1863" t="str">
        <f>_xlfn.XLOOKUP(A1863, LOCAL!A:A, LOCAL!B:B)</f>
        <v>Sorocaba - SP</v>
      </c>
      <c r="H1863" t="str">
        <f>_xlfn.XLOOKUP(A1863, PORTE!A:A, PORTE!B:B)</f>
        <v>11-50</v>
      </c>
      <c r="I1863" t="str">
        <f>_xlfn.XLOOKUP(A1863, OBJETIVO!A:A, OBJETIVO!B:B)</f>
        <v>Abertura/Expansão</v>
      </c>
      <c r="J1863">
        <f t="shared" si="29"/>
        <v>0</v>
      </c>
    </row>
    <row r="1864" spans="1:10" x14ac:dyDescent="0.25">
      <c r="A1864">
        <v>11720335</v>
      </c>
      <c r="B1864" s="1">
        <v>45738.628472222219</v>
      </c>
      <c r="C1864" t="s">
        <v>0</v>
      </c>
      <c r="D1864" t="str">
        <f>VLOOKUP(A1864,MERCADO!A:B,2,0)</f>
        <v>Tecnologia</v>
      </c>
      <c r="E1864" t="str">
        <f>_xlfn.XLOOKUP(A1864, ORIGEM!A:A, ORIGEM!B:B)</f>
        <v>Google</v>
      </c>
      <c r="F1864" t="str">
        <f>_xlfn.XLOOKUP(A1864, ORIGEM!A:A, ORIGEM!C:C)</f>
        <v>google - cpc</v>
      </c>
      <c r="G1864" t="str">
        <f>_xlfn.XLOOKUP(A1864, LOCAL!A:A, LOCAL!B:B)</f>
        <v>Curitiba - PR</v>
      </c>
      <c r="H1864" t="str">
        <f>_xlfn.XLOOKUP(A1864, PORTE!A:A, PORTE!B:B)</f>
        <v>0</v>
      </c>
      <c r="I1864" t="str">
        <f>_xlfn.XLOOKUP(A1864, OBJETIVO!A:A, OBJETIVO!B:B)</f>
        <v>Abertura/Expansão</v>
      </c>
      <c r="J1864">
        <f t="shared" si="29"/>
        <v>0</v>
      </c>
    </row>
    <row r="1865" spans="1:10" x14ac:dyDescent="0.25">
      <c r="A1865">
        <v>10835878</v>
      </c>
      <c r="B1865" s="1">
        <v>45656.374930555554</v>
      </c>
      <c r="C1865" t="s">
        <v>0</v>
      </c>
      <c r="D1865" t="str">
        <f>VLOOKUP(A1865,MERCADO!A:B,2,0)</f>
        <v>Tecnologia</v>
      </c>
      <c r="E1865" t="str">
        <f>_xlfn.XLOOKUP(A1865, ORIGEM!A:A, ORIGEM!B:B)</f>
        <v>Google</v>
      </c>
      <c r="F1865" t="str">
        <f>_xlfn.XLOOKUP(A1865, ORIGEM!A:A, ORIGEM!C:C)</f>
        <v>google - cpc</v>
      </c>
      <c r="G1865" t="str">
        <f>_xlfn.XLOOKUP(A1865, LOCAL!A:A, LOCAL!B:B)</f>
        <v>Brasília - DF</v>
      </c>
      <c r="H1865" t="str">
        <f>_xlfn.XLOOKUP(A1865, PORTE!A:A, PORTE!B:B)</f>
        <v>301-1000</v>
      </c>
      <c r="I1865" t="str">
        <f>_xlfn.XLOOKUP(A1865, OBJETIVO!A:A, OBJETIVO!B:B)</f>
        <v>Abertura/Expansão</v>
      </c>
      <c r="J1865">
        <f t="shared" si="29"/>
        <v>0</v>
      </c>
    </row>
    <row r="1866" spans="1:10" x14ac:dyDescent="0.25">
      <c r="A1866">
        <v>10772027</v>
      </c>
      <c r="B1866" s="1">
        <v>45644.475648148145</v>
      </c>
      <c r="C1866" t="s">
        <v>0</v>
      </c>
      <c r="D1866" t="str">
        <f>VLOOKUP(A1866,MERCADO!A:B,2,0)</f>
        <v>Tecnologia</v>
      </c>
      <c r="E1866" t="str">
        <f>_xlfn.XLOOKUP(A1866, ORIGEM!A:A, ORIGEM!B:B)</f>
        <v>Google</v>
      </c>
      <c r="F1866" t="str">
        <f>_xlfn.XLOOKUP(A1866, ORIGEM!A:A, ORIGEM!C:C)</f>
        <v>google - cpc</v>
      </c>
      <c r="G1866" t="str">
        <f>_xlfn.XLOOKUP(A1866, LOCAL!A:A, LOCAL!B:B)</f>
        <v>Niterói - RJ</v>
      </c>
      <c r="H1866" t="str">
        <f>_xlfn.XLOOKUP(A1866, PORTE!A:A, PORTE!B:B)</f>
        <v>1-10</v>
      </c>
      <c r="I1866" t="str">
        <f>_xlfn.XLOOKUP(A1866, OBJETIVO!A:A, OBJETIVO!B:B)</f>
        <v>Geração de leads b2b</v>
      </c>
      <c r="J1866">
        <f t="shared" si="29"/>
        <v>0</v>
      </c>
    </row>
    <row r="1867" spans="1:10" x14ac:dyDescent="0.25">
      <c r="A1867">
        <v>10881810</v>
      </c>
      <c r="B1867" s="1">
        <v>45663.083391203705</v>
      </c>
      <c r="C1867" t="s">
        <v>0</v>
      </c>
      <c r="D1867" t="str">
        <f>VLOOKUP(A1867,MERCADO!A:B,2,0)</f>
        <v>Tecnologia</v>
      </c>
      <c r="E1867" t="str">
        <f>_xlfn.XLOOKUP(A1867, ORIGEM!A:A, ORIGEM!B:B)</f>
        <v>Google</v>
      </c>
      <c r="F1867" t="str">
        <f>_xlfn.XLOOKUP(A1867, ORIGEM!A:A, ORIGEM!C:C)</f>
        <v>google - cpc</v>
      </c>
      <c r="G1867" t="str">
        <f>_xlfn.XLOOKUP(A1867, LOCAL!A:A, LOCAL!B:B)</f>
        <v>São Bernardo do Campo - SP</v>
      </c>
      <c r="H1867" t="str">
        <f>_xlfn.XLOOKUP(A1867, PORTE!A:A, PORTE!B:B)</f>
        <v>51-300</v>
      </c>
      <c r="I1867" t="str">
        <f>_xlfn.XLOOKUP(A1867, OBJETIVO!A:A, OBJETIVO!B:B)</f>
        <v>Geração de leads b2b</v>
      </c>
      <c r="J1867">
        <f t="shared" si="29"/>
        <v>0</v>
      </c>
    </row>
    <row r="1868" spans="1:10" x14ac:dyDescent="0.25">
      <c r="A1868">
        <v>10881351</v>
      </c>
      <c r="B1868" s="1">
        <v>45662.889965277776</v>
      </c>
      <c r="C1868" t="s">
        <v>0</v>
      </c>
      <c r="D1868" t="str">
        <f>VLOOKUP(A1868,MERCADO!A:B,2,0)</f>
        <v>Tecnologia</v>
      </c>
      <c r="E1868" t="str">
        <f>_xlfn.XLOOKUP(A1868, ORIGEM!A:A, ORIGEM!B:B)</f>
        <v>Google</v>
      </c>
      <c r="F1868" t="str">
        <f>_xlfn.XLOOKUP(A1868, ORIGEM!A:A, ORIGEM!C:C)</f>
        <v>google - cpc</v>
      </c>
      <c r="G1868" t="str">
        <f>_xlfn.XLOOKUP(A1868, LOCAL!A:A, LOCAL!B:B)</f>
        <v>Belo Horizonte - MG</v>
      </c>
      <c r="H1868" t="str">
        <f>_xlfn.XLOOKUP(A1868, PORTE!A:A, PORTE!B:B)</f>
        <v>1-10</v>
      </c>
      <c r="I1868" t="str">
        <f>_xlfn.XLOOKUP(A1868, OBJETIVO!A:A, OBJETIVO!B:B)</f>
        <v>Abertura/Expansão</v>
      </c>
      <c r="J1868">
        <f t="shared" si="29"/>
        <v>0</v>
      </c>
    </row>
    <row r="1869" spans="1:10" x14ac:dyDescent="0.25">
      <c r="A1869">
        <v>10939911</v>
      </c>
      <c r="B1869" s="1">
        <v>45669.354756944442</v>
      </c>
      <c r="C1869" t="s">
        <v>0</v>
      </c>
      <c r="D1869" t="str">
        <f>VLOOKUP(A1869,MERCADO!A:B,2,0)</f>
        <v>Tecnologia</v>
      </c>
      <c r="E1869" t="str">
        <f>_xlfn.XLOOKUP(A1869, ORIGEM!A:A, ORIGEM!B:B)</f>
        <v>Google</v>
      </c>
      <c r="F1869" t="str">
        <f>_xlfn.XLOOKUP(A1869, ORIGEM!A:A, ORIGEM!C:C)</f>
        <v>google - cpc</v>
      </c>
      <c r="G1869" t="str">
        <f>_xlfn.XLOOKUP(A1869, LOCAL!A:A, LOCAL!B:B)</f>
        <v>Joinville - SC</v>
      </c>
      <c r="H1869" t="str">
        <f>_xlfn.XLOOKUP(A1869, PORTE!A:A, PORTE!B:B)</f>
        <v>11-50</v>
      </c>
      <c r="I1869" t="str">
        <f>_xlfn.XLOOKUP(A1869, OBJETIVO!A:A, OBJETIVO!B:B)</f>
        <v>Geração de leads b2b</v>
      </c>
      <c r="J1869">
        <f t="shared" si="29"/>
        <v>0</v>
      </c>
    </row>
    <row r="1870" spans="1:10" x14ac:dyDescent="0.25">
      <c r="A1870">
        <v>11343133</v>
      </c>
      <c r="B1870" s="1">
        <v>45700.868750000001</v>
      </c>
      <c r="C1870" t="s">
        <v>0</v>
      </c>
      <c r="D1870" t="str">
        <f>VLOOKUP(A1870,MERCADO!A:B,2,0)</f>
        <v>Tecnologia</v>
      </c>
      <c r="E1870" t="str">
        <f>_xlfn.XLOOKUP(A1870, ORIGEM!A:A, ORIGEM!B:B)</f>
        <v>Facebook</v>
      </c>
      <c r="F1870" t="str">
        <f>_xlfn.XLOOKUP(A1870, ORIGEM!A:A, ORIGEM!C:C)</f>
        <v>facebook - cpc</v>
      </c>
      <c r="G1870" t="str">
        <f>_xlfn.XLOOKUP(A1870, LOCAL!A:A, LOCAL!B:B)</f>
        <v>Brasília - DF</v>
      </c>
      <c r="H1870" t="str">
        <f>_xlfn.XLOOKUP(A1870, PORTE!A:A, PORTE!B:B)</f>
        <v>1-10</v>
      </c>
      <c r="I1870" t="str">
        <f>_xlfn.XLOOKUP(A1870, OBJETIVO!A:A, OBJETIVO!B:B)</f>
        <v>Geração de leads b2b</v>
      </c>
      <c r="J1870">
        <f t="shared" si="29"/>
        <v>0</v>
      </c>
    </row>
    <row r="1871" spans="1:10" x14ac:dyDescent="0.25">
      <c r="A1871">
        <v>11343431</v>
      </c>
      <c r="B1871" s="1">
        <v>45700.990243055552</v>
      </c>
      <c r="C1871" t="s">
        <v>0</v>
      </c>
      <c r="D1871" t="str">
        <f>VLOOKUP(A1871,MERCADO!A:B,2,0)</f>
        <v>Tecnologia</v>
      </c>
      <c r="E1871" t="str">
        <f>_xlfn.XLOOKUP(A1871, ORIGEM!A:A, ORIGEM!B:B)</f>
        <v>Facebook</v>
      </c>
      <c r="F1871" t="str">
        <f>_xlfn.XLOOKUP(A1871, ORIGEM!A:A, ORIGEM!C:C)</f>
        <v>facebook - cpc</v>
      </c>
      <c r="G1871" t="str">
        <f>_xlfn.XLOOKUP(A1871, LOCAL!A:A, LOCAL!B:B)</f>
        <v>Sao Benedito - CE</v>
      </c>
      <c r="H1871" t="str">
        <f>_xlfn.XLOOKUP(A1871, PORTE!A:A, PORTE!B:B)</f>
        <v>0</v>
      </c>
      <c r="I1871" t="str">
        <f>_xlfn.XLOOKUP(A1871, OBJETIVO!A:A, OBJETIVO!B:B)</f>
        <v>Outro</v>
      </c>
      <c r="J1871">
        <f t="shared" si="29"/>
        <v>0</v>
      </c>
    </row>
    <row r="1872" spans="1:10" x14ac:dyDescent="0.25">
      <c r="A1872">
        <v>11591588</v>
      </c>
      <c r="B1872" s="1">
        <v>45725.746539351851</v>
      </c>
      <c r="C1872" t="s">
        <v>0</v>
      </c>
      <c r="D1872" t="str">
        <f>VLOOKUP(A1872,MERCADO!A:B,2,0)</f>
        <v>Tecnologia</v>
      </c>
      <c r="E1872" t="str">
        <f>_xlfn.XLOOKUP(A1872, ORIGEM!A:A, ORIGEM!B:B)</f>
        <v>Facebook</v>
      </c>
      <c r="F1872" t="str">
        <f>_xlfn.XLOOKUP(A1872, ORIGEM!A:A, ORIGEM!C:C)</f>
        <v>facebook - cpc</v>
      </c>
      <c r="G1872" t="str">
        <f>_xlfn.XLOOKUP(A1872, LOCAL!A:A, LOCAL!B:B)</f>
        <v>Fortaleza - CE</v>
      </c>
      <c r="H1872" t="str">
        <f>_xlfn.XLOOKUP(A1872, PORTE!A:A, PORTE!B:B)</f>
        <v>11-50</v>
      </c>
      <c r="I1872" t="str">
        <f>_xlfn.XLOOKUP(A1872, OBJETIVO!A:A, OBJETIVO!B:B)</f>
        <v>Geração de leads b2b</v>
      </c>
      <c r="J1872">
        <f t="shared" si="29"/>
        <v>0</v>
      </c>
    </row>
    <row r="1873" spans="1:10" x14ac:dyDescent="0.25">
      <c r="A1873">
        <v>11583303</v>
      </c>
      <c r="B1873" s="1">
        <v>45725.472453703704</v>
      </c>
      <c r="C1873" t="s">
        <v>0</v>
      </c>
      <c r="D1873" t="str">
        <f>VLOOKUP(A1873,MERCADO!A:B,2,0)</f>
        <v>Tecnologia</v>
      </c>
      <c r="E1873" t="str">
        <f>_xlfn.XLOOKUP(A1873, ORIGEM!A:A, ORIGEM!B:B)</f>
        <v>Facebook</v>
      </c>
      <c r="F1873" t="str">
        <f>_xlfn.XLOOKUP(A1873, ORIGEM!A:A, ORIGEM!C:C)</f>
        <v>facebook - cpc</v>
      </c>
      <c r="G1873" t="str">
        <f>_xlfn.XLOOKUP(A1873, LOCAL!A:A, LOCAL!B:B)</f>
        <v>Fortaleza - CE</v>
      </c>
      <c r="H1873" t="str">
        <f>_xlfn.XLOOKUP(A1873, PORTE!A:A, PORTE!B:B)</f>
        <v>1-10</v>
      </c>
      <c r="I1873" t="str">
        <f>_xlfn.XLOOKUP(A1873, OBJETIVO!A:A, OBJETIVO!B:B)</f>
        <v>Geração de leads b2b</v>
      </c>
      <c r="J1873">
        <f t="shared" si="29"/>
        <v>0</v>
      </c>
    </row>
    <row r="1874" spans="1:10" x14ac:dyDescent="0.25">
      <c r="A1874">
        <v>11583414</v>
      </c>
      <c r="B1874" s="1">
        <v>45725.478136574071</v>
      </c>
      <c r="C1874" t="s">
        <v>0</v>
      </c>
      <c r="D1874" t="str">
        <f>VLOOKUP(A1874,MERCADO!A:B,2,0)</f>
        <v>Tecnologia</v>
      </c>
      <c r="E1874" t="str">
        <f>_xlfn.XLOOKUP(A1874, ORIGEM!A:A, ORIGEM!B:B)</f>
        <v>Facebook</v>
      </c>
      <c r="F1874" t="str">
        <f>_xlfn.XLOOKUP(A1874, ORIGEM!A:A, ORIGEM!C:C)</f>
        <v>facebook - cpc</v>
      </c>
      <c r="G1874" t="str">
        <f>_xlfn.XLOOKUP(A1874, LOCAL!A:A, LOCAL!B:B)</f>
        <v>Fortaleza - CE</v>
      </c>
      <c r="H1874" t="str">
        <f>_xlfn.XLOOKUP(A1874, PORTE!A:A, PORTE!B:B)</f>
        <v>1-10</v>
      </c>
      <c r="I1874" t="str">
        <f>_xlfn.XLOOKUP(A1874, OBJETIVO!A:A, OBJETIVO!B:B)</f>
        <v>Geração de leads b2b</v>
      </c>
      <c r="J1874">
        <f t="shared" si="29"/>
        <v>0</v>
      </c>
    </row>
    <row r="1875" spans="1:10" x14ac:dyDescent="0.25">
      <c r="A1875">
        <v>11580684</v>
      </c>
      <c r="B1875" s="1">
        <v>45725.393287037034</v>
      </c>
      <c r="C1875" t="s">
        <v>0</v>
      </c>
      <c r="D1875" t="str">
        <f>VLOOKUP(A1875,MERCADO!A:B,2,0)</f>
        <v>Tecnologia</v>
      </c>
      <c r="E1875" t="str">
        <f>_xlfn.XLOOKUP(A1875, ORIGEM!A:A, ORIGEM!B:B)</f>
        <v>Facebook</v>
      </c>
      <c r="F1875" t="str">
        <f>_xlfn.XLOOKUP(A1875, ORIGEM!A:A, ORIGEM!C:C)</f>
        <v>facebook - cpc</v>
      </c>
      <c r="G1875" t="str">
        <f>_xlfn.XLOOKUP(A1875, LOCAL!A:A, LOCAL!B:B)</f>
        <v>Natal - RN</v>
      </c>
      <c r="H1875" t="str">
        <f>_xlfn.XLOOKUP(A1875, PORTE!A:A, PORTE!B:B)</f>
        <v>1-10</v>
      </c>
      <c r="I1875" t="str">
        <f>_xlfn.XLOOKUP(A1875, OBJETIVO!A:A, OBJETIVO!B:B)</f>
        <v>Abertura/Expansão</v>
      </c>
      <c r="J1875">
        <f t="shared" si="29"/>
        <v>0</v>
      </c>
    </row>
    <row r="1876" spans="1:10" x14ac:dyDescent="0.25">
      <c r="A1876">
        <v>11573071</v>
      </c>
      <c r="B1876" s="1">
        <v>45724.665520833332</v>
      </c>
      <c r="C1876" t="s">
        <v>0</v>
      </c>
      <c r="D1876" t="str">
        <f>VLOOKUP(A1876,MERCADO!A:B,2,0)</f>
        <v>Tecnologia</v>
      </c>
      <c r="E1876" t="str">
        <f>_xlfn.XLOOKUP(A1876, ORIGEM!A:A, ORIGEM!B:B)</f>
        <v>Facebook</v>
      </c>
      <c r="F1876" t="str">
        <f>_xlfn.XLOOKUP(A1876, ORIGEM!A:A, ORIGEM!C:C)</f>
        <v>facebook - cpc</v>
      </c>
      <c r="G1876" t="str">
        <f>_xlfn.XLOOKUP(A1876, LOCAL!A:A, LOCAL!B:B)</f>
        <v>Ipatinga - MG</v>
      </c>
      <c r="H1876" t="str">
        <f>_xlfn.XLOOKUP(A1876, PORTE!A:A, PORTE!B:B)</f>
        <v>0</v>
      </c>
      <c r="I1876" t="str">
        <f>_xlfn.XLOOKUP(A1876, OBJETIVO!A:A, OBJETIVO!B:B)</f>
        <v>Outro</v>
      </c>
      <c r="J1876">
        <f t="shared" si="29"/>
        <v>0</v>
      </c>
    </row>
    <row r="1877" spans="1:10" x14ac:dyDescent="0.25">
      <c r="A1877">
        <v>11562193</v>
      </c>
      <c r="B1877" s="1">
        <v>45723.936261574076</v>
      </c>
      <c r="C1877" t="s">
        <v>0</v>
      </c>
      <c r="D1877" t="str">
        <f>VLOOKUP(A1877,MERCADO!A:B,2,0)</f>
        <v>Tecnologia</v>
      </c>
      <c r="E1877" t="str">
        <f>_xlfn.XLOOKUP(A1877, ORIGEM!A:A, ORIGEM!B:B)</f>
        <v>Facebook</v>
      </c>
      <c r="F1877" t="str">
        <f>_xlfn.XLOOKUP(A1877, ORIGEM!A:A, ORIGEM!C:C)</f>
        <v>facebook - cpc</v>
      </c>
      <c r="G1877" t="str">
        <f>_xlfn.XLOOKUP(A1877, LOCAL!A:A, LOCAL!B:B)</f>
        <v>Criciúma - SC</v>
      </c>
      <c r="H1877" t="str">
        <f>_xlfn.XLOOKUP(A1877, PORTE!A:A, PORTE!B:B)</f>
        <v>1-10</v>
      </c>
      <c r="I1877" t="str">
        <f>_xlfn.XLOOKUP(A1877, OBJETIVO!A:A, OBJETIVO!B:B)</f>
        <v>Ações de marketing/vendas</v>
      </c>
      <c r="J1877">
        <f t="shared" si="29"/>
        <v>0</v>
      </c>
    </row>
    <row r="1878" spans="1:10" x14ac:dyDescent="0.25">
      <c r="A1878">
        <v>11559764</v>
      </c>
      <c r="B1878" s="1">
        <v>45722.887662037036</v>
      </c>
      <c r="C1878" t="s">
        <v>0</v>
      </c>
      <c r="D1878" t="str">
        <f>VLOOKUP(A1878,MERCADO!A:B,2,0)</f>
        <v>Tecnologia</v>
      </c>
      <c r="E1878" t="str">
        <f>_xlfn.XLOOKUP(A1878, ORIGEM!A:A, ORIGEM!B:B)</f>
        <v>Facebook</v>
      </c>
      <c r="F1878" t="str">
        <f>_xlfn.XLOOKUP(A1878, ORIGEM!A:A, ORIGEM!C:C)</f>
        <v>facebook - cpc</v>
      </c>
      <c r="G1878" t="str">
        <f>_xlfn.XLOOKUP(A1878, LOCAL!A:A, LOCAL!B:B)</f>
        <v>Araguaína - TO</v>
      </c>
      <c r="H1878" t="str">
        <f>_xlfn.XLOOKUP(A1878, PORTE!A:A, PORTE!B:B)</f>
        <v>0</v>
      </c>
      <c r="I1878" t="str">
        <f>_xlfn.XLOOKUP(A1878, OBJETIVO!A:A, OBJETIVO!B:B)</f>
        <v>Ações de marketing/vendas</v>
      </c>
      <c r="J1878">
        <f t="shared" si="29"/>
        <v>0</v>
      </c>
    </row>
    <row r="1879" spans="1:10" x14ac:dyDescent="0.25">
      <c r="A1879">
        <v>11559071</v>
      </c>
      <c r="B1879" s="1">
        <v>45722.587418981479</v>
      </c>
      <c r="C1879" t="s">
        <v>0</v>
      </c>
      <c r="D1879" t="str">
        <f>VLOOKUP(A1879,MERCADO!A:B,2,0)</f>
        <v>Tecnologia</v>
      </c>
      <c r="E1879" t="str">
        <f>_xlfn.XLOOKUP(A1879, ORIGEM!A:A, ORIGEM!B:B)</f>
        <v>Facebook</v>
      </c>
      <c r="F1879" t="str">
        <f>_xlfn.XLOOKUP(A1879, ORIGEM!A:A, ORIGEM!C:C)</f>
        <v>facebook - cpc</v>
      </c>
      <c r="G1879" t="str">
        <f>_xlfn.XLOOKUP(A1879, LOCAL!A:A, LOCAL!B:B)</f>
        <v>São Luís - MA</v>
      </c>
      <c r="H1879" t="str">
        <f>_xlfn.XLOOKUP(A1879, PORTE!A:A, PORTE!B:B)</f>
        <v>1-10</v>
      </c>
      <c r="I1879" t="str">
        <f>_xlfn.XLOOKUP(A1879, OBJETIVO!A:A, OBJETIVO!B:B)</f>
        <v>Abertura/Expansão</v>
      </c>
      <c r="J1879">
        <f t="shared" si="29"/>
        <v>0</v>
      </c>
    </row>
    <row r="1880" spans="1:10" x14ac:dyDescent="0.25">
      <c r="A1880">
        <v>11559274</v>
      </c>
      <c r="B1880" s="1">
        <v>45722.688101851854</v>
      </c>
      <c r="C1880" t="s">
        <v>0</v>
      </c>
      <c r="D1880" t="str">
        <f>VLOOKUP(A1880,MERCADO!A:B,2,0)</f>
        <v>Tecnologia</v>
      </c>
      <c r="E1880" t="str">
        <f>_xlfn.XLOOKUP(A1880, ORIGEM!A:A, ORIGEM!B:B)</f>
        <v>Facebook</v>
      </c>
      <c r="F1880" t="str">
        <f>_xlfn.XLOOKUP(A1880, ORIGEM!A:A, ORIGEM!C:C)</f>
        <v>facebook - cpc</v>
      </c>
      <c r="G1880" t="str">
        <f>_xlfn.XLOOKUP(A1880, LOCAL!A:A, LOCAL!B:B)</f>
        <v>Pirapora - MG</v>
      </c>
      <c r="H1880" t="str">
        <f>_xlfn.XLOOKUP(A1880, PORTE!A:A, PORTE!B:B)</f>
        <v>0</v>
      </c>
      <c r="I1880" t="str">
        <f>_xlfn.XLOOKUP(A1880, OBJETIVO!A:A, OBJETIVO!B:B)</f>
        <v>Abertura/Expansão</v>
      </c>
      <c r="J1880">
        <f t="shared" si="29"/>
        <v>0</v>
      </c>
    </row>
    <row r="1881" spans="1:10" x14ac:dyDescent="0.25">
      <c r="A1881">
        <v>11543592</v>
      </c>
      <c r="B1881" s="1">
        <v>45720.951921296299</v>
      </c>
      <c r="C1881" t="s">
        <v>0</v>
      </c>
      <c r="D1881" t="str">
        <f>VLOOKUP(A1881,MERCADO!A:B,2,0)</f>
        <v>Tecnologia</v>
      </c>
      <c r="E1881" t="str">
        <f>_xlfn.XLOOKUP(A1881, ORIGEM!A:A, ORIGEM!B:B)</f>
        <v>Facebook</v>
      </c>
      <c r="F1881" t="str">
        <f>_xlfn.XLOOKUP(A1881, ORIGEM!A:A, ORIGEM!C:C)</f>
        <v>facebook - cpc</v>
      </c>
      <c r="G1881" t="str">
        <f>_xlfn.XLOOKUP(A1881, LOCAL!A:A, LOCAL!B:B)</f>
        <v>Blumenau - SC</v>
      </c>
      <c r="H1881" t="str">
        <f>_xlfn.XLOOKUP(A1881, PORTE!A:A, PORTE!B:B)</f>
        <v>11-50</v>
      </c>
      <c r="I1881" t="str">
        <f>_xlfn.XLOOKUP(A1881, OBJETIVO!A:A, OBJETIVO!B:B)</f>
        <v>Consultoria</v>
      </c>
      <c r="J1881">
        <f t="shared" si="29"/>
        <v>0</v>
      </c>
    </row>
    <row r="1882" spans="1:10" x14ac:dyDescent="0.25">
      <c r="A1882">
        <v>11543936</v>
      </c>
      <c r="B1882" s="1">
        <v>45721.121701388889</v>
      </c>
      <c r="C1882" t="s">
        <v>0</v>
      </c>
      <c r="D1882" t="str">
        <f>VLOOKUP(A1882,MERCADO!A:B,2,0)</f>
        <v>Tecnologia</v>
      </c>
      <c r="E1882" t="str">
        <f>_xlfn.XLOOKUP(A1882, ORIGEM!A:A, ORIGEM!B:B)</f>
        <v>Facebook</v>
      </c>
      <c r="F1882" t="str">
        <f>_xlfn.XLOOKUP(A1882, ORIGEM!A:A, ORIGEM!C:C)</f>
        <v>facebook - cpc</v>
      </c>
      <c r="G1882" t="str">
        <f>_xlfn.XLOOKUP(A1882, LOCAL!A:A, LOCAL!B:B)</f>
        <v>Belém - PA</v>
      </c>
      <c r="H1882" t="str">
        <f>_xlfn.XLOOKUP(A1882, PORTE!A:A, PORTE!B:B)</f>
        <v>1-10</v>
      </c>
      <c r="I1882" t="str">
        <f>_xlfn.XLOOKUP(A1882, OBJETIVO!A:A, OBJETIVO!B:B)</f>
        <v>Planejamento estratégico</v>
      </c>
      <c r="J1882">
        <f t="shared" si="29"/>
        <v>0</v>
      </c>
    </row>
    <row r="1883" spans="1:10" x14ac:dyDescent="0.25">
      <c r="A1883">
        <v>11634608</v>
      </c>
      <c r="B1883" s="1">
        <v>45730.588738425926</v>
      </c>
      <c r="C1883" t="s">
        <v>0</v>
      </c>
      <c r="D1883" t="str">
        <f>VLOOKUP(A1883,MERCADO!A:B,2,0)</f>
        <v>Tecnologia</v>
      </c>
      <c r="E1883" t="str">
        <f>_xlfn.XLOOKUP(A1883, ORIGEM!A:A, ORIGEM!B:B)</f>
        <v>Facebook</v>
      </c>
      <c r="F1883" t="str">
        <f>_xlfn.XLOOKUP(A1883, ORIGEM!A:A, ORIGEM!C:C)</f>
        <v>facebook - cpc</v>
      </c>
      <c r="G1883" t="str">
        <f>_xlfn.XLOOKUP(A1883, LOCAL!A:A, LOCAL!B:B)</f>
        <v>Santo André - SP</v>
      </c>
      <c r="H1883" t="str">
        <f>_xlfn.XLOOKUP(A1883, PORTE!A:A, PORTE!B:B)</f>
        <v>11-50</v>
      </c>
      <c r="I1883" t="str">
        <f>_xlfn.XLOOKUP(A1883, OBJETIVO!A:A, OBJETIVO!B:B)</f>
        <v>Geração de leads b2b</v>
      </c>
      <c r="J1883">
        <f t="shared" si="29"/>
        <v>0</v>
      </c>
    </row>
    <row r="1884" spans="1:10" x14ac:dyDescent="0.25">
      <c r="A1884">
        <v>11617765</v>
      </c>
      <c r="B1884" s="1">
        <v>45727.958692129629</v>
      </c>
      <c r="C1884" t="s">
        <v>0</v>
      </c>
      <c r="D1884" t="str">
        <f>VLOOKUP(A1884,MERCADO!A:B,2,0)</f>
        <v>Tecnologia</v>
      </c>
      <c r="E1884" t="str">
        <f>_xlfn.XLOOKUP(A1884, ORIGEM!A:A, ORIGEM!B:B)</f>
        <v>Facebook</v>
      </c>
      <c r="F1884" t="str">
        <f>_xlfn.XLOOKUP(A1884, ORIGEM!A:A, ORIGEM!C:C)</f>
        <v>facebook - cpc</v>
      </c>
      <c r="G1884" t="str">
        <f>_xlfn.XLOOKUP(A1884, LOCAL!A:A, LOCAL!B:B)</f>
        <v>Belo Horizonte - MG</v>
      </c>
      <c r="H1884" t="str">
        <f>_xlfn.XLOOKUP(A1884, PORTE!A:A, PORTE!B:B)</f>
        <v>11-50</v>
      </c>
      <c r="I1884" t="str">
        <f>_xlfn.XLOOKUP(A1884, OBJETIVO!A:A, OBJETIVO!B:B)</f>
        <v>Outro</v>
      </c>
      <c r="J1884">
        <f t="shared" si="29"/>
        <v>0</v>
      </c>
    </row>
    <row r="1885" spans="1:10" x14ac:dyDescent="0.25">
      <c r="A1885">
        <v>11971744</v>
      </c>
      <c r="B1885" s="1">
        <v>45760.683240740742</v>
      </c>
      <c r="C1885" t="s">
        <v>0</v>
      </c>
      <c r="D1885" t="str">
        <f>VLOOKUP(A1885,MERCADO!A:B,2,0)</f>
        <v>Tecnologia</v>
      </c>
      <c r="E1885" t="str">
        <f>_xlfn.XLOOKUP(A1885, ORIGEM!A:A, ORIGEM!B:B)</f>
        <v>email</v>
      </c>
      <c r="F1885">
        <f>_xlfn.XLOOKUP(A1885, ORIGEM!A:A, ORIGEM!C:C)</f>
        <v>0</v>
      </c>
      <c r="G1885" t="str">
        <f>_xlfn.XLOOKUP(A1885, LOCAL!A:A, LOCAL!B:B)</f>
        <v>Macaé - RJ</v>
      </c>
      <c r="H1885" t="str">
        <f>_xlfn.XLOOKUP(A1885, PORTE!A:A, PORTE!B:B)</f>
        <v>11-50</v>
      </c>
      <c r="I1885" t="str">
        <f>_xlfn.XLOOKUP(A1885, OBJETIVO!A:A, OBJETIVO!B:B)</f>
        <v>Planejamento estratégico</v>
      </c>
      <c r="J1885">
        <f t="shared" si="29"/>
        <v>0</v>
      </c>
    </row>
    <row r="1886" spans="1:10" x14ac:dyDescent="0.25">
      <c r="A1886">
        <v>11208915</v>
      </c>
      <c r="B1886" s="1">
        <v>45689.629467592589</v>
      </c>
      <c r="C1886" t="s">
        <v>0</v>
      </c>
      <c r="D1886" t="str">
        <f>VLOOKUP(A1886,MERCADO!A:B,2,0)</f>
        <v>Tecnologia</v>
      </c>
      <c r="E1886" t="str">
        <f>_xlfn.XLOOKUP(A1886, ORIGEM!A:A, ORIGEM!B:B)</f>
        <v>Orgânico</v>
      </c>
      <c r="F1886">
        <f>_xlfn.XLOOKUP(A1886, ORIGEM!A:A, ORIGEM!C:C)</f>
        <v>0</v>
      </c>
      <c r="G1886" t="str">
        <f>_xlfn.XLOOKUP(A1886, LOCAL!A:A, LOCAL!B:B)</f>
        <v>São Paulo - SP</v>
      </c>
      <c r="H1886" t="str">
        <f>_xlfn.XLOOKUP(A1886, PORTE!A:A, PORTE!B:B)</f>
        <v>1-10</v>
      </c>
      <c r="I1886" t="str">
        <f>_xlfn.XLOOKUP(A1886, OBJETIVO!A:A, OBJETIVO!B:B)</f>
        <v>Ações de marketing/vendas</v>
      </c>
      <c r="J1886">
        <f t="shared" si="29"/>
        <v>0</v>
      </c>
    </row>
    <row r="1887" spans="1:10" x14ac:dyDescent="0.25">
      <c r="A1887">
        <v>11448783</v>
      </c>
      <c r="B1887" s="1">
        <v>45712.610671296294</v>
      </c>
      <c r="C1887" t="s">
        <v>0</v>
      </c>
      <c r="D1887" t="str">
        <f>VLOOKUP(A1887,MERCADO!A:B,2,0)</f>
        <v>Tecnologia</v>
      </c>
      <c r="E1887" t="str">
        <f>_xlfn.XLOOKUP(A1887, ORIGEM!A:A, ORIGEM!B:B)</f>
        <v>Orgânico</v>
      </c>
      <c r="F1887">
        <f>_xlfn.XLOOKUP(A1887, ORIGEM!A:A, ORIGEM!C:C)</f>
        <v>0</v>
      </c>
      <c r="G1887" t="str">
        <f>_xlfn.XLOOKUP(A1887, LOCAL!A:A, LOCAL!B:B)</f>
        <v>Chapecó - SC</v>
      </c>
      <c r="H1887" t="str">
        <f>_xlfn.XLOOKUP(A1887, PORTE!A:A, PORTE!B:B)</f>
        <v>51-300</v>
      </c>
      <c r="I1887" t="str">
        <f>_xlfn.XLOOKUP(A1887, OBJETIVO!A:A, OBJETIVO!B:B)</f>
        <v>Ações de marketing/vendas</v>
      </c>
      <c r="J1887">
        <f t="shared" si="29"/>
        <v>0</v>
      </c>
    </row>
    <row r="1888" spans="1:10" x14ac:dyDescent="0.25">
      <c r="A1888">
        <v>11454009</v>
      </c>
      <c r="B1888" s="1">
        <v>45712.965798611112</v>
      </c>
      <c r="C1888" t="s">
        <v>0</v>
      </c>
      <c r="D1888" t="str">
        <f>VLOOKUP(A1888,MERCADO!A:B,2,0)</f>
        <v>Tecnologia</v>
      </c>
      <c r="E1888" t="str">
        <f>_xlfn.XLOOKUP(A1888, ORIGEM!A:A, ORIGEM!B:B)</f>
        <v>Orgânico</v>
      </c>
      <c r="F1888">
        <f>_xlfn.XLOOKUP(A1888, ORIGEM!A:A, ORIGEM!C:C)</f>
        <v>0</v>
      </c>
      <c r="G1888" t="str">
        <f>_xlfn.XLOOKUP(A1888, LOCAL!A:A, LOCAL!B:B)</f>
        <v>Macaé - RJ</v>
      </c>
      <c r="H1888" t="str">
        <f>_xlfn.XLOOKUP(A1888, PORTE!A:A, PORTE!B:B)</f>
        <v>1-10</v>
      </c>
      <c r="I1888" t="str">
        <f>_xlfn.XLOOKUP(A1888, OBJETIVO!A:A, OBJETIVO!B:B)</f>
        <v>Abertura/Expansão</v>
      </c>
      <c r="J1888">
        <f t="shared" si="29"/>
        <v>0</v>
      </c>
    </row>
    <row r="1889" spans="1:10" x14ac:dyDescent="0.25">
      <c r="A1889">
        <v>10930465</v>
      </c>
      <c r="B1889" s="1">
        <v>45668.479571759257</v>
      </c>
      <c r="C1889" t="s">
        <v>0</v>
      </c>
      <c r="D1889" t="str">
        <f>VLOOKUP(A1889,MERCADO!A:B,2,0)</f>
        <v>Tecnologia</v>
      </c>
      <c r="E1889" t="str">
        <f>_xlfn.XLOOKUP(A1889, ORIGEM!A:A, ORIGEM!B:B)</f>
        <v>Orgânico</v>
      </c>
      <c r="F1889">
        <f>_xlfn.XLOOKUP(A1889, ORIGEM!A:A, ORIGEM!C:C)</f>
        <v>0</v>
      </c>
      <c r="G1889" t="str">
        <f>_xlfn.XLOOKUP(A1889, LOCAL!A:A, LOCAL!B:B)</f>
        <v>São Paulo - SP</v>
      </c>
      <c r="H1889" t="str">
        <f>_xlfn.XLOOKUP(A1889, PORTE!A:A, PORTE!B:B)</f>
        <v>0</v>
      </c>
      <c r="I1889" t="str">
        <f>_xlfn.XLOOKUP(A1889, OBJETIVO!A:A, OBJETIVO!B:B)</f>
        <v>Consultoria</v>
      </c>
      <c r="J1889">
        <f t="shared" si="29"/>
        <v>0</v>
      </c>
    </row>
    <row r="1890" spans="1:10" x14ac:dyDescent="0.25">
      <c r="A1890">
        <v>11538865</v>
      </c>
      <c r="B1890" s="1">
        <v>45720.657361111109</v>
      </c>
      <c r="C1890" t="s">
        <v>0</v>
      </c>
      <c r="D1890" t="str">
        <f>VLOOKUP(A1890,MERCADO!A:B,2,0)</f>
        <v>Tecnologia</v>
      </c>
      <c r="E1890" t="str">
        <f>_xlfn.XLOOKUP(A1890, ORIGEM!A:A, ORIGEM!B:B)</f>
        <v>Orgânico</v>
      </c>
      <c r="F1890">
        <f>_xlfn.XLOOKUP(A1890, ORIGEM!A:A, ORIGEM!C:C)</f>
        <v>0</v>
      </c>
      <c r="G1890" t="str">
        <f>_xlfn.XLOOKUP(A1890, LOCAL!A:A, LOCAL!B:B)</f>
        <v>Joinville - SC</v>
      </c>
      <c r="H1890" t="str">
        <f>_xlfn.XLOOKUP(A1890, PORTE!A:A, PORTE!B:B)</f>
        <v>1-10</v>
      </c>
      <c r="I1890" t="str">
        <f>_xlfn.XLOOKUP(A1890, OBJETIVO!A:A, OBJETIVO!B:B)</f>
        <v>Abertura/Expansão</v>
      </c>
      <c r="J1890">
        <f t="shared" si="29"/>
        <v>0</v>
      </c>
    </row>
    <row r="1891" spans="1:10" x14ac:dyDescent="0.25">
      <c r="A1891">
        <v>11116788</v>
      </c>
      <c r="B1891" s="1">
        <v>45683.448275462964</v>
      </c>
      <c r="C1891" t="s">
        <v>0</v>
      </c>
      <c r="D1891" t="str">
        <f>VLOOKUP(A1891,MERCADO!A:B,2,0)</f>
        <v>Servicos</v>
      </c>
      <c r="E1891" t="str">
        <f>_xlfn.XLOOKUP(A1891, ORIGEM!A:A, ORIGEM!B:B)</f>
        <v>Orgânico</v>
      </c>
      <c r="F1891">
        <f>_xlfn.XLOOKUP(A1891, ORIGEM!A:A, ORIGEM!C:C)</f>
        <v>0</v>
      </c>
      <c r="G1891" t="str">
        <f>_xlfn.XLOOKUP(A1891, LOCAL!A:A, LOCAL!B:B)</f>
        <v>Santarém - PA</v>
      </c>
      <c r="H1891" t="str">
        <f>_xlfn.XLOOKUP(A1891, PORTE!A:A, PORTE!B:B)</f>
        <v>11-50</v>
      </c>
      <c r="I1891" t="str">
        <f>_xlfn.XLOOKUP(A1891, OBJETIVO!A:A, OBJETIVO!B:B)</f>
        <v>Planejamento estratégico</v>
      </c>
      <c r="J1891">
        <f t="shared" si="29"/>
        <v>0</v>
      </c>
    </row>
    <row r="1892" spans="1:10" x14ac:dyDescent="0.25">
      <c r="A1892">
        <v>11082426</v>
      </c>
      <c r="B1892" s="1">
        <v>45679.446099537039</v>
      </c>
      <c r="C1892" t="s">
        <v>0</v>
      </c>
      <c r="D1892" t="str">
        <f>VLOOKUP(A1892,MERCADO!A:B,2,0)</f>
        <v>Servicos</v>
      </c>
      <c r="E1892" t="str">
        <f>_xlfn.XLOOKUP(A1892, ORIGEM!A:A, ORIGEM!B:B)</f>
        <v>Orgânico</v>
      </c>
      <c r="F1892">
        <f>_xlfn.XLOOKUP(A1892, ORIGEM!A:A, ORIGEM!C:C)</f>
        <v>0</v>
      </c>
      <c r="G1892" t="str">
        <f>_xlfn.XLOOKUP(A1892, LOCAL!A:A, LOCAL!B:B)</f>
        <v>Fortaleza - CE</v>
      </c>
      <c r="H1892" t="str">
        <f>_xlfn.XLOOKUP(A1892, PORTE!A:A, PORTE!B:B)</f>
        <v>11-50</v>
      </c>
      <c r="I1892" t="str">
        <f>_xlfn.XLOOKUP(A1892, OBJETIVO!A:A, OBJETIVO!B:B)</f>
        <v>Geração de leads b2b</v>
      </c>
      <c r="J1892">
        <f t="shared" si="29"/>
        <v>0</v>
      </c>
    </row>
    <row r="1893" spans="1:10" x14ac:dyDescent="0.25">
      <c r="A1893">
        <v>11072277</v>
      </c>
      <c r="B1893" s="1">
        <v>45678.631469907406</v>
      </c>
      <c r="C1893" t="s">
        <v>0</v>
      </c>
      <c r="D1893" t="str">
        <f>VLOOKUP(A1893,MERCADO!A:B,2,0)</f>
        <v>Servicos</v>
      </c>
      <c r="E1893" t="str">
        <f>_xlfn.XLOOKUP(A1893, ORIGEM!A:A, ORIGEM!B:B)</f>
        <v>Orgânico</v>
      </c>
      <c r="F1893">
        <f>_xlfn.XLOOKUP(A1893, ORIGEM!A:A, ORIGEM!C:C)</f>
        <v>0</v>
      </c>
      <c r="G1893" t="str">
        <f>_xlfn.XLOOKUP(A1893, LOCAL!A:A, LOCAL!B:B)</f>
        <v>Fortaleza - CE</v>
      </c>
      <c r="H1893" t="str">
        <f>_xlfn.XLOOKUP(A1893, PORTE!A:A, PORTE!B:B)</f>
        <v>0</v>
      </c>
      <c r="I1893" t="str">
        <f>_xlfn.XLOOKUP(A1893, OBJETIVO!A:A, OBJETIVO!B:B)</f>
        <v>Abertura/Expansão</v>
      </c>
      <c r="J1893">
        <f t="shared" si="29"/>
        <v>0</v>
      </c>
    </row>
    <row r="1894" spans="1:10" x14ac:dyDescent="0.25">
      <c r="A1894">
        <v>11058571</v>
      </c>
      <c r="B1894" s="1">
        <v>45677.641331018516</v>
      </c>
      <c r="C1894" t="s">
        <v>0</v>
      </c>
      <c r="D1894" t="str">
        <f>VLOOKUP(A1894,MERCADO!A:B,2,0)</f>
        <v>Servicos</v>
      </c>
      <c r="E1894" t="str">
        <f>_xlfn.XLOOKUP(A1894, ORIGEM!A:A, ORIGEM!B:B)</f>
        <v>Orgânico</v>
      </c>
      <c r="F1894">
        <f>_xlfn.XLOOKUP(A1894, ORIGEM!A:A, ORIGEM!C:C)</f>
        <v>0</v>
      </c>
      <c r="G1894" t="str">
        <f>_xlfn.XLOOKUP(A1894, LOCAL!A:A, LOCAL!B:B)</f>
        <v>Vitória - ES</v>
      </c>
      <c r="H1894" t="str">
        <f>_xlfn.XLOOKUP(A1894, PORTE!A:A, PORTE!B:B)</f>
        <v>0</v>
      </c>
      <c r="I1894" t="str">
        <f>_xlfn.XLOOKUP(A1894, OBJETIVO!A:A, OBJETIVO!B:B)</f>
        <v>Abertura/Expansão</v>
      </c>
      <c r="J1894">
        <f t="shared" si="29"/>
        <v>0</v>
      </c>
    </row>
    <row r="1895" spans="1:10" x14ac:dyDescent="0.25">
      <c r="A1895">
        <v>11058342</v>
      </c>
      <c r="B1895" s="1">
        <v>45677.636365740742</v>
      </c>
      <c r="C1895" t="s">
        <v>0</v>
      </c>
      <c r="D1895" t="str">
        <f>VLOOKUP(A1895,MERCADO!A:B,2,0)</f>
        <v>Servicos</v>
      </c>
      <c r="E1895" t="str">
        <f>_xlfn.XLOOKUP(A1895, ORIGEM!A:A, ORIGEM!B:B)</f>
        <v>Orgânico</v>
      </c>
      <c r="F1895">
        <f>_xlfn.XLOOKUP(A1895, ORIGEM!A:A, ORIGEM!C:C)</f>
        <v>0</v>
      </c>
      <c r="G1895" t="str">
        <f>_xlfn.XLOOKUP(A1895, LOCAL!A:A, LOCAL!B:B)</f>
        <v>Belo Horizonte - MG</v>
      </c>
      <c r="H1895" t="str">
        <f>_xlfn.XLOOKUP(A1895, PORTE!A:A, PORTE!B:B)</f>
        <v>1-10</v>
      </c>
      <c r="I1895" t="str">
        <f>_xlfn.XLOOKUP(A1895, OBJETIVO!A:A, OBJETIVO!B:B)</f>
        <v>Consultoria</v>
      </c>
      <c r="J1895">
        <f t="shared" si="29"/>
        <v>0</v>
      </c>
    </row>
    <row r="1896" spans="1:10" x14ac:dyDescent="0.25">
      <c r="A1896">
        <v>11048469</v>
      </c>
      <c r="B1896" s="1">
        <v>45676.859513888892</v>
      </c>
      <c r="C1896" t="s">
        <v>0</v>
      </c>
      <c r="D1896" t="str">
        <f>VLOOKUP(A1896,MERCADO!A:B,2,0)</f>
        <v>Servicos</v>
      </c>
      <c r="E1896" t="str">
        <f>_xlfn.XLOOKUP(A1896, ORIGEM!A:A, ORIGEM!B:B)</f>
        <v>Orgânico</v>
      </c>
      <c r="F1896">
        <f>_xlfn.XLOOKUP(A1896, ORIGEM!A:A, ORIGEM!C:C)</f>
        <v>0</v>
      </c>
      <c r="G1896" t="str">
        <f>_xlfn.XLOOKUP(A1896, LOCAL!A:A, LOCAL!B:B)</f>
        <v>Rio de Janeiro - RJ</v>
      </c>
      <c r="H1896" t="str">
        <f>_xlfn.XLOOKUP(A1896, PORTE!A:A, PORTE!B:B)</f>
        <v>0</v>
      </c>
      <c r="I1896" t="str">
        <f>_xlfn.XLOOKUP(A1896, OBJETIVO!A:A, OBJETIVO!B:B)</f>
        <v>Planejamento estratégico</v>
      </c>
      <c r="J1896">
        <f t="shared" si="29"/>
        <v>0</v>
      </c>
    </row>
    <row r="1897" spans="1:10" x14ac:dyDescent="0.25">
      <c r="A1897">
        <v>11044645</v>
      </c>
      <c r="B1897" s="1">
        <v>45676.675312500003</v>
      </c>
      <c r="C1897" t="s">
        <v>0</v>
      </c>
      <c r="D1897" t="str">
        <f>VLOOKUP(A1897,MERCADO!A:B,2,0)</f>
        <v>Servicos</v>
      </c>
      <c r="E1897" t="str">
        <f>_xlfn.XLOOKUP(A1897, ORIGEM!A:A, ORIGEM!B:B)</f>
        <v>Orgânico</v>
      </c>
      <c r="F1897">
        <f>_xlfn.XLOOKUP(A1897, ORIGEM!A:A, ORIGEM!C:C)</f>
        <v>0</v>
      </c>
      <c r="G1897" t="str">
        <f>_xlfn.XLOOKUP(A1897, LOCAL!A:A, LOCAL!B:B)</f>
        <v>Brasília - DF</v>
      </c>
      <c r="H1897" t="str">
        <f>_xlfn.XLOOKUP(A1897, PORTE!A:A, PORTE!B:B)</f>
        <v>1-10</v>
      </c>
      <c r="I1897" t="str">
        <f>_xlfn.XLOOKUP(A1897, OBJETIVO!A:A, OBJETIVO!B:B)</f>
        <v>Planejamento estratégico</v>
      </c>
      <c r="J1897">
        <f t="shared" si="29"/>
        <v>0</v>
      </c>
    </row>
    <row r="1898" spans="1:10" x14ac:dyDescent="0.25">
      <c r="A1898">
        <v>11033612</v>
      </c>
      <c r="B1898" s="1">
        <v>45676.425486111111</v>
      </c>
      <c r="C1898" t="s">
        <v>0</v>
      </c>
      <c r="D1898" t="str">
        <f>VLOOKUP(A1898,MERCADO!A:B,2,0)</f>
        <v>Servicos</v>
      </c>
      <c r="E1898" t="str">
        <f>_xlfn.XLOOKUP(A1898, ORIGEM!A:A, ORIGEM!B:B)</f>
        <v>Orgânico</v>
      </c>
      <c r="F1898">
        <f>_xlfn.XLOOKUP(A1898, ORIGEM!A:A, ORIGEM!C:C)</f>
        <v>0</v>
      </c>
      <c r="G1898" t="str">
        <f>_xlfn.XLOOKUP(A1898, LOCAL!A:A, LOCAL!B:B)</f>
        <v>São Paulo - SP</v>
      </c>
      <c r="H1898" t="str">
        <f>_xlfn.XLOOKUP(A1898, PORTE!A:A, PORTE!B:B)</f>
        <v>0</v>
      </c>
      <c r="I1898" t="str">
        <f>_xlfn.XLOOKUP(A1898, OBJETIVO!A:A, OBJETIVO!B:B)</f>
        <v>Outro</v>
      </c>
      <c r="J1898">
        <f t="shared" si="29"/>
        <v>0</v>
      </c>
    </row>
    <row r="1899" spans="1:10" x14ac:dyDescent="0.25">
      <c r="A1899">
        <v>11007858</v>
      </c>
      <c r="B1899" s="1">
        <v>45673.022696759261</v>
      </c>
      <c r="C1899" t="s">
        <v>0</v>
      </c>
      <c r="D1899" t="str">
        <f>VLOOKUP(A1899,MERCADO!A:B,2,0)</f>
        <v>Servicos</v>
      </c>
      <c r="E1899" t="str">
        <f>_xlfn.XLOOKUP(A1899, ORIGEM!A:A, ORIGEM!B:B)</f>
        <v>Orgânico</v>
      </c>
      <c r="F1899">
        <f>_xlfn.XLOOKUP(A1899, ORIGEM!A:A, ORIGEM!C:C)</f>
        <v>0</v>
      </c>
      <c r="G1899" t="str">
        <f>_xlfn.XLOOKUP(A1899, LOCAL!A:A, LOCAL!B:B)</f>
        <v>João Pessoa - PB</v>
      </c>
      <c r="H1899" t="str">
        <f>_xlfn.XLOOKUP(A1899, PORTE!A:A, PORTE!B:B)</f>
        <v>0</v>
      </c>
      <c r="I1899" t="str">
        <f>_xlfn.XLOOKUP(A1899, OBJETIVO!A:A, OBJETIVO!B:B)</f>
        <v>Outro</v>
      </c>
      <c r="J1899">
        <f t="shared" si="29"/>
        <v>0</v>
      </c>
    </row>
    <row r="1900" spans="1:10" x14ac:dyDescent="0.25">
      <c r="A1900">
        <v>10956516</v>
      </c>
      <c r="B1900" s="1">
        <v>45670.374525462961</v>
      </c>
      <c r="C1900" t="s">
        <v>0</v>
      </c>
      <c r="D1900" t="str">
        <f>VLOOKUP(A1900,MERCADO!A:B,2,0)</f>
        <v>Servicos</v>
      </c>
      <c r="E1900" t="str">
        <f>_xlfn.XLOOKUP(A1900, ORIGEM!A:A, ORIGEM!B:B)</f>
        <v>Orgânico</v>
      </c>
      <c r="F1900">
        <f>_xlfn.XLOOKUP(A1900, ORIGEM!A:A, ORIGEM!C:C)</f>
        <v>0</v>
      </c>
      <c r="G1900" t="str">
        <f>_xlfn.XLOOKUP(A1900, LOCAL!A:A, LOCAL!B:B)</f>
        <v>Rolandia - PR</v>
      </c>
      <c r="H1900" t="str">
        <f>_xlfn.XLOOKUP(A1900, PORTE!A:A, PORTE!B:B)</f>
        <v>1-10</v>
      </c>
      <c r="I1900" t="str">
        <f>_xlfn.XLOOKUP(A1900, OBJETIVO!A:A, OBJETIVO!B:B)</f>
        <v>Outro</v>
      </c>
      <c r="J1900">
        <f t="shared" si="29"/>
        <v>0</v>
      </c>
    </row>
    <row r="1901" spans="1:10" x14ac:dyDescent="0.25">
      <c r="A1901">
        <v>10958951</v>
      </c>
      <c r="B1901" s="1">
        <v>45670.448414351849</v>
      </c>
      <c r="C1901" t="s">
        <v>0</v>
      </c>
      <c r="D1901" t="str">
        <f>VLOOKUP(A1901,MERCADO!A:B,2,0)</f>
        <v>Servicos</v>
      </c>
      <c r="E1901" t="str">
        <f>_xlfn.XLOOKUP(A1901, ORIGEM!A:A, ORIGEM!B:B)</f>
        <v>Orgânico</v>
      </c>
      <c r="F1901">
        <f>_xlfn.XLOOKUP(A1901, ORIGEM!A:A, ORIGEM!C:C)</f>
        <v>0</v>
      </c>
      <c r="G1901" t="str">
        <f>_xlfn.XLOOKUP(A1901, LOCAL!A:A, LOCAL!B:B)</f>
        <v>Pacaja - PA</v>
      </c>
      <c r="H1901" t="str">
        <f>_xlfn.XLOOKUP(A1901, PORTE!A:A, PORTE!B:B)</f>
        <v>0</v>
      </c>
      <c r="I1901" t="str">
        <f>_xlfn.XLOOKUP(A1901, OBJETIVO!A:A, OBJETIVO!B:B)</f>
        <v>Outro</v>
      </c>
      <c r="J1901">
        <f t="shared" si="29"/>
        <v>0</v>
      </c>
    </row>
    <row r="1902" spans="1:10" x14ac:dyDescent="0.25">
      <c r="A1902">
        <v>10965495</v>
      </c>
      <c r="B1902" s="1">
        <v>45670.646979166668</v>
      </c>
      <c r="C1902" t="s">
        <v>0</v>
      </c>
      <c r="D1902" t="str">
        <f>VLOOKUP(A1902,MERCADO!A:B,2,0)</f>
        <v>Servicos</v>
      </c>
      <c r="E1902" t="str">
        <f>_xlfn.XLOOKUP(A1902, ORIGEM!A:A, ORIGEM!B:B)</f>
        <v>Orgânico</v>
      </c>
      <c r="F1902">
        <f>_xlfn.XLOOKUP(A1902, ORIGEM!A:A, ORIGEM!C:C)</f>
        <v>0</v>
      </c>
      <c r="G1902" t="str">
        <f>_xlfn.XLOOKUP(A1902, LOCAL!A:A, LOCAL!B:B)</f>
        <v>Porto Alegre - RS</v>
      </c>
      <c r="H1902" t="str">
        <f>_xlfn.XLOOKUP(A1902, PORTE!A:A, PORTE!B:B)</f>
        <v>1-10</v>
      </c>
      <c r="I1902" t="str">
        <f>_xlfn.XLOOKUP(A1902, OBJETIVO!A:A, OBJETIVO!B:B)</f>
        <v>Consultoria</v>
      </c>
      <c r="J1902">
        <f t="shared" si="29"/>
        <v>0</v>
      </c>
    </row>
    <row r="1903" spans="1:10" x14ac:dyDescent="0.25">
      <c r="A1903">
        <v>10968173</v>
      </c>
      <c r="B1903" s="1">
        <v>45670.696064814816</v>
      </c>
      <c r="C1903" t="s">
        <v>0</v>
      </c>
      <c r="D1903" t="str">
        <f>VLOOKUP(A1903,MERCADO!A:B,2,0)</f>
        <v>Servicos</v>
      </c>
      <c r="E1903" t="str">
        <f>_xlfn.XLOOKUP(A1903, ORIGEM!A:A, ORIGEM!B:B)</f>
        <v>Orgânico</v>
      </c>
      <c r="F1903">
        <f>_xlfn.XLOOKUP(A1903, ORIGEM!A:A, ORIGEM!C:C)</f>
        <v>0</v>
      </c>
      <c r="G1903" t="str">
        <f>_xlfn.XLOOKUP(A1903, LOCAL!A:A, LOCAL!B:B)</f>
        <v>Serra Negra - SP</v>
      </c>
      <c r="H1903" t="str">
        <f>_xlfn.XLOOKUP(A1903, PORTE!A:A, PORTE!B:B)</f>
        <v>1-10</v>
      </c>
      <c r="I1903" t="str">
        <f>_xlfn.XLOOKUP(A1903, OBJETIVO!A:A, OBJETIVO!B:B)</f>
        <v>Ações de marketing/vendas</v>
      </c>
      <c r="J1903">
        <f t="shared" si="29"/>
        <v>0</v>
      </c>
    </row>
    <row r="1904" spans="1:10" x14ac:dyDescent="0.25">
      <c r="A1904">
        <v>10971157</v>
      </c>
      <c r="B1904" s="1">
        <v>45670.920277777775</v>
      </c>
      <c r="C1904" t="s">
        <v>0</v>
      </c>
      <c r="D1904" t="str">
        <f>VLOOKUP(A1904,MERCADO!A:B,2,0)</f>
        <v>Servicos</v>
      </c>
      <c r="E1904" t="str">
        <f>_xlfn.XLOOKUP(A1904, ORIGEM!A:A, ORIGEM!B:B)</f>
        <v>Orgânico</v>
      </c>
      <c r="F1904">
        <f>_xlfn.XLOOKUP(A1904, ORIGEM!A:A, ORIGEM!C:C)</f>
        <v>0</v>
      </c>
      <c r="G1904" t="str">
        <f>_xlfn.XLOOKUP(A1904, LOCAL!A:A, LOCAL!B:B)</f>
        <v>Rio de Janeiro - RJ</v>
      </c>
      <c r="H1904" t="str">
        <f>_xlfn.XLOOKUP(A1904, PORTE!A:A, PORTE!B:B)</f>
        <v>0</v>
      </c>
      <c r="I1904" t="str">
        <f>_xlfn.XLOOKUP(A1904, OBJETIVO!A:A, OBJETIVO!B:B)</f>
        <v>Outro</v>
      </c>
      <c r="J1904">
        <f t="shared" si="29"/>
        <v>0</v>
      </c>
    </row>
    <row r="1905" spans="1:10" x14ac:dyDescent="0.25">
      <c r="A1905">
        <v>10991626</v>
      </c>
      <c r="B1905" s="1">
        <v>45671.811064814814</v>
      </c>
      <c r="C1905" t="s">
        <v>0</v>
      </c>
      <c r="D1905" t="str">
        <f>VLOOKUP(A1905,MERCADO!A:B,2,0)</f>
        <v>Servicos</v>
      </c>
      <c r="E1905" t="str">
        <f>_xlfn.XLOOKUP(A1905, ORIGEM!A:A, ORIGEM!B:B)</f>
        <v>Orgânico</v>
      </c>
      <c r="F1905">
        <f>_xlfn.XLOOKUP(A1905, ORIGEM!A:A, ORIGEM!C:C)</f>
        <v>0</v>
      </c>
      <c r="G1905" t="str">
        <f>_xlfn.XLOOKUP(A1905, LOCAL!A:A, LOCAL!B:B)</f>
        <v>Rio de Janeiro - RJ</v>
      </c>
      <c r="H1905" t="str">
        <f>_xlfn.XLOOKUP(A1905, PORTE!A:A, PORTE!B:B)</f>
        <v>1-10</v>
      </c>
      <c r="I1905" t="str">
        <f>_xlfn.XLOOKUP(A1905, OBJETIVO!A:A, OBJETIVO!B:B)</f>
        <v>Planejamento estratégico</v>
      </c>
      <c r="J1905">
        <f t="shared" si="29"/>
        <v>0</v>
      </c>
    </row>
    <row r="1906" spans="1:10" x14ac:dyDescent="0.25">
      <c r="A1906">
        <v>11025975</v>
      </c>
      <c r="B1906" s="1">
        <v>45675.677349537036</v>
      </c>
      <c r="C1906" t="s">
        <v>0</v>
      </c>
      <c r="D1906" t="str">
        <f>VLOOKUP(A1906,MERCADO!A:B,2,0)</f>
        <v>Servicos</v>
      </c>
      <c r="E1906" t="str">
        <f>_xlfn.XLOOKUP(A1906, ORIGEM!A:A, ORIGEM!B:B)</f>
        <v>Orgânico</v>
      </c>
      <c r="F1906">
        <f>_xlfn.XLOOKUP(A1906, ORIGEM!A:A, ORIGEM!C:C)</f>
        <v>0</v>
      </c>
      <c r="G1906" t="str">
        <f>_xlfn.XLOOKUP(A1906, LOCAL!A:A, LOCAL!B:B)</f>
        <v>Rio de Janeiro - RJ</v>
      </c>
      <c r="H1906" t="str">
        <f>_xlfn.XLOOKUP(A1906, PORTE!A:A, PORTE!B:B)</f>
        <v>1-10</v>
      </c>
      <c r="I1906" t="str">
        <f>_xlfn.XLOOKUP(A1906, OBJETIVO!A:A, OBJETIVO!B:B)</f>
        <v>Outro</v>
      </c>
      <c r="J1906">
        <f t="shared" si="29"/>
        <v>0</v>
      </c>
    </row>
    <row r="1907" spans="1:10" x14ac:dyDescent="0.25">
      <c r="A1907">
        <v>11009402</v>
      </c>
      <c r="B1907" s="1">
        <v>45673.543449074074</v>
      </c>
      <c r="C1907" t="s">
        <v>0</v>
      </c>
      <c r="D1907" t="str">
        <f>VLOOKUP(A1907,MERCADO!A:B,2,0)</f>
        <v>Servicos</v>
      </c>
      <c r="E1907" t="str">
        <f>_xlfn.XLOOKUP(A1907, ORIGEM!A:A, ORIGEM!B:B)</f>
        <v>Orgânico</v>
      </c>
      <c r="F1907">
        <f>_xlfn.XLOOKUP(A1907, ORIGEM!A:A, ORIGEM!C:C)</f>
        <v>0</v>
      </c>
      <c r="G1907" t="str">
        <f>_xlfn.XLOOKUP(A1907, LOCAL!A:A, LOCAL!B:B)</f>
        <v>Rio de Janeiro - RJ</v>
      </c>
      <c r="H1907" t="str">
        <f>_xlfn.XLOOKUP(A1907, PORTE!A:A, PORTE!B:B)</f>
        <v>51-300</v>
      </c>
      <c r="I1907" t="str">
        <f>_xlfn.XLOOKUP(A1907, OBJETIVO!A:A, OBJETIVO!B:B)</f>
        <v>Outro</v>
      </c>
      <c r="J1907">
        <f t="shared" si="29"/>
        <v>0</v>
      </c>
    </row>
    <row r="1908" spans="1:10" x14ac:dyDescent="0.25">
      <c r="A1908">
        <v>11009640</v>
      </c>
      <c r="B1908" s="1">
        <v>45673.629131944443</v>
      </c>
      <c r="C1908" t="s">
        <v>0</v>
      </c>
      <c r="D1908" t="str">
        <f>VLOOKUP(A1908,MERCADO!A:B,2,0)</f>
        <v>Servicos</v>
      </c>
      <c r="E1908" t="str">
        <f>_xlfn.XLOOKUP(A1908, ORIGEM!A:A, ORIGEM!B:B)</f>
        <v>Orgânico</v>
      </c>
      <c r="F1908">
        <f>_xlfn.XLOOKUP(A1908, ORIGEM!A:A, ORIGEM!C:C)</f>
        <v>0</v>
      </c>
      <c r="G1908" t="str">
        <f>_xlfn.XLOOKUP(A1908, LOCAL!A:A, LOCAL!B:B)</f>
        <v>Aripuana - MT</v>
      </c>
      <c r="H1908" t="str">
        <f>_xlfn.XLOOKUP(A1908, PORTE!A:A, PORTE!B:B)</f>
        <v>0</v>
      </c>
      <c r="I1908" t="str">
        <f>_xlfn.XLOOKUP(A1908, OBJETIVO!A:A, OBJETIVO!B:B)</f>
        <v>Outro</v>
      </c>
      <c r="J1908">
        <f t="shared" si="29"/>
        <v>0</v>
      </c>
    </row>
    <row r="1909" spans="1:10" x14ac:dyDescent="0.25">
      <c r="A1909">
        <v>11011404</v>
      </c>
      <c r="B1909" s="1">
        <v>45674.477488425924</v>
      </c>
      <c r="C1909" t="s">
        <v>0</v>
      </c>
      <c r="D1909" t="str">
        <f>VLOOKUP(A1909,MERCADO!A:B,2,0)</f>
        <v>Servicos</v>
      </c>
      <c r="E1909" t="str">
        <f>_xlfn.XLOOKUP(A1909, ORIGEM!A:A, ORIGEM!B:B)</f>
        <v>Orgânico</v>
      </c>
      <c r="F1909">
        <f>_xlfn.XLOOKUP(A1909, ORIGEM!A:A, ORIGEM!C:C)</f>
        <v>0</v>
      </c>
      <c r="G1909" t="str">
        <f>_xlfn.XLOOKUP(A1909, LOCAL!A:A, LOCAL!B:B)</f>
        <v>São Luís - MA</v>
      </c>
      <c r="H1909" t="str">
        <f>_xlfn.XLOOKUP(A1909, PORTE!A:A, PORTE!B:B)</f>
        <v>0</v>
      </c>
      <c r="I1909" t="str">
        <f>_xlfn.XLOOKUP(A1909, OBJETIVO!A:A, OBJETIVO!B:B)</f>
        <v>Outro</v>
      </c>
      <c r="J1909">
        <f t="shared" si="29"/>
        <v>0</v>
      </c>
    </row>
    <row r="1910" spans="1:10" x14ac:dyDescent="0.25">
      <c r="A1910">
        <v>11013023</v>
      </c>
      <c r="B1910" s="1">
        <v>45674.907638888886</v>
      </c>
      <c r="C1910" t="s">
        <v>0</v>
      </c>
      <c r="D1910" t="str">
        <f>VLOOKUP(A1910,MERCADO!A:B,2,0)</f>
        <v>Servicos</v>
      </c>
      <c r="E1910" t="str">
        <f>_xlfn.XLOOKUP(A1910, ORIGEM!A:A, ORIGEM!B:B)</f>
        <v>Orgânico</v>
      </c>
      <c r="F1910">
        <f>_xlfn.XLOOKUP(A1910, ORIGEM!A:A, ORIGEM!C:C)</f>
        <v>0</v>
      </c>
      <c r="G1910" t="str">
        <f>_xlfn.XLOOKUP(A1910, LOCAL!A:A, LOCAL!B:B)</f>
        <v>Belo Horizonte - MG</v>
      </c>
      <c r="H1910" t="str">
        <f>_xlfn.XLOOKUP(A1910, PORTE!A:A, PORTE!B:B)</f>
        <v>0</v>
      </c>
      <c r="I1910" t="str">
        <f>_xlfn.XLOOKUP(A1910, OBJETIVO!A:A, OBJETIVO!B:B)</f>
        <v>Outro</v>
      </c>
      <c r="J1910">
        <f t="shared" si="29"/>
        <v>0</v>
      </c>
    </row>
    <row r="1911" spans="1:10" x14ac:dyDescent="0.25">
      <c r="A1911">
        <v>10999768</v>
      </c>
      <c r="B1911" s="1">
        <v>45672.542743055557</v>
      </c>
      <c r="C1911" t="s">
        <v>0</v>
      </c>
      <c r="D1911" t="str">
        <f>VLOOKUP(A1911,MERCADO!A:B,2,0)</f>
        <v>Servicos</v>
      </c>
      <c r="E1911" t="str">
        <f>_xlfn.XLOOKUP(A1911, ORIGEM!A:A, ORIGEM!B:B)</f>
        <v>Orgânico</v>
      </c>
      <c r="F1911">
        <f>_xlfn.XLOOKUP(A1911, ORIGEM!A:A, ORIGEM!C:C)</f>
        <v>0</v>
      </c>
      <c r="G1911" t="str">
        <f>_xlfn.XLOOKUP(A1911, LOCAL!A:A, LOCAL!B:B)</f>
        <v>Uberlândia - MG</v>
      </c>
      <c r="H1911" t="str">
        <f>_xlfn.XLOOKUP(A1911, PORTE!A:A, PORTE!B:B)</f>
        <v>0</v>
      </c>
      <c r="I1911" t="str">
        <f>_xlfn.XLOOKUP(A1911, OBJETIVO!A:A, OBJETIVO!B:B)</f>
        <v>Outro</v>
      </c>
      <c r="J1911">
        <f t="shared" si="29"/>
        <v>0</v>
      </c>
    </row>
    <row r="1912" spans="1:10" x14ac:dyDescent="0.25">
      <c r="A1912">
        <v>10945036</v>
      </c>
      <c r="B1912" s="1">
        <v>45669.442650462966</v>
      </c>
      <c r="C1912" t="s">
        <v>0</v>
      </c>
      <c r="D1912" t="str">
        <f>VLOOKUP(A1912,MERCADO!A:B,2,0)</f>
        <v>Servicos</v>
      </c>
      <c r="E1912" t="str">
        <f>_xlfn.XLOOKUP(A1912, ORIGEM!A:A, ORIGEM!B:B)</f>
        <v>Orgânico</v>
      </c>
      <c r="F1912">
        <f>_xlfn.XLOOKUP(A1912, ORIGEM!A:A, ORIGEM!C:C)</f>
        <v>0</v>
      </c>
      <c r="G1912" t="str">
        <f>_xlfn.XLOOKUP(A1912, LOCAL!A:A, LOCAL!B:B)</f>
        <v>Sorocaba - SP</v>
      </c>
      <c r="H1912" t="str">
        <f>_xlfn.XLOOKUP(A1912, PORTE!A:A, PORTE!B:B)</f>
        <v>0</v>
      </c>
      <c r="I1912" t="str">
        <f>_xlfn.XLOOKUP(A1912, OBJETIVO!A:A, OBJETIVO!B:B)</f>
        <v>Outro</v>
      </c>
      <c r="J1912">
        <f t="shared" si="29"/>
        <v>0</v>
      </c>
    </row>
    <row r="1913" spans="1:10" x14ac:dyDescent="0.25">
      <c r="A1913">
        <v>11015967</v>
      </c>
      <c r="B1913" s="1">
        <v>45675.407893518517</v>
      </c>
      <c r="C1913" t="s">
        <v>0</v>
      </c>
      <c r="D1913" t="str">
        <f>VLOOKUP(A1913,MERCADO!A:B,2,0)</f>
        <v>Servicos</v>
      </c>
      <c r="E1913" t="str">
        <f>_xlfn.XLOOKUP(A1913, ORIGEM!A:A, ORIGEM!B:B)</f>
        <v>Orgânico</v>
      </c>
      <c r="F1913">
        <f>_xlfn.XLOOKUP(A1913, ORIGEM!A:A, ORIGEM!C:C)</f>
        <v>0</v>
      </c>
      <c r="G1913" t="str">
        <f>_xlfn.XLOOKUP(A1913, LOCAL!A:A, LOCAL!B:B)</f>
        <v>Brasília - DF</v>
      </c>
      <c r="H1913" t="str">
        <f>_xlfn.XLOOKUP(A1913, PORTE!A:A, PORTE!B:B)</f>
        <v>1-10</v>
      </c>
      <c r="I1913" t="str">
        <f>_xlfn.XLOOKUP(A1913, OBJETIVO!A:A, OBJETIVO!B:B)</f>
        <v>Abertura/Expansão</v>
      </c>
      <c r="J1913">
        <f t="shared" si="29"/>
        <v>0</v>
      </c>
    </row>
    <row r="1914" spans="1:10" x14ac:dyDescent="0.25">
      <c r="A1914">
        <v>10936197</v>
      </c>
      <c r="B1914" s="1">
        <v>45668.668206018519</v>
      </c>
      <c r="C1914" t="s">
        <v>0</v>
      </c>
      <c r="D1914" t="str">
        <f>VLOOKUP(A1914,MERCADO!A:B,2,0)</f>
        <v>Servicos</v>
      </c>
      <c r="E1914" t="str">
        <f>_xlfn.XLOOKUP(A1914, ORIGEM!A:A, ORIGEM!B:B)</f>
        <v>Orgânico</v>
      </c>
      <c r="F1914">
        <f>_xlfn.XLOOKUP(A1914, ORIGEM!A:A, ORIGEM!C:C)</f>
        <v>0</v>
      </c>
      <c r="G1914" t="str">
        <f>_xlfn.XLOOKUP(A1914, LOCAL!A:A, LOCAL!B:B)</f>
        <v>Itaborai - RJ</v>
      </c>
      <c r="H1914" t="str">
        <f>_xlfn.XLOOKUP(A1914, PORTE!A:A, PORTE!B:B)</f>
        <v>1-10</v>
      </c>
      <c r="I1914" t="str">
        <f>_xlfn.XLOOKUP(A1914, OBJETIVO!A:A, OBJETIVO!B:B)</f>
        <v>Abertura/Expansão</v>
      </c>
      <c r="J1914">
        <f t="shared" si="29"/>
        <v>0</v>
      </c>
    </row>
    <row r="1915" spans="1:10" x14ac:dyDescent="0.25">
      <c r="A1915">
        <v>10936734</v>
      </c>
      <c r="B1915" s="1">
        <v>45668.696006944447</v>
      </c>
      <c r="C1915" t="s">
        <v>0</v>
      </c>
      <c r="D1915" t="str">
        <f>VLOOKUP(A1915,MERCADO!A:B,2,0)</f>
        <v>Servicos</v>
      </c>
      <c r="E1915" t="str">
        <f>_xlfn.XLOOKUP(A1915, ORIGEM!A:A, ORIGEM!B:B)</f>
        <v>Orgânico</v>
      </c>
      <c r="F1915">
        <f>_xlfn.XLOOKUP(A1915, ORIGEM!A:A, ORIGEM!C:C)</f>
        <v>0</v>
      </c>
      <c r="G1915" t="str">
        <f>_xlfn.XLOOKUP(A1915, LOCAL!A:A, LOCAL!B:B)</f>
        <v>Olinda - PE</v>
      </c>
      <c r="H1915" t="str">
        <f>_xlfn.XLOOKUP(A1915, PORTE!A:A, PORTE!B:B)</f>
        <v>1-10</v>
      </c>
      <c r="I1915" t="str">
        <f>_xlfn.XLOOKUP(A1915, OBJETIVO!A:A, OBJETIVO!B:B)</f>
        <v>Outro</v>
      </c>
      <c r="J1915">
        <f t="shared" si="29"/>
        <v>0</v>
      </c>
    </row>
    <row r="1916" spans="1:10" x14ac:dyDescent="0.25">
      <c r="A1916">
        <v>10922905</v>
      </c>
      <c r="B1916" s="1">
        <v>45667.572337962964</v>
      </c>
      <c r="C1916" t="s">
        <v>0</v>
      </c>
      <c r="D1916" t="str">
        <f>VLOOKUP(A1916,MERCADO!A:B,2,0)</f>
        <v>Servicos</v>
      </c>
      <c r="E1916" t="str">
        <f>_xlfn.XLOOKUP(A1916, ORIGEM!A:A, ORIGEM!B:B)</f>
        <v>Orgânico</v>
      </c>
      <c r="F1916">
        <f>_xlfn.XLOOKUP(A1916, ORIGEM!A:A, ORIGEM!C:C)</f>
        <v>0</v>
      </c>
      <c r="G1916" t="str">
        <f>_xlfn.XLOOKUP(A1916, LOCAL!A:A, LOCAL!B:B)</f>
        <v>São Luís - MA</v>
      </c>
      <c r="H1916" t="str">
        <f>_xlfn.XLOOKUP(A1916, PORTE!A:A, PORTE!B:B)</f>
        <v>0</v>
      </c>
      <c r="I1916" t="str">
        <f>_xlfn.XLOOKUP(A1916, OBJETIVO!A:A, OBJETIVO!B:B)</f>
        <v>Ações de marketing/vendas</v>
      </c>
      <c r="J1916">
        <f t="shared" si="29"/>
        <v>0</v>
      </c>
    </row>
    <row r="1917" spans="1:10" x14ac:dyDescent="0.25">
      <c r="A1917">
        <v>10923489</v>
      </c>
      <c r="B1917" s="1">
        <v>45667.794062499997</v>
      </c>
      <c r="C1917" t="s">
        <v>0</v>
      </c>
      <c r="D1917" t="str">
        <f>VLOOKUP(A1917,MERCADO!A:B,2,0)</f>
        <v>Servicos</v>
      </c>
      <c r="E1917" t="str">
        <f>_xlfn.XLOOKUP(A1917, ORIGEM!A:A, ORIGEM!B:B)</f>
        <v>Orgânico</v>
      </c>
      <c r="F1917">
        <f>_xlfn.XLOOKUP(A1917, ORIGEM!A:A, ORIGEM!C:C)</f>
        <v>0</v>
      </c>
      <c r="G1917" t="str">
        <f>_xlfn.XLOOKUP(A1917, LOCAL!A:A, LOCAL!B:B)</f>
        <v>Pompeu - MG</v>
      </c>
      <c r="H1917" t="str">
        <f>_xlfn.XLOOKUP(A1917, PORTE!A:A, PORTE!B:B)</f>
        <v>0</v>
      </c>
      <c r="I1917" t="str">
        <f>_xlfn.XLOOKUP(A1917, OBJETIVO!A:A, OBJETIVO!B:B)</f>
        <v>Outro</v>
      </c>
      <c r="J1917">
        <f t="shared" si="29"/>
        <v>0</v>
      </c>
    </row>
    <row r="1918" spans="1:10" x14ac:dyDescent="0.25">
      <c r="A1918">
        <v>10922435</v>
      </c>
      <c r="B1918" s="1">
        <v>45667.428333333337</v>
      </c>
      <c r="C1918" t="s">
        <v>0</v>
      </c>
      <c r="D1918" t="str">
        <f>VLOOKUP(A1918,MERCADO!A:B,2,0)</f>
        <v>Servicos</v>
      </c>
      <c r="E1918" t="str">
        <f>_xlfn.XLOOKUP(A1918, ORIGEM!A:A, ORIGEM!B:B)</f>
        <v>Orgânico</v>
      </c>
      <c r="F1918">
        <f>_xlfn.XLOOKUP(A1918, ORIGEM!A:A, ORIGEM!C:C)</f>
        <v>0</v>
      </c>
      <c r="G1918" t="str">
        <f>_xlfn.XLOOKUP(A1918, LOCAL!A:A, LOCAL!B:B)</f>
        <v>São Paulo - SP</v>
      </c>
      <c r="H1918" t="str">
        <f>_xlfn.XLOOKUP(A1918, PORTE!A:A, PORTE!B:B)</f>
        <v>0</v>
      </c>
      <c r="I1918" t="str">
        <f>_xlfn.XLOOKUP(A1918, OBJETIVO!A:A, OBJETIVO!B:B)</f>
        <v>Outro</v>
      </c>
      <c r="J1918">
        <f t="shared" si="29"/>
        <v>0</v>
      </c>
    </row>
    <row r="1919" spans="1:10" x14ac:dyDescent="0.25">
      <c r="A1919">
        <v>10705485</v>
      </c>
      <c r="B1919" s="1">
        <v>45639.657025462962</v>
      </c>
      <c r="C1919" t="s">
        <v>0</v>
      </c>
      <c r="D1919" t="str">
        <f>VLOOKUP(A1919,MERCADO!A:B,2,0)</f>
        <v>Servicos</v>
      </c>
      <c r="E1919" t="str">
        <f>_xlfn.XLOOKUP(A1919, ORIGEM!A:A, ORIGEM!B:B)</f>
        <v>Orgânico</v>
      </c>
      <c r="F1919">
        <f>_xlfn.XLOOKUP(A1919, ORIGEM!A:A, ORIGEM!C:C)</f>
        <v>0</v>
      </c>
      <c r="G1919" t="str">
        <f>_xlfn.XLOOKUP(A1919, LOCAL!A:A, LOCAL!B:B)</f>
        <v>São Paulo - SP</v>
      </c>
      <c r="H1919" t="str">
        <f>_xlfn.XLOOKUP(A1919, PORTE!A:A, PORTE!B:B)</f>
        <v>0</v>
      </c>
      <c r="I1919" t="str">
        <f>_xlfn.XLOOKUP(A1919, OBJETIVO!A:A, OBJETIVO!B:B)</f>
        <v>Outro</v>
      </c>
      <c r="J1919">
        <f t="shared" si="29"/>
        <v>0</v>
      </c>
    </row>
    <row r="1920" spans="1:10" x14ac:dyDescent="0.25">
      <c r="A1920">
        <v>10701294</v>
      </c>
      <c r="B1920" s="1">
        <v>45637.887731481482</v>
      </c>
      <c r="C1920" t="s">
        <v>0</v>
      </c>
      <c r="D1920" t="str">
        <f>VLOOKUP(A1920,MERCADO!A:B,2,0)</f>
        <v>Servicos</v>
      </c>
      <c r="E1920" t="str">
        <f>_xlfn.XLOOKUP(A1920, ORIGEM!A:A, ORIGEM!B:B)</f>
        <v>Orgânico</v>
      </c>
      <c r="F1920">
        <f>_xlfn.XLOOKUP(A1920, ORIGEM!A:A, ORIGEM!C:C)</f>
        <v>0</v>
      </c>
      <c r="G1920" t="str">
        <f>_xlfn.XLOOKUP(A1920, LOCAL!A:A, LOCAL!B:B)</f>
        <v>Araçatuba - SP</v>
      </c>
      <c r="H1920" t="str">
        <f>_xlfn.XLOOKUP(A1920, PORTE!A:A, PORTE!B:B)</f>
        <v>0</v>
      </c>
      <c r="I1920" t="str">
        <f>_xlfn.XLOOKUP(A1920, OBJETIVO!A:A, OBJETIVO!B:B)</f>
        <v>Outro</v>
      </c>
      <c r="J1920">
        <f t="shared" si="29"/>
        <v>0</v>
      </c>
    </row>
    <row r="1921" spans="1:10" x14ac:dyDescent="0.25">
      <c r="A1921">
        <v>10720666</v>
      </c>
      <c r="B1921" s="1">
        <v>45640.677916666667</v>
      </c>
      <c r="C1921" t="s">
        <v>0</v>
      </c>
      <c r="D1921" t="str">
        <f>VLOOKUP(A1921,MERCADO!A:B,2,0)</f>
        <v>Servicos</v>
      </c>
      <c r="E1921" t="str">
        <f>_xlfn.XLOOKUP(A1921, ORIGEM!A:A, ORIGEM!B:B)</f>
        <v>Orgânico</v>
      </c>
      <c r="F1921">
        <f>_xlfn.XLOOKUP(A1921, ORIGEM!A:A, ORIGEM!C:C)</f>
        <v>0</v>
      </c>
      <c r="G1921" t="str">
        <f>_xlfn.XLOOKUP(A1921, LOCAL!A:A, LOCAL!B:B)</f>
        <v>Curitiba - PR</v>
      </c>
      <c r="H1921" t="str">
        <f>_xlfn.XLOOKUP(A1921, PORTE!A:A, PORTE!B:B)</f>
        <v>1-10</v>
      </c>
      <c r="I1921" t="str">
        <f>_xlfn.XLOOKUP(A1921, OBJETIVO!A:A, OBJETIVO!B:B)</f>
        <v>Ações de marketing/vendas</v>
      </c>
      <c r="J1921">
        <f t="shared" si="29"/>
        <v>0</v>
      </c>
    </row>
    <row r="1922" spans="1:10" x14ac:dyDescent="0.25">
      <c r="A1922">
        <v>10706011</v>
      </c>
      <c r="B1922" s="1">
        <v>45639.881944444445</v>
      </c>
      <c r="C1922" t="s">
        <v>0</v>
      </c>
      <c r="D1922" t="str">
        <f>VLOOKUP(A1922,MERCADO!A:B,2,0)</f>
        <v>Servicos</v>
      </c>
      <c r="E1922" t="str">
        <f>_xlfn.XLOOKUP(A1922, ORIGEM!A:A, ORIGEM!B:B)</f>
        <v>Orgânico</v>
      </c>
      <c r="F1922">
        <f>_xlfn.XLOOKUP(A1922, ORIGEM!A:A, ORIGEM!C:C)</f>
        <v>0</v>
      </c>
      <c r="G1922" t="str">
        <f>_xlfn.XLOOKUP(A1922, LOCAL!A:A, LOCAL!B:B)</f>
        <v>Manaus - AM</v>
      </c>
      <c r="H1922" t="str">
        <f>_xlfn.XLOOKUP(A1922, PORTE!A:A, PORTE!B:B)</f>
        <v>0</v>
      </c>
      <c r="I1922" t="str">
        <f>_xlfn.XLOOKUP(A1922, OBJETIVO!A:A, OBJETIVO!B:B)</f>
        <v>Outro</v>
      </c>
      <c r="J1922">
        <f t="shared" si="29"/>
        <v>0</v>
      </c>
    </row>
    <row r="1923" spans="1:10" x14ac:dyDescent="0.25">
      <c r="A1923">
        <v>10707353</v>
      </c>
      <c r="B1923" s="1">
        <v>45640.371840277781</v>
      </c>
      <c r="C1923" t="s">
        <v>0</v>
      </c>
      <c r="D1923" t="str">
        <f>VLOOKUP(A1923,MERCADO!A:B,2,0)</f>
        <v>Servicos</v>
      </c>
      <c r="E1923" t="str">
        <f>_xlfn.XLOOKUP(A1923, ORIGEM!A:A, ORIGEM!B:B)</f>
        <v>Orgânico</v>
      </c>
      <c r="F1923">
        <f>_xlfn.XLOOKUP(A1923, ORIGEM!A:A, ORIGEM!C:C)</f>
        <v>0</v>
      </c>
      <c r="G1923" t="str">
        <f>_xlfn.XLOOKUP(A1923, LOCAL!A:A, LOCAL!B:B)</f>
        <v>Nova Olimpia - MT</v>
      </c>
      <c r="H1923" t="str">
        <f>_xlfn.XLOOKUP(A1923, PORTE!A:A, PORTE!B:B)</f>
        <v>0</v>
      </c>
      <c r="I1923" t="str">
        <f>_xlfn.XLOOKUP(A1923, OBJETIVO!A:A, OBJETIVO!B:B)</f>
        <v>Outro</v>
      </c>
      <c r="J1923">
        <f t="shared" ref="J1923:J1986" si="30">IF(C1923="SIM",1,0)</f>
        <v>0</v>
      </c>
    </row>
    <row r="1924" spans="1:10" x14ac:dyDescent="0.25">
      <c r="A1924">
        <v>10724063</v>
      </c>
      <c r="B1924" s="1">
        <v>45640.818969907406</v>
      </c>
      <c r="C1924" t="s">
        <v>0</v>
      </c>
      <c r="D1924" t="str">
        <f>VLOOKUP(A1924,MERCADO!A:B,2,0)</f>
        <v>Servicos</v>
      </c>
      <c r="E1924" t="str">
        <f>_xlfn.XLOOKUP(A1924, ORIGEM!A:A, ORIGEM!B:B)</f>
        <v>Orgânico</v>
      </c>
      <c r="F1924">
        <f>_xlfn.XLOOKUP(A1924, ORIGEM!A:A, ORIGEM!C:C)</f>
        <v>0</v>
      </c>
      <c r="G1924" t="str">
        <f>_xlfn.XLOOKUP(A1924, LOCAL!A:A, LOCAL!B:B)</f>
        <v>Porto Alegre - RS</v>
      </c>
      <c r="H1924" t="str">
        <f>_xlfn.XLOOKUP(A1924, PORTE!A:A, PORTE!B:B)</f>
        <v>0</v>
      </c>
      <c r="I1924" t="str">
        <f>_xlfn.XLOOKUP(A1924, OBJETIVO!A:A, OBJETIVO!B:B)</f>
        <v>Outro</v>
      </c>
      <c r="J1924">
        <f t="shared" si="30"/>
        <v>0</v>
      </c>
    </row>
    <row r="1925" spans="1:10" x14ac:dyDescent="0.25">
      <c r="A1925">
        <v>10724209</v>
      </c>
      <c r="B1925" s="1">
        <v>45640.856874999998</v>
      </c>
      <c r="C1925" t="s">
        <v>0</v>
      </c>
      <c r="D1925" t="str">
        <f>VLOOKUP(A1925,MERCADO!A:B,2,0)</f>
        <v>Servicos</v>
      </c>
      <c r="E1925" t="str">
        <f>_xlfn.XLOOKUP(A1925, ORIGEM!A:A, ORIGEM!B:B)</f>
        <v>Orgânico</v>
      </c>
      <c r="F1925">
        <f>_xlfn.XLOOKUP(A1925, ORIGEM!A:A, ORIGEM!C:C)</f>
        <v>0</v>
      </c>
      <c r="G1925" t="str">
        <f>_xlfn.XLOOKUP(A1925, LOCAL!A:A, LOCAL!B:B)</f>
        <v>Balneário Camboriú - SC</v>
      </c>
      <c r="H1925" t="str">
        <f>_xlfn.XLOOKUP(A1925, PORTE!A:A, PORTE!B:B)</f>
        <v>0</v>
      </c>
      <c r="I1925" t="str">
        <f>_xlfn.XLOOKUP(A1925, OBJETIVO!A:A, OBJETIVO!B:B)</f>
        <v>Outro</v>
      </c>
      <c r="J1925">
        <f t="shared" si="30"/>
        <v>0</v>
      </c>
    </row>
    <row r="1926" spans="1:10" x14ac:dyDescent="0.25">
      <c r="A1926">
        <v>11214391</v>
      </c>
      <c r="B1926" s="1">
        <v>45689.905844907407</v>
      </c>
      <c r="C1926" t="s">
        <v>0</v>
      </c>
      <c r="D1926" t="str">
        <f>VLOOKUP(A1926,MERCADO!A:B,2,0)</f>
        <v>Servicos</v>
      </c>
      <c r="E1926" t="str">
        <f>_xlfn.XLOOKUP(A1926, ORIGEM!A:A, ORIGEM!B:B)</f>
        <v>Orgânico</v>
      </c>
      <c r="F1926">
        <f>_xlfn.XLOOKUP(A1926, ORIGEM!A:A, ORIGEM!C:C)</f>
        <v>0</v>
      </c>
      <c r="G1926" t="str">
        <f>_xlfn.XLOOKUP(A1926, LOCAL!A:A, LOCAL!B:B)</f>
        <v>Rio de Janeiro - RJ</v>
      </c>
      <c r="H1926" t="str">
        <f>_xlfn.XLOOKUP(A1926, PORTE!A:A, PORTE!B:B)</f>
        <v>1-10</v>
      </c>
      <c r="I1926" t="str">
        <f>_xlfn.XLOOKUP(A1926, OBJETIVO!A:A, OBJETIVO!B:B)</f>
        <v>Abertura/Expansão</v>
      </c>
      <c r="J1926">
        <f t="shared" si="30"/>
        <v>0</v>
      </c>
    </row>
    <row r="1927" spans="1:10" x14ac:dyDescent="0.25">
      <c r="A1927">
        <v>11198491</v>
      </c>
      <c r="B1927" s="1">
        <v>45688.994456018518</v>
      </c>
      <c r="C1927" t="s">
        <v>0</v>
      </c>
      <c r="D1927" t="str">
        <f>VLOOKUP(A1927,MERCADO!A:B,2,0)</f>
        <v>Servicos</v>
      </c>
      <c r="E1927" t="str">
        <f>_xlfn.XLOOKUP(A1927, ORIGEM!A:A, ORIGEM!B:B)</f>
        <v>Orgânico</v>
      </c>
      <c r="F1927">
        <f>_xlfn.XLOOKUP(A1927, ORIGEM!A:A, ORIGEM!C:C)</f>
        <v>0</v>
      </c>
      <c r="G1927" t="str">
        <f>_xlfn.XLOOKUP(A1927, LOCAL!A:A, LOCAL!B:B)</f>
        <v>São Paulo - SP</v>
      </c>
      <c r="H1927" t="str">
        <f>_xlfn.XLOOKUP(A1927, PORTE!A:A, PORTE!B:B)</f>
        <v>0</v>
      </c>
      <c r="I1927" t="str">
        <f>_xlfn.XLOOKUP(A1927, OBJETIVO!A:A, OBJETIVO!B:B)</f>
        <v>Consultoria</v>
      </c>
      <c r="J1927">
        <f t="shared" si="30"/>
        <v>0</v>
      </c>
    </row>
    <row r="1928" spans="1:10" x14ac:dyDescent="0.25">
      <c r="A1928">
        <v>11195366</v>
      </c>
      <c r="B1928" s="1">
        <v>45687.673530092594</v>
      </c>
      <c r="C1928" t="s">
        <v>0</v>
      </c>
      <c r="D1928" t="str">
        <f>VLOOKUP(A1928,MERCADO!A:B,2,0)</f>
        <v>Servicos</v>
      </c>
      <c r="E1928" t="str">
        <f>_xlfn.XLOOKUP(A1928, ORIGEM!A:A, ORIGEM!B:B)</f>
        <v>Orgânico</v>
      </c>
      <c r="F1928">
        <f>_xlfn.XLOOKUP(A1928, ORIGEM!A:A, ORIGEM!C:C)</f>
        <v>0</v>
      </c>
      <c r="G1928" t="str">
        <f>_xlfn.XLOOKUP(A1928, LOCAL!A:A, LOCAL!B:B)</f>
        <v>Rio de Janeiro - RJ</v>
      </c>
      <c r="H1928" t="str">
        <f>_xlfn.XLOOKUP(A1928, PORTE!A:A, PORTE!B:B)</f>
        <v>1-10</v>
      </c>
      <c r="I1928" t="str">
        <f>_xlfn.XLOOKUP(A1928, OBJETIVO!A:A, OBJETIVO!B:B)</f>
        <v>Abertura/Expansão</v>
      </c>
      <c r="J1928">
        <f t="shared" si="30"/>
        <v>0</v>
      </c>
    </row>
    <row r="1929" spans="1:10" x14ac:dyDescent="0.25">
      <c r="A1929">
        <v>11178678</v>
      </c>
      <c r="B1929" s="1">
        <v>45686.463842592595</v>
      </c>
      <c r="C1929" t="s">
        <v>0</v>
      </c>
      <c r="D1929" t="str">
        <f>VLOOKUP(A1929,MERCADO!A:B,2,0)</f>
        <v>Servicos</v>
      </c>
      <c r="E1929" t="str">
        <f>_xlfn.XLOOKUP(A1929, ORIGEM!A:A, ORIGEM!B:B)</f>
        <v>Orgânico</v>
      </c>
      <c r="F1929">
        <f>_xlfn.XLOOKUP(A1929, ORIGEM!A:A, ORIGEM!C:C)</f>
        <v>0</v>
      </c>
      <c r="G1929" t="str">
        <f>_xlfn.XLOOKUP(A1929, LOCAL!A:A, LOCAL!B:B)</f>
        <v>Caruaru - PE</v>
      </c>
      <c r="H1929" t="str">
        <f>_xlfn.XLOOKUP(A1929, PORTE!A:A, PORTE!B:B)</f>
        <v>11-50</v>
      </c>
      <c r="I1929" t="str">
        <f>_xlfn.XLOOKUP(A1929, OBJETIVO!A:A, OBJETIVO!B:B)</f>
        <v>Abertura/Expansão</v>
      </c>
      <c r="J1929">
        <f t="shared" si="30"/>
        <v>0</v>
      </c>
    </row>
    <row r="1930" spans="1:10" x14ac:dyDescent="0.25">
      <c r="A1930">
        <v>11179923</v>
      </c>
      <c r="B1930" s="1">
        <v>45686.540914351855</v>
      </c>
      <c r="C1930" t="s">
        <v>0</v>
      </c>
      <c r="D1930" t="str">
        <f>VLOOKUP(A1930,MERCADO!A:B,2,0)</f>
        <v>Servicos</v>
      </c>
      <c r="E1930" t="str">
        <f>_xlfn.XLOOKUP(A1930, ORIGEM!A:A, ORIGEM!B:B)</f>
        <v>Orgânico</v>
      </c>
      <c r="F1930">
        <f>_xlfn.XLOOKUP(A1930, ORIGEM!A:A, ORIGEM!C:C)</f>
        <v>0</v>
      </c>
      <c r="G1930" t="str">
        <f>_xlfn.XLOOKUP(A1930, LOCAL!A:A, LOCAL!B:B)</f>
        <v>Brasília - DF</v>
      </c>
      <c r="H1930" t="str">
        <f>_xlfn.XLOOKUP(A1930, PORTE!A:A, PORTE!B:B)</f>
        <v>11-50</v>
      </c>
      <c r="I1930" t="str">
        <f>_xlfn.XLOOKUP(A1930, OBJETIVO!A:A, OBJETIVO!B:B)</f>
        <v>Abertura/Expansão</v>
      </c>
      <c r="J1930">
        <f t="shared" si="30"/>
        <v>0</v>
      </c>
    </row>
    <row r="1931" spans="1:10" x14ac:dyDescent="0.25">
      <c r="A1931">
        <v>11182141</v>
      </c>
      <c r="B1931" s="1">
        <v>45686.638043981482</v>
      </c>
      <c r="C1931" t="s">
        <v>0</v>
      </c>
      <c r="D1931" t="str">
        <f>VLOOKUP(A1931,MERCADO!A:B,2,0)</f>
        <v>Servicos</v>
      </c>
      <c r="E1931" t="str">
        <f>_xlfn.XLOOKUP(A1931, ORIGEM!A:A, ORIGEM!B:B)</f>
        <v>Orgânico</v>
      </c>
      <c r="F1931">
        <f>_xlfn.XLOOKUP(A1931, ORIGEM!A:A, ORIGEM!C:C)</f>
        <v>0</v>
      </c>
      <c r="G1931" t="str">
        <f>_xlfn.XLOOKUP(A1931, LOCAL!A:A, LOCAL!B:B)</f>
        <v>Aracaju - SE</v>
      </c>
      <c r="H1931" t="str">
        <f>_xlfn.XLOOKUP(A1931, PORTE!A:A, PORTE!B:B)</f>
        <v>0</v>
      </c>
      <c r="I1931" t="str">
        <f>_xlfn.XLOOKUP(A1931, OBJETIVO!A:A, OBJETIVO!B:B)</f>
        <v>Outro</v>
      </c>
      <c r="J1931">
        <f t="shared" si="30"/>
        <v>0</v>
      </c>
    </row>
    <row r="1932" spans="1:10" x14ac:dyDescent="0.25">
      <c r="A1932">
        <v>11104488</v>
      </c>
      <c r="B1932" s="1">
        <v>45682.495520833334</v>
      </c>
      <c r="C1932" t="s">
        <v>0</v>
      </c>
      <c r="D1932" t="str">
        <f>VLOOKUP(A1932,MERCADO!A:B,2,0)</f>
        <v>Servicos</v>
      </c>
      <c r="E1932" t="str">
        <f>_xlfn.XLOOKUP(A1932, ORIGEM!A:A, ORIGEM!B:B)</f>
        <v>Orgânico</v>
      </c>
      <c r="F1932">
        <f>_xlfn.XLOOKUP(A1932, ORIGEM!A:A, ORIGEM!C:C)</f>
        <v>0</v>
      </c>
      <c r="G1932" t="str">
        <f>_xlfn.XLOOKUP(A1932, LOCAL!A:A, LOCAL!B:B)</f>
        <v>Santos - SP</v>
      </c>
      <c r="H1932" t="str">
        <f>_xlfn.XLOOKUP(A1932, PORTE!A:A, PORTE!B:B)</f>
        <v>1-10</v>
      </c>
      <c r="I1932" t="str">
        <f>_xlfn.XLOOKUP(A1932, OBJETIVO!A:A, OBJETIVO!B:B)</f>
        <v>Ações de marketing/vendas</v>
      </c>
      <c r="J1932">
        <f t="shared" si="30"/>
        <v>0</v>
      </c>
    </row>
    <row r="1933" spans="1:10" x14ac:dyDescent="0.25">
      <c r="A1933">
        <v>11147699</v>
      </c>
      <c r="B1933" s="1">
        <v>45685.462997685187</v>
      </c>
      <c r="C1933" t="s">
        <v>0</v>
      </c>
      <c r="D1933" t="str">
        <f>VLOOKUP(A1933,MERCADO!A:B,2,0)</f>
        <v>Servicos</v>
      </c>
      <c r="E1933" t="str">
        <f>_xlfn.XLOOKUP(A1933, ORIGEM!A:A, ORIGEM!B:B)</f>
        <v>Orgânico</v>
      </c>
      <c r="F1933">
        <f>_xlfn.XLOOKUP(A1933, ORIGEM!A:A, ORIGEM!C:C)</f>
        <v>0</v>
      </c>
      <c r="G1933" t="str">
        <f>_xlfn.XLOOKUP(A1933, LOCAL!A:A, LOCAL!B:B)</f>
        <v>Guarulhos - SP</v>
      </c>
      <c r="H1933" t="str">
        <f>_xlfn.XLOOKUP(A1933, PORTE!A:A, PORTE!B:B)</f>
        <v>1-10</v>
      </c>
      <c r="I1933" t="str">
        <f>_xlfn.XLOOKUP(A1933, OBJETIVO!A:A, OBJETIVO!B:B)</f>
        <v>Geração de leads b2b</v>
      </c>
      <c r="J1933">
        <f t="shared" si="30"/>
        <v>0</v>
      </c>
    </row>
    <row r="1934" spans="1:10" x14ac:dyDescent="0.25">
      <c r="A1934">
        <v>10773637</v>
      </c>
      <c r="B1934" s="1">
        <v>45644.603587962964</v>
      </c>
      <c r="C1934" t="s">
        <v>0</v>
      </c>
      <c r="D1934" t="str">
        <f>VLOOKUP(A1934,MERCADO!A:B,2,0)</f>
        <v>Servicos</v>
      </c>
      <c r="E1934" t="str">
        <f>_xlfn.XLOOKUP(A1934, ORIGEM!A:A, ORIGEM!B:B)</f>
        <v>Orgânico</v>
      </c>
      <c r="F1934">
        <f>_xlfn.XLOOKUP(A1934, ORIGEM!A:A, ORIGEM!C:C)</f>
        <v>0</v>
      </c>
      <c r="G1934" t="str">
        <f>_xlfn.XLOOKUP(A1934, LOCAL!A:A, LOCAL!B:B)</f>
        <v>Teresina - PI</v>
      </c>
      <c r="H1934" t="str">
        <f>_xlfn.XLOOKUP(A1934, PORTE!A:A, PORTE!B:B)</f>
        <v>1-10</v>
      </c>
      <c r="I1934" t="str">
        <f>_xlfn.XLOOKUP(A1934, OBJETIVO!A:A, OBJETIVO!B:B)</f>
        <v>Planejamento estratégico</v>
      </c>
      <c r="J1934">
        <f t="shared" si="30"/>
        <v>0</v>
      </c>
    </row>
    <row r="1935" spans="1:10" x14ac:dyDescent="0.25">
      <c r="A1935">
        <v>10763422</v>
      </c>
      <c r="B1935" s="1">
        <v>45643.685567129629</v>
      </c>
      <c r="C1935" t="s">
        <v>0</v>
      </c>
      <c r="D1935" t="str">
        <f>VLOOKUP(A1935,MERCADO!A:B,2,0)</f>
        <v>Servicos</v>
      </c>
      <c r="E1935" t="str">
        <f>_xlfn.XLOOKUP(A1935, ORIGEM!A:A, ORIGEM!B:B)</f>
        <v>Orgânico</v>
      </c>
      <c r="F1935">
        <f>_xlfn.XLOOKUP(A1935, ORIGEM!A:A, ORIGEM!C:C)</f>
        <v>0</v>
      </c>
      <c r="G1935" t="str">
        <f>_xlfn.XLOOKUP(A1935, LOCAL!A:A, LOCAL!B:B)</f>
        <v>Belo Horizonte - MG</v>
      </c>
      <c r="H1935" t="str">
        <f>_xlfn.XLOOKUP(A1935, PORTE!A:A, PORTE!B:B)</f>
        <v>51-300</v>
      </c>
      <c r="I1935" t="str">
        <f>_xlfn.XLOOKUP(A1935, OBJETIVO!A:A, OBJETIVO!B:B)</f>
        <v>Abertura/Expansão</v>
      </c>
      <c r="J1935">
        <f t="shared" si="30"/>
        <v>0</v>
      </c>
    </row>
    <row r="1936" spans="1:10" x14ac:dyDescent="0.25">
      <c r="A1936">
        <v>10764638</v>
      </c>
      <c r="B1936" s="1">
        <v>45643.735405092593</v>
      </c>
      <c r="C1936" t="s">
        <v>0</v>
      </c>
      <c r="D1936" t="str">
        <f>VLOOKUP(A1936,MERCADO!A:B,2,0)</f>
        <v>Servicos</v>
      </c>
      <c r="E1936" t="str">
        <f>_xlfn.XLOOKUP(A1936, ORIGEM!A:A, ORIGEM!B:B)</f>
        <v>Orgânico</v>
      </c>
      <c r="F1936">
        <f>_xlfn.XLOOKUP(A1936, ORIGEM!A:A, ORIGEM!C:C)</f>
        <v>0</v>
      </c>
      <c r="G1936" t="str">
        <f>_xlfn.XLOOKUP(A1936, LOCAL!A:A, LOCAL!B:B)</f>
        <v>Recife - PE</v>
      </c>
      <c r="H1936" t="str">
        <f>_xlfn.XLOOKUP(A1936, PORTE!A:A, PORTE!B:B)</f>
        <v>0</v>
      </c>
      <c r="I1936" t="str">
        <f>_xlfn.XLOOKUP(A1936, OBJETIVO!A:A, OBJETIVO!B:B)</f>
        <v>Outro</v>
      </c>
      <c r="J1936">
        <f t="shared" si="30"/>
        <v>0</v>
      </c>
    </row>
    <row r="1937" spans="1:10" x14ac:dyDescent="0.25">
      <c r="A1937">
        <v>10765814</v>
      </c>
      <c r="B1937" s="1">
        <v>45643.903310185182</v>
      </c>
      <c r="C1937" t="s">
        <v>0</v>
      </c>
      <c r="D1937" t="str">
        <f>VLOOKUP(A1937,MERCADO!A:B,2,0)</f>
        <v>Servicos</v>
      </c>
      <c r="E1937" t="str">
        <f>_xlfn.XLOOKUP(A1937, ORIGEM!A:A, ORIGEM!B:B)</f>
        <v>Orgânico</v>
      </c>
      <c r="F1937">
        <f>_xlfn.XLOOKUP(A1937, ORIGEM!A:A, ORIGEM!C:C)</f>
        <v>0</v>
      </c>
      <c r="G1937" t="str">
        <f>_xlfn.XLOOKUP(A1937, LOCAL!A:A, LOCAL!B:B)</f>
        <v>Cruzeiro - SP</v>
      </c>
      <c r="H1937" t="str">
        <f>_xlfn.XLOOKUP(A1937, PORTE!A:A, PORTE!B:B)</f>
        <v>0</v>
      </c>
      <c r="I1937" t="str">
        <f>_xlfn.XLOOKUP(A1937, OBJETIVO!A:A, OBJETIVO!B:B)</f>
        <v>Outro</v>
      </c>
      <c r="J1937">
        <f t="shared" si="30"/>
        <v>0</v>
      </c>
    </row>
    <row r="1938" spans="1:10" x14ac:dyDescent="0.25">
      <c r="A1938">
        <v>10753951</v>
      </c>
      <c r="B1938" s="1">
        <v>45643.442847222221</v>
      </c>
      <c r="C1938" t="s">
        <v>0</v>
      </c>
      <c r="D1938" t="str">
        <f>VLOOKUP(A1938,MERCADO!A:B,2,0)</f>
        <v>Servicos</v>
      </c>
      <c r="E1938" t="str">
        <f>_xlfn.XLOOKUP(A1938, ORIGEM!A:A, ORIGEM!B:B)</f>
        <v>Orgânico</v>
      </c>
      <c r="F1938">
        <f>_xlfn.XLOOKUP(A1938, ORIGEM!A:A, ORIGEM!C:C)</f>
        <v>0</v>
      </c>
      <c r="G1938" t="str">
        <f>_xlfn.XLOOKUP(A1938, LOCAL!A:A, LOCAL!B:B)</f>
        <v>Monteiro - PB</v>
      </c>
      <c r="H1938" t="str">
        <f>_xlfn.XLOOKUP(A1938, PORTE!A:A, PORTE!B:B)</f>
        <v>0</v>
      </c>
      <c r="I1938" t="str">
        <f>_xlfn.XLOOKUP(A1938, OBJETIVO!A:A, OBJETIVO!B:B)</f>
        <v>Outro</v>
      </c>
      <c r="J1938">
        <f t="shared" si="30"/>
        <v>0</v>
      </c>
    </row>
    <row r="1939" spans="1:10" x14ac:dyDescent="0.25">
      <c r="A1939">
        <v>10782142</v>
      </c>
      <c r="B1939" s="1">
        <v>45646.721053240741</v>
      </c>
      <c r="C1939" t="s">
        <v>0</v>
      </c>
      <c r="D1939" t="str">
        <f>VLOOKUP(A1939,MERCADO!A:B,2,0)</f>
        <v>Servicos</v>
      </c>
      <c r="E1939" t="str">
        <f>_xlfn.XLOOKUP(A1939, ORIGEM!A:A, ORIGEM!B:B)</f>
        <v>Orgânico</v>
      </c>
      <c r="F1939">
        <f>_xlfn.XLOOKUP(A1939, ORIGEM!A:A, ORIGEM!C:C)</f>
        <v>0</v>
      </c>
      <c r="G1939" t="str">
        <f>_xlfn.XLOOKUP(A1939, LOCAL!A:A, LOCAL!B:B)</f>
        <v>Rochedo - MS</v>
      </c>
      <c r="H1939" t="str">
        <f>_xlfn.XLOOKUP(A1939, PORTE!A:A, PORTE!B:B)</f>
        <v>0</v>
      </c>
      <c r="I1939" t="str">
        <f>_xlfn.XLOOKUP(A1939, OBJETIVO!A:A, OBJETIVO!B:B)</f>
        <v>Outro</v>
      </c>
      <c r="J1939">
        <f t="shared" si="30"/>
        <v>0</v>
      </c>
    </row>
    <row r="1940" spans="1:10" x14ac:dyDescent="0.25">
      <c r="A1940">
        <v>10779059</v>
      </c>
      <c r="B1940" s="1">
        <v>45644.905925925923</v>
      </c>
      <c r="C1940" t="s">
        <v>0</v>
      </c>
      <c r="D1940" t="str">
        <f>VLOOKUP(A1940,MERCADO!A:B,2,0)</f>
        <v>Servicos</v>
      </c>
      <c r="E1940" t="str">
        <f>_xlfn.XLOOKUP(A1940, ORIGEM!A:A, ORIGEM!B:B)</f>
        <v>Orgânico</v>
      </c>
      <c r="F1940">
        <f>_xlfn.XLOOKUP(A1940, ORIGEM!A:A, ORIGEM!C:C)</f>
        <v>0</v>
      </c>
      <c r="G1940" t="str">
        <f>_xlfn.XLOOKUP(A1940, LOCAL!A:A, LOCAL!B:B)</f>
        <v>Itabuna - BA</v>
      </c>
      <c r="H1940" t="str">
        <f>_xlfn.XLOOKUP(A1940, PORTE!A:A, PORTE!B:B)</f>
        <v>0</v>
      </c>
      <c r="I1940" t="str">
        <f>_xlfn.XLOOKUP(A1940, OBJETIVO!A:A, OBJETIVO!B:B)</f>
        <v>Consultoria</v>
      </c>
      <c r="J1940">
        <f t="shared" si="30"/>
        <v>0</v>
      </c>
    </row>
    <row r="1941" spans="1:10" x14ac:dyDescent="0.25">
      <c r="A1941">
        <v>10834966</v>
      </c>
      <c r="B1941" s="1">
        <v>45655.843645833331</v>
      </c>
      <c r="C1941" t="s">
        <v>0</v>
      </c>
      <c r="D1941" t="str">
        <f>VLOOKUP(A1941,MERCADO!A:B,2,0)</f>
        <v>Servicos</v>
      </c>
      <c r="E1941" t="str">
        <f>_xlfn.XLOOKUP(A1941, ORIGEM!A:A, ORIGEM!B:B)</f>
        <v>Orgânico</v>
      </c>
      <c r="F1941">
        <f>_xlfn.XLOOKUP(A1941, ORIGEM!A:A, ORIGEM!C:C)</f>
        <v>0</v>
      </c>
      <c r="G1941" t="str">
        <f>_xlfn.XLOOKUP(A1941, LOCAL!A:A, LOCAL!B:B)</f>
        <v>São Paulo - SP</v>
      </c>
      <c r="H1941" t="str">
        <f>_xlfn.XLOOKUP(A1941, PORTE!A:A, PORTE!B:B)</f>
        <v>0</v>
      </c>
      <c r="I1941" t="str">
        <f>_xlfn.XLOOKUP(A1941, OBJETIVO!A:A, OBJETIVO!B:B)</f>
        <v>Outro</v>
      </c>
      <c r="J1941">
        <f t="shared" si="30"/>
        <v>0</v>
      </c>
    </row>
    <row r="1942" spans="1:10" x14ac:dyDescent="0.25">
      <c r="A1942">
        <v>10823695</v>
      </c>
      <c r="B1942" s="1">
        <v>45654.584131944444</v>
      </c>
      <c r="C1942" t="s">
        <v>0</v>
      </c>
      <c r="D1942" t="str">
        <f>VLOOKUP(A1942,MERCADO!A:B,2,0)</f>
        <v>Servicos</v>
      </c>
      <c r="E1942" t="str">
        <f>_xlfn.XLOOKUP(A1942, ORIGEM!A:A, ORIGEM!B:B)</f>
        <v>Orgânico</v>
      </c>
      <c r="F1942">
        <f>_xlfn.XLOOKUP(A1942, ORIGEM!A:A, ORIGEM!C:C)</f>
        <v>0</v>
      </c>
      <c r="G1942" t="str">
        <f>_xlfn.XLOOKUP(A1942, LOCAL!A:A, LOCAL!B:B)</f>
        <v>Fortaleza - CE</v>
      </c>
      <c r="H1942" t="str">
        <f>_xlfn.XLOOKUP(A1942, PORTE!A:A, PORTE!B:B)</f>
        <v>1-10</v>
      </c>
      <c r="I1942" t="str">
        <f>_xlfn.XLOOKUP(A1942, OBJETIVO!A:A, OBJETIVO!B:B)</f>
        <v>Outro</v>
      </c>
      <c r="J1942">
        <f t="shared" si="30"/>
        <v>0</v>
      </c>
    </row>
    <row r="1943" spans="1:10" x14ac:dyDescent="0.25">
      <c r="A1943">
        <v>10843926</v>
      </c>
      <c r="B1943" s="1">
        <v>45656.691319444442</v>
      </c>
      <c r="C1943" t="s">
        <v>0</v>
      </c>
      <c r="D1943" t="str">
        <f>VLOOKUP(A1943,MERCADO!A:B,2,0)</f>
        <v>Servicos</v>
      </c>
      <c r="E1943" t="str">
        <f>_xlfn.XLOOKUP(A1943, ORIGEM!A:A, ORIGEM!B:B)</f>
        <v>Orgânico</v>
      </c>
      <c r="F1943">
        <f>_xlfn.XLOOKUP(A1943, ORIGEM!A:A, ORIGEM!C:C)</f>
        <v>0</v>
      </c>
      <c r="G1943" t="str">
        <f>_xlfn.XLOOKUP(A1943, LOCAL!A:A, LOCAL!B:B)</f>
        <v>São Paulo - SP</v>
      </c>
      <c r="H1943" t="str">
        <f>_xlfn.XLOOKUP(A1943, PORTE!A:A, PORTE!B:B)</f>
        <v>0</v>
      </c>
      <c r="I1943" t="str">
        <f>_xlfn.XLOOKUP(A1943, OBJETIVO!A:A, OBJETIVO!B:B)</f>
        <v>Outro</v>
      </c>
      <c r="J1943">
        <f t="shared" si="30"/>
        <v>0</v>
      </c>
    </row>
    <row r="1944" spans="1:10" x14ac:dyDescent="0.25">
      <c r="A1944">
        <v>10814947</v>
      </c>
      <c r="B1944" s="1">
        <v>45651.549363425926</v>
      </c>
      <c r="C1944" t="s">
        <v>0</v>
      </c>
      <c r="D1944" t="str">
        <f>VLOOKUP(A1944,MERCADO!A:B,2,0)</f>
        <v>Servicos</v>
      </c>
      <c r="E1944" t="str">
        <f>_xlfn.XLOOKUP(A1944, ORIGEM!A:A, ORIGEM!B:B)</f>
        <v>Orgânico</v>
      </c>
      <c r="F1944">
        <f>_xlfn.XLOOKUP(A1944, ORIGEM!A:A, ORIGEM!C:C)</f>
        <v>0</v>
      </c>
      <c r="G1944" t="str">
        <f>_xlfn.XLOOKUP(A1944, LOCAL!A:A, LOCAL!B:B)</f>
        <v>Belo Horizonte - MG</v>
      </c>
      <c r="H1944" t="str">
        <f>_xlfn.XLOOKUP(A1944, PORTE!A:A, PORTE!B:B)</f>
        <v>0</v>
      </c>
      <c r="I1944" t="str">
        <f>_xlfn.XLOOKUP(A1944, OBJETIVO!A:A, OBJETIVO!B:B)</f>
        <v>Outro</v>
      </c>
      <c r="J1944">
        <f t="shared" si="30"/>
        <v>0</v>
      </c>
    </row>
    <row r="1945" spans="1:10" x14ac:dyDescent="0.25">
      <c r="A1945">
        <v>10816864</v>
      </c>
      <c r="B1945" s="1">
        <v>45652.267905092594</v>
      </c>
      <c r="C1945" t="s">
        <v>0</v>
      </c>
      <c r="D1945" t="str">
        <f>VLOOKUP(A1945,MERCADO!A:B,2,0)</f>
        <v>Servicos</v>
      </c>
      <c r="E1945" t="str">
        <f>_xlfn.XLOOKUP(A1945, ORIGEM!A:A, ORIGEM!B:B)</f>
        <v>Orgânico</v>
      </c>
      <c r="F1945">
        <f>_xlfn.XLOOKUP(A1945, ORIGEM!A:A, ORIGEM!C:C)</f>
        <v>0</v>
      </c>
      <c r="G1945" t="str">
        <f>_xlfn.XLOOKUP(A1945, LOCAL!A:A, LOCAL!B:B)</f>
        <v>Andira - PR</v>
      </c>
      <c r="H1945" t="str">
        <f>_xlfn.XLOOKUP(A1945, PORTE!A:A, PORTE!B:B)</f>
        <v>0</v>
      </c>
      <c r="I1945" t="str">
        <f>_xlfn.XLOOKUP(A1945, OBJETIVO!A:A, OBJETIVO!B:B)</f>
        <v>Outro</v>
      </c>
      <c r="J1945">
        <f t="shared" si="30"/>
        <v>0</v>
      </c>
    </row>
    <row r="1946" spans="1:10" x14ac:dyDescent="0.25">
      <c r="A1946">
        <v>10806122</v>
      </c>
      <c r="B1946" s="1">
        <v>45649.405439814815</v>
      </c>
      <c r="C1946" t="s">
        <v>0</v>
      </c>
      <c r="D1946" t="str">
        <f>VLOOKUP(A1946,MERCADO!A:B,2,0)</f>
        <v>Servicos</v>
      </c>
      <c r="E1946" t="str">
        <f>_xlfn.XLOOKUP(A1946, ORIGEM!A:A, ORIGEM!B:B)</f>
        <v>Orgânico</v>
      </c>
      <c r="F1946">
        <f>_xlfn.XLOOKUP(A1946, ORIGEM!A:A, ORIGEM!C:C)</f>
        <v>0</v>
      </c>
      <c r="G1946" t="str">
        <f>_xlfn.XLOOKUP(A1946, LOCAL!A:A, LOCAL!B:B)</f>
        <v>Duque de Caxias - RJ</v>
      </c>
      <c r="H1946" t="str">
        <f>_xlfn.XLOOKUP(A1946, PORTE!A:A, PORTE!B:B)</f>
        <v>1-10</v>
      </c>
      <c r="I1946" t="str">
        <f>_xlfn.XLOOKUP(A1946, OBJETIVO!A:A, OBJETIVO!B:B)</f>
        <v>Abertura/Expansão</v>
      </c>
      <c r="J1946">
        <f t="shared" si="30"/>
        <v>0</v>
      </c>
    </row>
    <row r="1947" spans="1:10" x14ac:dyDescent="0.25">
      <c r="A1947">
        <v>10803679</v>
      </c>
      <c r="B1947" s="1">
        <v>45648.757731481484</v>
      </c>
      <c r="C1947" t="s">
        <v>0</v>
      </c>
      <c r="D1947" t="str">
        <f>VLOOKUP(A1947,MERCADO!A:B,2,0)</f>
        <v>Servicos</v>
      </c>
      <c r="E1947" t="str">
        <f>_xlfn.XLOOKUP(A1947, ORIGEM!A:A, ORIGEM!B:B)</f>
        <v>Orgânico</v>
      </c>
      <c r="F1947">
        <f>_xlfn.XLOOKUP(A1947, ORIGEM!A:A, ORIGEM!C:C)</f>
        <v>0</v>
      </c>
      <c r="G1947" t="str">
        <f>_xlfn.XLOOKUP(A1947, LOCAL!A:A, LOCAL!B:B)</f>
        <v>Anápolis - GO</v>
      </c>
      <c r="H1947" t="str">
        <f>_xlfn.XLOOKUP(A1947, PORTE!A:A, PORTE!B:B)</f>
        <v>1-10</v>
      </c>
      <c r="I1947" t="str">
        <f>_xlfn.XLOOKUP(A1947, OBJETIVO!A:A, OBJETIVO!B:B)</f>
        <v>Abertura/Expansão</v>
      </c>
      <c r="J1947">
        <f t="shared" si="30"/>
        <v>0</v>
      </c>
    </row>
    <row r="1948" spans="1:10" x14ac:dyDescent="0.25">
      <c r="A1948">
        <v>10803759</v>
      </c>
      <c r="B1948" s="1">
        <v>45648.782372685186</v>
      </c>
      <c r="C1948" t="s">
        <v>0</v>
      </c>
      <c r="D1948" t="str">
        <f>VLOOKUP(A1948,MERCADO!A:B,2,0)</f>
        <v>Servicos</v>
      </c>
      <c r="E1948" t="str">
        <f>_xlfn.XLOOKUP(A1948, ORIGEM!A:A, ORIGEM!B:B)</f>
        <v>Orgânico</v>
      </c>
      <c r="F1948">
        <f>_xlfn.XLOOKUP(A1948, ORIGEM!A:A, ORIGEM!C:C)</f>
        <v>0</v>
      </c>
      <c r="G1948" t="str">
        <f>_xlfn.XLOOKUP(A1948, LOCAL!A:A, LOCAL!B:B)</f>
        <v>Betim - MG</v>
      </c>
      <c r="H1948" t="str">
        <f>_xlfn.XLOOKUP(A1948, PORTE!A:A, PORTE!B:B)</f>
        <v>+ 1000</v>
      </c>
      <c r="I1948" t="str">
        <f>_xlfn.XLOOKUP(A1948, OBJETIVO!A:A, OBJETIVO!B:B)</f>
        <v>Geração de leads b2b</v>
      </c>
      <c r="J1948">
        <f t="shared" si="30"/>
        <v>0</v>
      </c>
    </row>
    <row r="1949" spans="1:10" x14ac:dyDescent="0.25">
      <c r="A1949">
        <v>10804080</v>
      </c>
      <c r="B1949" s="1">
        <v>45648.886504629627</v>
      </c>
      <c r="C1949" t="s">
        <v>0</v>
      </c>
      <c r="D1949" t="str">
        <f>VLOOKUP(A1949,MERCADO!A:B,2,0)</f>
        <v>Servicos</v>
      </c>
      <c r="E1949" t="str">
        <f>_xlfn.XLOOKUP(A1949, ORIGEM!A:A, ORIGEM!B:B)</f>
        <v>Orgânico</v>
      </c>
      <c r="F1949">
        <f>_xlfn.XLOOKUP(A1949, ORIGEM!A:A, ORIGEM!C:C)</f>
        <v>0</v>
      </c>
      <c r="G1949" t="str">
        <f>_xlfn.XLOOKUP(A1949, LOCAL!A:A, LOCAL!B:B)</f>
        <v>Aracaju - SE</v>
      </c>
      <c r="H1949" t="str">
        <f>_xlfn.XLOOKUP(A1949, PORTE!A:A, PORTE!B:B)</f>
        <v>1-10</v>
      </c>
      <c r="I1949" t="str">
        <f>_xlfn.XLOOKUP(A1949, OBJETIVO!A:A, OBJETIVO!B:B)</f>
        <v>Outro</v>
      </c>
      <c r="J1949">
        <f t="shared" si="30"/>
        <v>0</v>
      </c>
    </row>
    <row r="1950" spans="1:10" x14ac:dyDescent="0.25">
      <c r="A1950">
        <v>10873337</v>
      </c>
      <c r="B1950" s="1">
        <v>45662.443194444444</v>
      </c>
      <c r="C1950" t="s">
        <v>0</v>
      </c>
      <c r="D1950" t="str">
        <f>VLOOKUP(A1950,MERCADO!A:B,2,0)</f>
        <v>Servicos</v>
      </c>
      <c r="E1950" t="str">
        <f>_xlfn.XLOOKUP(A1950, ORIGEM!A:A, ORIGEM!B:B)</f>
        <v>Orgânico</v>
      </c>
      <c r="F1950">
        <f>_xlfn.XLOOKUP(A1950, ORIGEM!A:A, ORIGEM!C:C)</f>
        <v>0</v>
      </c>
      <c r="G1950" t="str">
        <f>_xlfn.XLOOKUP(A1950, LOCAL!A:A, LOCAL!B:B)</f>
        <v>Ouro Preto do Oeste - RO</v>
      </c>
      <c r="H1950" t="str">
        <f>_xlfn.XLOOKUP(A1950, PORTE!A:A, PORTE!B:B)</f>
        <v>0</v>
      </c>
      <c r="I1950" t="str">
        <f>_xlfn.XLOOKUP(A1950, OBJETIVO!A:A, OBJETIVO!B:B)</f>
        <v>Outro</v>
      </c>
      <c r="J1950">
        <f t="shared" si="30"/>
        <v>0</v>
      </c>
    </row>
    <row r="1951" spans="1:10" x14ac:dyDescent="0.25">
      <c r="A1951">
        <v>10868219</v>
      </c>
      <c r="B1951" s="1">
        <v>45661.743576388886</v>
      </c>
      <c r="C1951" t="s">
        <v>0</v>
      </c>
      <c r="D1951" t="str">
        <f>VLOOKUP(A1951,MERCADO!A:B,2,0)</f>
        <v>Servicos</v>
      </c>
      <c r="E1951" t="str">
        <f>_xlfn.XLOOKUP(A1951, ORIGEM!A:A, ORIGEM!B:B)</f>
        <v>Orgânico</v>
      </c>
      <c r="F1951">
        <f>_xlfn.XLOOKUP(A1951, ORIGEM!A:A, ORIGEM!C:C)</f>
        <v>0</v>
      </c>
      <c r="G1951" t="str">
        <f>_xlfn.XLOOKUP(A1951, LOCAL!A:A, LOCAL!B:B)</f>
        <v>Belo Horizonte - MG</v>
      </c>
      <c r="H1951" t="str">
        <f>_xlfn.XLOOKUP(A1951, PORTE!A:A, PORTE!B:B)</f>
        <v>0</v>
      </c>
      <c r="I1951" t="str">
        <f>_xlfn.XLOOKUP(A1951, OBJETIVO!A:A, OBJETIVO!B:B)</f>
        <v>Outro</v>
      </c>
      <c r="J1951">
        <f t="shared" si="30"/>
        <v>0</v>
      </c>
    </row>
    <row r="1952" spans="1:10" x14ac:dyDescent="0.25">
      <c r="A1952">
        <v>10869496</v>
      </c>
      <c r="B1952" s="1">
        <v>45661.900902777779</v>
      </c>
      <c r="C1952" t="s">
        <v>0</v>
      </c>
      <c r="D1952" t="str">
        <f>VLOOKUP(A1952,MERCADO!A:B,2,0)</f>
        <v>Servicos</v>
      </c>
      <c r="E1952" t="str">
        <f>_xlfn.XLOOKUP(A1952, ORIGEM!A:A, ORIGEM!B:B)</f>
        <v>Orgânico</v>
      </c>
      <c r="F1952">
        <f>_xlfn.XLOOKUP(A1952, ORIGEM!A:A, ORIGEM!C:C)</f>
        <v>0</v>
      </c>
      <c r="G1952" t="str">
        <f>_xlfn.XLOOKUP(A1952, LOCAL!A:A, LOCAL!B:B)</f>
        <v>Niterói - RJ</v>
      </c>
      <c r="H1952" t="str">
        <f>_xlfn.XLOOKUP(A1952, PORTE!A:A, PORTE!B:B)</f>
        <v>1-10</v>
      </c>
      <c r="I1952" t="str">
        <f>_xlfn.XLOOKUP(A1952, OBJETIVO!A:A, OBJETIVO!B:B)</f>
        <v>Outro</v>
      </c>
      <c r="J1952">
        <f t="shared" si="30"/>
        <v>0</v>
      </c>
    </row>
    <row r="1953" spans="1:10" x14ac:dyDescent="0.25">
      <c r="A1953">
        <v>10869526</v>
      </c>
      <c r="B1953" s="1">
        <v>45661.90898148148</v>
      </c>
      <c r="C1953" t="s">
        <v>0</v>
      </c>
      <c r="D1953" t="str">
        <f>VLOOKUP(A1953,MERCADO!A:B,2,0)</f>
        <v>Servicos</v>
      </c>
      <c r="E1953" t="str">
        <f>_xlfn.XLOOKUP(A1953, ORIGEM!A:A, ORIGEM!B:B)</f>
        <v>Orgânico</v>
      </c>
      <c r="F1953">
        <f>_xlfn.XLOOKUP(A1953, ORIGEM!A:A, ORIGEM!C:C)</f>
        <v>0</v>
      </c>
      <c r="G1953" t="str">
        <f>_xlfn.XLOOKUP(A1953, LOCAL!A:A, LOCAL!B:B)</f>
        <v>São Paulo - SP</v>
      </c>
      <c r="H1953" t="str">
        <f>_xlfn.XLOOKUP(A1953, PORTE!A:A, PORTE!B:B)</f>
        <v>1-10</v>
      </c>
      <c r="I1953" t="str">
        <f>_xlfn.XLOOKUP(A1953, OBJETIVO!A:A, OBJETIVO!B:B)</f>
        <v>Outro</v>
      </c>
      <c r="J1953">
        <f t="shared" si="30"/>
        <v>0</v>
      </c>
    </row>
    <row r="1954" spans="1:10" x14ac:dyDescent="0.25">
      <c r="A1954">
        <v>10869639</v>
      </c>
      <c r="B1954" s="1">
        <v>45661.93236111111</v>
      </c>
      <c r="C1954" t="s">
        <v>0</v>
      </c>
      <c r="D1954" t="str">
        <f>VLOOKUP(A1954,MERCADO!A:B,2,0)</f>
        <v>Servicos</v>
      </c>
      <c r="E1954" t="str">
        <f>_xlfn.XLOOKUP(A1954, ORIGEM!A:A, ORIGEM!B:B)</f>
        <v>Orgânico</v>
      </c>
      <c r="F1954">
        <f>_xlfn.XLOOKUP(A1954, ORIGEM!A:A, ORIGEM!C:C)</f>
        <v>0</v>
      </c>
      <c r="G1954" t="str">
        <f>_xlfn.XLOOKUP(A1954, LOCAL!A:A, LOCAL!B:B)</f>
        <v>Codó - MA</v>
      </c>
      <c r="H1954" t="str">
        <f>_xlfn.XLOOKUP(A1954, PORTE!A:A, PORTE!B:B)</f>
        <v>0</v>
      </c>
      <c r="I1954" t="str">
        <f>_xlfn.XLOOKUP(A1954, OBJETIVO!A:A, OBJETIVO!B:B)</f>
        <v>Outro</v>
      </c>
      <c r="J1954">
        <f t="shared" si="30"/>
        <v>0</v>
      </c>
    </row>
    <row r="1955" spans="1:10" x14ac:dyDescent="0.25">
      <c r="A1955">
        <v>10860499</v>
      </c>
      <c r="B1955" s="1">
        <v>45661.521956018521</v>
      </c>
      <c r="C1955" t="s">
        <v>0</v>
      </c>
      <c r="D1955" t="str">
        <f>VLOOKUP(A1955,MERCADO!A:B,2,0)</f>
        <v>Servicos</v>
      </c>
      <c r="E1955" t="str">
        <f>_xlfn.XLOOKUP(A1955, ORIGEM!A:A, ORIGEM!B:B)</f>
        <v>Orgânico</v>
      </c>
      <c r="F1955">
        <f>_xlfn.XLOOKUP(A1955, ORIGEM!A:A, ORIGEM!C:C)</f>
        <v>0</v>
      </c>
      <c r="G1955" t="str">
        <f>_xlfn.XLOOKUP(A1955, LOCAL!A:A, LOCAL!B:B)</f>
        <v>Niterói - RJ</v>
      </c>
      <c r="H1955" t="str">
        <f>_xlfn.XLOOKUP(A1955, PORTE!A:A, PORTE!B:B)</f>
        <v>1-10</v>
      </c>
      <c r="I1955" t="str">
        <f>_xlfn.XLOOKUP(A1955, OBJETIVO!A:A, OBJETIVO!B:B)</f>
        <v>Abertura/Expansão</v>
      </c>
      <c r="J1955">
        <f t="shared" si="30"/>
        <v>0</v>
      </c>
    </row>
    <row r="1956" spans="1:10" x14ac:dyDescent="0.25">
      <c r="A1956">
        <v>10861032</v>
      </c>
      <c r="B1956" s="1">
        <v>45661.566759259258</v>
      </c>
      <c r="C1956" t="s">
        <v>0</v>
      </c>
      <c r="D1956" t="str">
        <f>VLOOKUP(A1956,MERCADO!A:B,2,0)</f>
        <v>Servicos</v>
      </c>
      <c r="E1956" t="str">
        <f>_xlfn.XLOOKUP(A1956, ORIGEM!A:A, ORIGEM!B:B)</f>
        <v>Orgânico</v>
      </c>
      <c r="F1956">
        <f>_xlfn.XLOOKUP(A1956, ORIGEM!A:A, ORIGEM!C:C)</f>
        <v>0</v>
      </c>
      <c r="G1956" t="str">
        <f>_xlfn.XLOOKUP(A1956, LOCAL!A:A, LOCAL!B:B)</f>
        <v>Brasília - DF</v>
      </c>
      <c r="H1956" t="str">
        <f>_xlfn.XLOOKUP(A1956, PORTE!A:A, PORTE!B:B)</f>
        <v>1-10</v>
      </c>
      <c r="I1956" t="str">
        <f>_xlfn.XLOOKUP(A1956, OBJETIVO!A:A, OBJETIVO!B:B)</f>
        <v>Outro</v>
      </c>
      <c r="J1956">
        <f t="shared" si="30"/>
        <v>0</v>
      </c>
    </row>
    <row r="1957" spans="1:10" x14ac:dyDescent="0.25">
      <c r="A1957">
        <v>10867131</v>
      </c>
      <c r="B1957" s="1">
        <v>45661.709479166668</v>
      </c>
      <c r="C1957" t="s">
        <v>0</v>
      </c>
      <c r="D1957" t="str">
        <f>VLOOKUP(A1957,MERCADO!A:B,2,0)</f>
        <v>Servicos</v>
      </c>
      <c r="E1957" t="str">
        <f>_xlfn.XLOOKUP(A1957, ORIGEM!A:A, ORIGEM!B:B)</f>
        <v>Orgânico</v>
      </c>
      <c r="F1957">
        <f>_xlfn.XLOOKUP(A1957, ORIGEM!A:A, ORIGEM!C:C)</f>
        <v>0</v>
      </c>
      <c r="G1957" t="str">
        <f>_xlfn.XLOOKUP(A1957, LOCAL!A:A, LOCAL!B:B)</f>
        <v>Santa Ines - MA</v>
      </c>
      <c r="H1957" t="str">
        <f>_xlfn.XLOOKUP(A1957, PORTE!A:A, PORTE!B:B)</f>
        <v>0</v>
      </c>
      <c r="I1957" t="str">
        <f>_xlfn.XLOOKUP(A1957, OBJETIVO!A:A, OBJETIVO!B:B)</f>
        <v>Outro</v>
      </c>
      <c r="J1957">
        <f t="shared" si="30"/>
        <v>0</v>
      </c>
    </row>
    <row r="1958" spans="1:10" x14ac:dyDescent="0.25">
      <c r="A1958">
        <v>10850894</v>
      </c>
      <c r="B1958" s="1">
        <v>45659.682025462964</v>
      </c>
      <c r="C1958" t="s">
        <v>0</v>
      </c>
      <c r="D1958" t="str">
        <f>VLOOKUP(A1958,MERCADO!A:B,2,0)</f>
        <v>Servicos</v>
      </c>
      <c r="E1958" t="str">
        <f>_xlfn.XLOOKUP(A1958, ORIGEM!A:A, ORIGEM!B:B)</f>
        <v>Orgânico</v>
      </c>
      <c r="F1958">
        <f>_xlfn.XLOOKUP(A1958, ORIGEM!A:A, ORIGEM!C:C)</f>
        <v>0</v>
      </c>
      <c r="G1958" t="str">
        <f>_xlfn.XLOOKUP(A1958, LOCAL!A:A, LOCAL!B:B)</f>
        <v>Mangueirinha - PR</v>
      </c>
      <c r="H1958" t="str">
        <f>_xlfn.XLOOKUP(A1958, PORTE!A:A, PORTE!B:B)</f>
        <v>0</v>
      </c>
      <c r="I1958" t="str">
        <f>_xlfn.XLOOKUP(A1958, OBJETIVO!A:A, OBJETIVO!B:B)</f>
        <v>Outro</v>
      </c>
      <c r="J1958">
        <f t="shared" si="30"/>
        <v>0</v>
      </c>
    </row>
    <row r="1959" spans="1:10" x14ac:dyDescent="0.25">
      <c r="A1959">
        <v>10893807</v>
      </c>
      <c r="B1959" s="1">
        <v>45663.90420138889</v>
      </c>
      <c r="C1959" t="s">
        <v>0</v>
      </c>
      <c r="D1959" t="str">
        <f>VLOOKUP(A1959,MERCADO!A:B,2,0)</f>
        <v>Servicos</v>
      </c>
      <c r="E1959" t="str">
        <f>_xlfn.XLOOKUP(A1959, ORIGEM!A:A, ORIGEM!B:B)</f>
        <v>Orgânico</v>
      </c>
      <c r="F1959">
        <f>_xlfn.XLOOKUP(A1959, ORIGEM!A:A, ORIGEM!C:C)</f>
        <v>0</v>
      </c>
      <c r="G1959" t="str">
        <f>_xlfn.XLOOKUP(A1959, LOCAL!A:A, LOCAL!B:B)</f>
        <v>Fortaleza - CE</v>
      </c>
      <c r="H1959" t="str">
        <f>_xlfn.XLOOKUP(A1959, PORTE!A:A, PORTE!B:B)</f>
        <v>0</v>
      </c>
      <c r="I1959" t="str">
        <f>_xlfn.XLOOKUP(A1959, OBJETIVO!A:A, OBJETIVO!B:B)</f>
        <v>Outro</v>
      </c>
      <c r="J1959">
        <f t="shared" si="30"/>
        <v>0</v>
      </c>
    </row>
    <row r="1960" spans="1:10" x14ac:dyDescent="0.25">
      <c r="A1960">
        <v>10898058</v>
      </c>
      <c r="B1960" s="1">
        <v>45664.426006944443</v>
      </c>
      <c r="C1960" t="s">
        <v>0</v>
      </c>
      <c r="D1960" t="str">
        <f>VLOOKUP(A1960,MERCADO!A:B,2,0)</f>
        <v>Servicos</v>
      </c>
      <c r="E1960" t="str">
        <f>_xlfn.XLOOKUP(A1960, ORIGEM!A:A, ORIGEM!B:B)</f>
        <v>Orgânico</v>
      </c>
      <c r="F1960">
        <f>_xlfn.XLOOKUP(A1960, ORIGEM!A:A, ORIGEM!C:C)</f>
        <v>0</v>
      </c>
      <c r="G1960" t="str">
        <f>_xlfn.XLOOKUP(A1960, LOCAL!A:A, LOCAL!B:B)</f>
        <v>Uberlândia - MG</v>
      </c>
      <c r="H1960" t="str">
        <f>_xlfn.XLOOKUP(A1960, PORTE!A:A, PORTE!B:B)</f>
        <v>11-50</v>
      </c>
      <c r="I1960" t="str">
        <f>_xlfn.XLOOKUP(A1960, OBJETIVO!A:A, OBJETIVO!B:B)</f>
        <v>Planejamento estratégico</v>
      </c>
      <c r="J1960">
        <f t="shared" si="30"/>
        <v>0</v>
      </c>
    </row>
    <row r="1961" spans="1:10" x14ac:dyDescent="0.25">
      <c r="A1961">
        <v>10904180</v>
      </c>
      <c r="B1961" s="1">
        <v>45664.698425925926</v>
      </c>
      <c r="C1961" t="s">
        <v>0</v>
      </c>
      <c r="D1961" t="str">
        <f>VLOOKUP(A1961,MERCADO!A:B,2,0)</f>
        <v>Servicos</v>
      </c>
      <c r="E1961" t="str">
        <f>_xlfn.XLOOKUP(A1961, ORIGEM!A:A, ORIGEM!B:B)</f>
        <v>Orgânico</v>
      </c>
      <c r="F1961">
        <f>_xlfn.XLOOKUP(A1961, ORIGEM!A:A, ORIGEM!C:C)</f>
        <v>0</v>
      </c>
      <c r="G1961" t="str">
        <f>_xlfn.XLOOKUP(A1961, LOCAL!A:A, LOCAL!B:B)</f>
        <v>Barra dos Coqueiros - SE</v>
      </c>
      <c r="H1961" t="str">
        <f>_xlfn.XLOOKUP(A1961, PORTE!A:A, PORTE!B:B)</f>
        <v>0</v>
      </c>
      <c r="I1961" t="str">
        <f>_xlfn.XLOOKUP(A1961, OBJETIVO!A:A, OBJETIVO!B:B)</f>
        <v>Outro</v>
      </c>
      <c r="J1961">
        <f t="shared" si="30"/>
        <v>0</v>
      </c>
    </row>
    <row r="1962" spans="1:10" x14ac:dyDescent="0.25">
      <c r="A1962">
        <v>10920661</v>
      </c>
      <c r="B1962" s="1">
        <v>45666.479143518518</v>
      </c>
      <c r="C1962" t="s">
        <v>0</v>
      </c>
      <c r="D1962" t="str">
        <f>VLOOKUP(A1962,MERCADO!A:B,2,0)</f>
        <v>Servicos</v>
      </c>
      <c r="E1962" t="str">
        <f>_xlfn.XLOOKUP(A1962, ORIGEM!A:A, ORIGEM!B:B)</f>
        <v>Orgânico</v>
      </c>
      <c r="F1962">
        <f>_xlfn.XLOOKUP(A1962, ORIGEM!A:A, ORIGEM!C:C)</f>
        <v>0</v>
      </c>
      <c r="G1962" t="str">
        <f>_xlfn.XLOOKUP(A1962, LOCAL!A:A, LOCAL!B:B)</f>
        <v>Orizona - GO</v>
      </c>
      <c r="H1962" t="str">
        <f>_xlfn.XLOOKUP(A1962, PORTE!A:A, PORTE!B:B)</f>
        <v>0</v>
      </c>
      <c r="I1962" t="str">
        <f>_xlfn.XLOOKUP(A1962, OBJETIVO!A:A, OBJETIVO!B:B)</f>
        <v>Outro</v>
      </c>
      <c r="J1962">
        <f t="shared" si="30"/>
        <v>0</v>
      </c>
    </row>
    <row r="1963" spans="1:10" x14ac:dyDescent="0.25">
      <c r="A1963">
        <v>10915665</v>
      </c>
      <c r="B1963" s="1">
        <v>45665.611307870371</v>
      </c>
      <c r="C1963" t="s">
        <v>0</v>
      </c>
      <c r="D1963" t="str">
        <f>VLOOKUP(A1963,MERCADO!A:B,2,0)</f>
        <v>Servicos</v>
      </c>
      <c r="E1963" t="str">
        <f>_xlfn.XLOOKUP(A1963, ORIGEM!A:A, ORIGEM!B:B)</f>
        <v>Orgânico</v>
      </c>
      <c r="F1963">
        <f>_xlfn.XLOOKUP(A1963, ORIGEM!A:A, ORIGEM!C:C)</f>
        <v>0</v>
      </c>
      <c r="G1963" t="str">
        <f>_xlfn.XLOOKUP(A1963, LOCAL!A:A, LOCAL!B:B)</f>
        <v>São Paulo - SP</v>
      </c>
      <c r="H1963" t="str">
        <f>_xlfn.XLOOKUP(A1963, PORTE!A:A, PORTE!B:B)</f>
        <v>1-10</v>
      </c>
      <c r="I1963" t="str">
        <f>_xlfn.XLOOKUP(A1963, OBJETIVO!A:A, OBJETIVO!B:B)</f>
        <v>Outro</v>
      </c>
      <c r="J1963">
        <f t="shared" si="30"/>
        <v>0</v>
      </c>
    </row>
    <row r="1964" spans="1:10" x14ac:dyDescent="0.25">
      <c r="A1964">
        <v>10916151</v>
      </c>
      <c r="B1964" s="1">
        <v>45665.640590277777</v>
      </c>
      <c r="C1964" t="s">
        <v>0</v>
      </c>
      <c r="D1964" t="str">
        <f>VLOOKUP(A1964,MERCADO!A:B,2,0)</f>
        <v>Servicos</v>
      </c>
      <c r="E1964" t="str">
        <f>_xlfn.XLOOKUP(A1964, ORIGEM!A:A, ORIGEM!B:B)</f>
        <v>Orgânico</v>
      </c>
      <c r="F1964">
        <f>_xlfn.XLOOKUP(A1964, ORIGEM!A:A, ORIGEM!C:C)</f>
        <v>0</v>
      </c>
      <c r="G1964" t="str">
        <f>_xlfn.XLOOKUP(A1964, LOCAL!A:A, LOCAL!B:B)</f>
        <v>Magalhaes de Almeida - MA</v>
      </c>
      <c r="H1964" t="str">
        <f>_xlfn.XLOOKUP(A1964, PORTE!A:A, PORTE!B:B)</f>
        <v>1-10</v>
      </c>
      <c r="I1964" t="str">
        <f>_xlfn.XLOOKUP(A1964, OBJETIVO!A:A, OBJETIVO!B:B)</f>
        <v>Outro</v>
      </c>
      <c r="J1964">
        <f t="shared" si="30"/>
        <v>0</v>
      </c>
    </row>
    <row r="1965" spans="1:10" x14ac:dyDescent="0.25">
      <c r="A1965">
        <v>10691481</v>
      </c>
      <c r="B1965" s="1">
        <v>45636.957766203705</v>
      </c>
      <c r="C1965" t="s">
        <v>0</v>
      </c>
      <c r="D1965" t="str">
        <f>VLOOKUP(A1965,MERCADO!A:B,2,0)</f>
        <v>Servicos</v>
      </c>
      <c r="E1965" t="str">
        <f>_xlfn.XLOOKUP(A1965, ORIGEM!A:A, ORIGEM!B:B)</f>
        <v>Orgânico</v>
      </c>
      <c r="F1965">
        <f>_xlfn.XLOOKUP(A1965, ORIGEM!A:A, ORIGEM!C:C)</f>
        <v>0</v>
      </c>
      <c r="G1965" t="str">
        <f>_xlfn.XLOOKUP(A1965, LOCAL!A:A, LOCAL!B:B)</f>
        <v>Porto Alegre - RS</v>
      </c>
      <c r="H1965" t="str">
        <f>_xlfn.XLOOKUP(A1965, PORTE!A:A, PORTE!B:B)</f>
        <v>0</v>
      </c>
      <c r="I1965" t="str">
        <f>_xlfn.XLOOKUP(A1965, OBJETIVO!A:A, OBJETIVO!B:B)</f>
        <v>Outro</v>
      </c>
      <c r="J1965">
        <f t="shared" si="30"/>
        <v>0</v>
      </c>
    </row>
    <row r="1966" spans="1:10" x14ac:dyDescent="0.25">
      <c r="A1966">
        <v>10692039</v>
      </c>
      <c r="B1966" s="1">
        <v>45637.334594907406</v>
      </c>
      <c r="C1966" t="s">
        <v>0</v>
      </c>
      <c r="D1966" t="str">
        <f>VLOOKUP(A1966,MERCADO!A:B,2,0)</f>
        <v>Servicos</v>
      </c>
      <c r="E1966" t="str">
        <f>_xlfn.XLOOKUP(A1966, ORIGEM!A:A, ORIGEM!B:B)</f>
        <v>Orgânico</v>
      </c>
      <c r="F1966">
        <f>_xlfn.XLOOKUP(A1966, ORIGEM!A:A, ORIGEM!C:C)</f>
        <v>0</v>
      </c>
      <c r="G1966" t="str">
        <f>_xlfn.XLOOKUP(A1966, LOCAL!A:A, LOCAL!B:B)</f>
        <v>Delfinopolis - MG</v>
      </c>
      <c r="H1966" t="str">
        <f>_xlfn.XLOOKUP(A1966, PORTE!A:A, PORTE!B:B)</f>
        <v>0</v>
      </c>
      <c r="I1966" t="str">
        <f>_xlfn.XLOOKUP(A1966, OBJETIVO!A:A, OBJETIVO!B:B)</f>
        <v>Outro</v>
      </c>
      <c r="J1966">
        <f t="shared" si="30"/>
        <v>0</v>
      </c>
    </row>
    <row r="1967" spans="1:10" x14ac:dyDescent="0.25">
      <c r="A1967">
        <v>11693311</v>
      </c>
      <c r="B1967" s="1">
        <v>45734.724768518521</v>
      </c>
      <c r="C1967" t="s">
        <v>0</v>
      </c>
      <c r="D1967" t="str">
        <f>VLOOKUP(A1967,MERCADO!A:B,2,0)</f>
        <v>Servicos</v>
      </c>
      <c r="E1967" t="str">
        <f>_xlfn.XLOOKUP(A1967, ORIGEM!A:A, ORIGEM!B:B)</f>
        <v>Orgânico</v>
      </c>
      <c r="F1967">
        <f>_xlfn.XLOOKUP(A1967, ORIGEM!A:A, ORIGEM!C:C)</f>
        <v>0</v>
      </c>
      <c r="G1967" t="str">
        <f>_xlfn.XLOOKUP(A1967, LOCAL!A:A, LOCAL!B:B)</f>
        <v>Rio de Janeiro - RJ</v>
      </c>
      <c r="H1967" t="str">
        <f>_xlfn.XLOOKUP(A1967, PORTE!A:A, PORTE!B:B)</f>
        <v>0</v>
      </c>
      <c r="I1967" t="str">
        <f>_xlfn.XLOOKUP(A1967, OBJETIVO!A:A, OBJETIVO!B:B)</f>
        <v>Abertura/Expansão</v>
      </c>
      <c r="J1967">
        <f t="shared" si="30"/>
        <v>0</v>
      </c>
    </row>
    <row r="1968" spans="1:10" x14ac:dyDescent="0.25">
      <c r="A1968">
        <v>11715944</v>
      </c>
      <c r="B1968" s="1">
        <v>45738.459224537037</v>
      </c>
      <c r="C1968" t="s">
        <v>0</v>
      </c>
      <c r="D1968" t="str">
        <f>VLOOKUP(A1968,MERCADO!A:B,2,0)</f>
        <v>Servicos</v>
      </c>
      <c r="E1968" t="str">
        <f>_xlfn.XLOOKUP(A1968, ORIGEM!A:A, ORIGEM!B:B)</f>
        <v>Orgânico</v>
      </c>
      <c r="F1968">
        <f>_xlfn.XLOOKUP(A1968, ORIGEM!A:A, ORIGEM!C:C)</f>
        <v>0</v>
      </c>
      <c r="G1968" t="str">
        <f>_xlfn.XLOOKUP(A1968, LOCAL!A:A, LOCAL!B:B)</f>
        <v>Madre de Deus - BA</v>
      </c>
      <c r="H1968" t="str">
        <f>_xlfn.XLOOKUP(A1968, PORTE!A:A, PORTE!B:B)</f>
        <v>51-300</v>
      </c>
      <c r="I1968" t="str">
        <f>_xlfn.XLOOKUP(A1968, OBJETIVO!A:A, OBJETIVO!B:B)</f>
        <v>Consultoria</v>
      </c>
      <c r="J1968">
        <f t="shared" si="30"/>
        <v>0</v>
      </c>
    </row>
    <row r="1969" spans="1:10" x14ac:dyDescent="0.25">
      <c r="A1969">
        <v>11746723</v>
      </c>
      <c r="B1969" s="1">
        <v>45740.603576388887</v>
      </c>
      <c r="C1969" t="s">
        <v>0</v>
      </c>
      <c r="D1969" t="str">
        <f>VLOOKUP(A1969,MERCADO!A:B,2,0)</f>
        <v>Servicos</v>
      </c>
      <c r="E1969" t="str">
        <f>_xlfn.XLOOKUP(A1969, ORIGEM!A:A, ORIGEM!B:B)</f>
        <v>Orgânico</v>
      </c>
      <c r="F1969">
        <f>_xlfn.XLOOKUP(A1969, ORIGEM!A:A, ORIGEM!C:C)</f>
        <v>0</v>
      </c>
      <c r="G1969" t="str">
        <f>_xlfn.XLOOKUP(A1969, LOCAL!A:A, LOCAL!B:B)</f>
        <v>Rio de Janeiro - RJ</v>
      </c>
      <c r="H1969" t="str">
        <f>_xlfn.XLOOKUP(A1969, PORTE!A:A, PORTE!B:B)</f>
        <v>0</v>
      </c>
      <c r="I1969" t="str">
        <f>_xlfn.XLOOKUP(A1969, OBJETIVO!A:A, OBJETIVO!B:B)</f>
        <v>Abertura/Expansão</v>
      </c>
      <c r="J1969">
        <f t="shared" si="30"/>
        <v>0</v>
      </c>
    </row>
    <row r="1970" spans="1:10" x14ac:dyDescent="0.25">
      <c r="A1970">
        <v>11682454</v>
      </c>
      <c r="B1970" s="1">
        <v>45734.32408564815</v>
      </c>
      <c r="C1970" t="s">
        <v>0</v>
      </c>
      <c r="D1970" t="str">
        <f>VLOOKUP(A1970,MERCADO!A:B,2,0)</f>
        <v>Servicos</v>
      </c>
      <c r="E1970" t="str">
        <f>_xlfn.XLOOKUP(A1970, ORIGEM!A:A, ORIGEM!B:B)</f>
        <v>Orgânico</v>
      </c>
      <c r="F1970">
        <f>_xlfn.XLOOKUP(A1970, ORIGEM!A:A, ORIGEM!C:C)</f>
        <v>0</v>
      </c>
      <c r="G1970" t="str">
        <f>_xlfn.XLOOKUP(A1970, LOCAL!A:A, LOCAL!B:B)</f>
        <v>Santa Bárbara d\'Oeste - SP</v>
      </c>
      <c r="H1970" t="str">
        <f>_xlfn.XLOOKUP(A1970, PORTE!A:A, PORTE!B:B)</f>
        <v>1-10</v>
      </c>
      <c r="I1970" t="str">
        <f>_xlfn.XLOOKUP(A1970, OBJETIVO!A:A, OBJETIVO!B:B)</f>
        <v>Abertura/Expansão</v>
      </c>
      <c r="J1970">
        <f t="shared" si="30"/>
        <v>0</v>
      </c>
    </row>
    <row r="1971" spans="1:10" x14ac:dyDescent="0.25">
      <c r="A1971">
        <v>11685706</v>
      </c>
      <c r="B1971" s="1">
        <v>45734.467222222222</v>
      </c>
      <c r="C1971" t="s">
        <v>0</v>
      </c>
      <c r="D1971" t="str">
        <f>VLOOKUP(A1971,MERCADO!A:B,2,0)</f>
        <v>Servicos</v>
      </c>
      <c r="E1971" t="str">
        <f>_xlfn.XLOOKUP(A1971, ORIGEM!A:A, ORIGEM!B:B)</f>
        <v>Orgânico</v>
      </c>
      <c r="F1971">
        <f>_xlfn.XLOOKUP(A1971, ORIGEM!A:A, ORIGEM!C:C)</f>
        <v>0</v>
      </c>
      <c r="G1971" t="str">
        <f>_xlfn.XLOOKUP(A1971, LOCAL!A:A, LOCAL!B:B)</f>
        <v>Rio de Janeiro - RJ</v>
      </c>
      <c r="H1971" t="str">
        <f>_xlfn.XLOOKUP(A1971, PORTE!A:A, PORTE!B:B)</f>
        <v>1-10</v>
      </c>
      <c r="I1971" t="str">
        <f>_xlfn.XLOOKUP(A1971, OBJETIVO!A:A, OBJETIVO!B:B)</f>
        <v>Ações de marketing/vendas</v>
      </c>
      <c r="J1971">
        <f t="shared" si="30"/>
        <v>0</v>
      </c>
    </row>
    <row r="1972" spans="1:10" x14ac:dyDescent="0.25">
      <c r="A1972">
        <v>11549074</v>
      </c>
      <c r="B1972" s="1">
        <v>45721.443611111114</v>
      </c>
      <c r="C1972" t="s">
        <v>0</v>
      </c>
      <c r="D1972" t="str">
        <f>VLOOKUP(A1972,MERCADO!A:B,2,0)</f>
        <v>Servicos</v>
      </c>
      <c r="E1972" t="str">
        <f>_xlfn.XLOOKUP(A1972, ORIGEM!A:A, ORIGEM!B:B)</f>
        <v>Orgânico</v>
      </c>
      <c r="F1972">
        <f>_xlfn.XLOOKUP(A1972, ORIGEM!A:A, ORIGEM!C:C)</f>
        <v>0</v>
      </c>
      <c r="G1972" t="str">
        <f>_xlfn.XLOOKUP(A1972, LOCAL!A:A, LOCAL!B:B)</f>
        <v>Niterói - RJ</v>
      </c>
      <c r="H1972" t="str">
        <f>_xlfn.XLOOKUP(A1972, PORTE!A:A, PORTE!B:B)</f>
        <v>1-10</v>
      </c>
      <c r="I1972" t="str">
        <f>_xlfn.XLOOKUP(A1972, OBJETIVO!A:A, OBJETIVO!B:B)</f>
        <v>Abertura/Expansão</v>
      </c>
      <c r="J1972">
        <f t="shared" si="30"/>
        <v>0</v>
      </c>
    </row>
    <row r="1973" spans="1:10" x14ac:dyDescent="0.25">
      <c r="A1973">
        <v>11524388</v>
      </c>
      <c r="B1973" s="1">
        <v>45719.692962962959</v>
      </c>
      <c r="C1973" t="s">
        <v>0</v>
      </c>
      <c r="D1973" t="str">
        <f>VLOOKUP(A1973,MERCADO!A:B,2,0)</f>
        <v>Servicos</v>
      </c>
      <c r="E1973" t="str">
        <f>_xlfn.XLOOKUP(A1973, ORIGEM!A:A, ORIGEM!B:B)</f>
        <v>Orgânico</v>
      </c>
      <c r="F1973">
        <f>_xlfn.XLOOKUP(A1973, ORIGEM!A:A, ORIGEM!C:C)</f>
        <v>0</v>
      </c>
      <c r="G1973" t="str">
        <f>_xlfn.XLOOKUP(A1973, LOCAL!A:A, LOCAL!B:B)</f>
        <v>Rio de Janeiro - RJ</v>
      </c>
      <c r="H1973" t="str">
        <f>_xlfn.XLOOKUP(A1973, PORTE!A:A, PORTE!B:B)</f>
        <v>0</v>
      </c>
      <c r="I1973" t="str">
        <f>_xlfn.XLOOKUP(A1973, OBJETIVO!A:A, OBJETIVO!B:B)</f>
        <v>Consultoria</v>
      </c>
      <c r="J1973">
        <f t="shared" si="30"/>
        <v>0</v>
      </c>
    </row>
    <row r="1974" spans="1:10" x14ac:dyDescent="0.25">
      <c r="A1974">
        <v>11527692</v>
      </c>
      <c r="B1974" s="1">
        <v>45719.929178240738</v>
      </c>
      <c r="C1974" t="s">
        <v>0</v>
      </c>
      <c r="D1974" t="str">
        <f>VLOOKUP(A1974,MERCADO!A:B,2,0)</f>
        <v>Servicos</v>
      </c>
      <c r="E1974" t="str">
        <f>_xlfn.XLOOKUP(A1974, ORIGEM!A:A, ORIGEM!B:B)</f>
        <v>Orgânico</v>
      </c>
      <c r="F1974">
        <f>_xlfn.XLOOKUP(A1974, ORIGEM!A:A, ORIGEM!C:C)</f>
        <v>0</v>
      </c>
      <c r="G1974" t="str">
        <f>_xlfn.XLOOKUP(A1974, LOCAL!A:A, LOCAL!B:B)</f>
        <v>São Paulo - SP</v>
      </c>
      <c r="H1974" t="str">
        <f>_xlfn.XLOOKUP(A1974, PORTE!A:A, PORTE!B:B)</f>
        <v>1-10</v>
      </c>
      <c r="I1974" t="str">
        <f>_xlfn.XLOOKUP(A1974, OBJETIVO!A:A, OBJETIVO!B:B)</f>
        <v>Abertura/Expansão</v>
      </c>
      <c r="J1974">
        <f t="shared" si="30"/>
        <v>0</v>
      </c>
    </row>
    <row r="1975" spans="1:10" x14ac:dyDescent="0.25">
      <c r="A1975">
        <v>11331877</v>
      </c>
      <c r="B1975" s="1">
        <v>45699.998969907407</v>
      </c>
      <c r="C1975" t="s">
        <v>0</v>
      </c>
      <c r="D1975" t="str">
        <f>VLOOKUP(A1975,MERCADO!A:B,2,0)</f>
        <v>Servicos</v>
      </c>
      <c r="E1975" t="str">
        <f>_xlfn.XLOOKUP(A1975, ORIGEM!A:A, ORIGEM!B:B)</f>
        <v>Orgânico</v>
      </c>
      <c r="F1975">
        <f>_xlfn.XLOOKUP(A1975, ORIGEM!A:A, ORIGEM!C:C)</f>
        <v>0</v>
      </c>
      <c r="G1975" t="str">
        <f>_xlfn.XLOOKUP(A1975, LOCAL!A:A, LOCAL!B:B)</f>
        <v>Rio de Janeiro - RJ</v>
      </c>
      <c r="H1975" t="str">
        <f>_xlfn.XLOOKUP(A1975, PORTE!A:A, PORTE!B:B)</f>
        <v>51-300</v>
      </c>
      <c r="I1975" t="str">
        <f>_xlfn.XLOOKUP(A1975, OBJETIVO!A:A, OBJETIVO!B:B)</f>
        <v>Abertura/Expansão</v>
      </c>
      <c r="J1975">
        <f t="shared" si="30"/>
        <v>0</v>
      </c>
    </row>
    <row r="1976" spans="1:10" x14ac:dyDescent="0.25">
      <c r="A1976">
        <v>11664724</v>
      </c>
      <c r="B1976" s="1">
        <v>45732.921979166669</v>
      </c>
      <c r="C1976" t="s">
        <v>0</v>
      </c>
      <c r="D1976" t="str">
        <f>VLOOKUP(A1976,MERCADO!A:B,2,0)</f>
        <v>Servicos</v>
      </c>
      <c r="E1976" t="str">
        <f>_xlfn.XLOOKUP(A1976, ORIGEM!A:A, ORIGEM!B:B)</f>
        <v>Orgânico</v>
      </c>
      <c r="F1976">
        <f>_xlfn.XLOOKUP(A1976, ORIGEM!A:A, ORIGEM!C:C)</f>
        <v>0</v>
      </c>
      <c r="G1976" t="str">
        <f>_xlfn.XLOOKUP(A1976, LOCAL!A:A, LOCAL!B:B)</f>
        <v>Barra dos Coqueiros - SE</v>
      </c>
      <c r="H1976" t="str">
        <f>_xlfn.XLOOKUP(A1976, PORTE!A:A, PORTE!B:B)</f>
        <v>0</v>
      </c>
      <c r="I1976" t="str">
        <f>_xlfn.XLOOKUP(A1976, OBJETIVO!A:A, OBJETIVO!B:B)</f>
        <v>Abertura/Expansão</v>
      </c>
      <c r="J1976">
        <f t="shared" si="30"/>
        <v>0</v>
      </c>
    </row>
    <row r="1977" spans="1:10" x14ac:dyDescent="0.25">
      <c r="A1977">
        <v>11707234</v>
      </c>
      <c r="B1977" s="1">
        <v>45736.375763888886</v>
      </c>
      <c r="C1977" t="s">
        <v>0</v>
      </c>
      <c r="D1977" t="str">
        <f>VLOOKUP(A1977,MERCADO!A:B,2,0)</f>
        <v>Servicos</v>
      </c>
      <c r="E1977" t="str">
        <f>_xlfn.XLOOKUP(A1977, ORIGEM!A:A, ORIGEM!B:B)</f>
        <v>Orgânico</v>
      </c>
      <c r="F1977">
        <f>_xlfn.XLOOKUP(A1977, ORIGEM!A:A, ORIGEM!C:C)</f>
        <v>0</v>
      </c>
      <c r="G1977" t="str">
        <f>_xlfn.XLOOKUP(A1977, LOCAL!A:A, LOCAL!B:B)</f>
        <v>Niterói - RJ</v>
      </c>
      <c r="H1977" t="str">
        <f>_xlfn.XLOOKUP(A1977, PORTE!A:A, PORTE!B:B)</f>
        <v>1-10</v>
      </c>
      <c r="I1977" t="str">
        <f>_xlfn.XLOOKUP(A1977, OBJETIVO!A:A, OBJETIVO!B:B)</f>
        <v>Abertura/Expansão</v>
      </c>
      <c r="J1977">
        <f t="shared" si="30"/>
        <v>0</v>
      </c>
    </row>
    <row r="1978" spans="1:10" x14ac:dyDescent="0.25">
      <c r="A1978">
        <v>11447359</v>
      </c>
      <c r="B1978" s="1">
        <v>45712.571388888886</v>
      </c>
      <c r="C1978" t="s">
        <v>0</v>
      </c>
      <c r="D1978" t="str">
        <f>VLOOKUP(A1978,MERCADO!A:B,2,0)</f>
        <v>Servicos</v>
      </c>
      <c r="E1978" t="str">
        <f>_xlfn.XLOOKUP(A1978, ORIGEM!A:A, ORIGEM!B:B)</f>
        <v>Orgânico</v>
      </c>
      <c r="F1978">
        <f>_xlfn.XLOOKUP(A1978, ORIGEM!A:A, ORIGEM!C:C)</f>
        <v>0</v>
      </c>
      <c r="G1978" t="str">
        <f>_xlfn.XLOOKUP(A1978, LOCAL!A:A, LOCAL!B:B)</f>
        <v>Belo Horizonte - MG</v>
      </c>
      <c r="H1978" t="str">
        <f>_xlfn.XLOOKUP(A1978, PORTE!A:A, PORTE!B:B)</f>
        <v>11-50</v>
      </c>
      <c r="I1978" t="str">
        <f>_xlfn.XLOOKUP(A1978, OBJETIVO!A:A, OBJETIVO!B:B)</f>
        <v>Ações de marketing/vendas</v>
      </c>
      <c r="J1978">
        <f t="shared" si="30"/>
        <v>0</v>
      </c>
    </row>
    <row r="1979" spans="1:10" x14ac:dyDescent="0.25">
      <c r="A1979">
        <v>11465068</v>
      </c>
      <c r="B1979" s="1">
        <v>45713.679583333331</v>
      </c>
      <c r="C1979" t="s">
        <v>0</v>
      </c>
      <c r="D1979" t="str">
        <f>VLOOKUP(A1979,MERCADO!A:B,2,0)</f>
        <v>Servicos</v>
      </c>
      <c r="E1979" t="str">
        <f>_xlfn.XLOOKUP(A1979, ORIGEM!A:A, ORIGEM!B:B)</f>
        <v>Orgânico</v>
      </c>
      <c r="F1979">
        <f>_xlfn.XLOOKUP(A1979, ORIGEM!A:A, ORIGEM!C:C)</f>
        <v>0</v>
      </c>
      <c r="G1979" t="str">
        <f>_xlfn.XLOOKUP(A1979, LOCAL!A:A, LOCAL!B:B)</f>
        <v>São Paulo - SP</v>
      </c>
      <c r="H1979" t="str">
        <f>_xlfn.XLOOKUP(A1979, PORTE!A:A, PORTE!B:B)</f>
        <v>51-300</v>
      </c>
      <c r="I1979" t="str">
        <f>_xlfn.XLOOKUP(A1979, OBJETIVO!A:A, OBJETIVO!B:B)</f>
        <v>Abertura/Expansão</v>
      </c>
      <c r="J1979">
        <f t="shared" si="30"/>
        <v>0</v>
      </c>
    </row>
    <row r="1980" spans="1:10" x14ac:dyDescent="0.25">
      <c r="A1980">
        <v>10951238</v>
      </c>
      <c r="B1980" s="1">
        <v>45669.676828703705</v>
      </c>
      <c r="C1980" t="s">
        <v>0</v>
      </c>
      <c r="D1980" t="str">
        <f>VLOOKUP(A1980,MERCADO!A:B,2,0)</f>
        <v>Servicos</v>
      </c>
      <c r="E1980" t="str">
        <f>_xlfn.XLOOKUP(A1980, ORIGEM!A:A, ORIGEM!B:B)</f>
        <v>Orgânico</v>
      </c>
      <c r="F1980">
        <f>_xlfn.XLOOKUP(A1980, ORIGEM!A:A, ORIGEM!C:C)</f>
        <v>0</v>
      </c>
      <c r="G1980" t="str">
        <f>_xlfn.XLOOKUP(A1980, LOCAL!A:A, LOCAL!B:B)</f>
        <v>Blumenau - SC</v>
      </c>
      <c r="H1980" t="str">
        <f>_xlfn.XLOOKUP(A1980, PORTE!A:A, PORTE!B:B)</f>
        <v>0</v>
      </c>
      <c r="I1980" t="str">
        <f>_xlfn.XLOOKUP(A1980, OBJETIVO!A:A, OBJETIVO!B:B)</f>
        <v>Outro</v>
      </c>
      <c r="J1980">
        <f t="shared" si="30"/>
        <v>0</v>
      </c>
    </row>
    <row r="1981" spans="1:10" x14ac:dyDescent="0.25">
      <c r="A1981">
        <v>11498479</v>
      </c>
      <c r="B1981" s="1">
        <v>45717.803923611114</v>
      </c>
      <c r="C1981" t="s">
        <v>0</v>
      </c>
      <c r="D1981" t="str">
        <f>VLOOKUP(A1981,MERCADO!A:B,2,0)</f>
        <v>Servicos</v>
      </c>
      <c r="E1981" t="str">
        <f>_xlfn.XLOOKUP(A1981, ORIGEM!A:A, ORIGEM!B:B)</f>
        <v>Orgânico</v>
      </c>
      <c r="F1981">
        <f>_xlfn.XLOOKUP(A1981, ORIGEM!A:A, ORIGEM!C:C)</f>
        <v>0</v>
      </c>
      <c r="G1981" t="str">
        <f>_xlfn.XLOOKUP(A1981, LOCAL!A:A, LOCAL!B:B)</f>
        <v>Vila Velha - ES</v>
      </c>
      <c r="H1981" t="str">
        <f>_xlfn.XLOOKUP(A1981, PORTE!A:A, PORTE!B:B)</f>
        <v>0</v>
      </c>
      <c r="I1981" t="str">
        <f>_xlfn.XLOOKUP(A1981, OBJETIVO!A:A, OBJETIVO!B:B)</f>
        <v>Abertura/Expansão</v>
      </c>
      <c r="J1981">
        <f t="shared" si="30"/>
        <v>0</v>
      </c>
    </row>
    <row r="1982" spans="1:10" x14ac:dyDescent="0.25">
      <c r="A1982">
        <v>11498689</v>
      </c>
      <c r="B1982" s="1">
        <v>45717.849803240744</v>
      </c>
      <c r="C1982" t="s">
        <v>0</v>
      </c>
      <c r="D1982" t="str">
        <f>VLOOKUP(A1982,MERCADO!A:B,2,0)</f>
        <v>Servicos</v>
      </c>
      <c r="E1982" t="str">
        <f>_xlfn.XLOOKUP(A1982, ORIGEM!A:A, ORIGEM!B:B)</f>
        <v>Orgânico</v>
      </c>
      <c r="F1982">
        <f>_xlfn.XLOOKUP(A1982, ORIGEM!A:A, ORIGEM!C:C)</f>
        <v>0</v>
      </c>
      <c r="G1982" t="str">
        <f>_xlfn.XLOOKUP(A1982, LOCAL!A:A, LOCAL!B:B)</f>
        <v>Niterói - RJ</v>
      </c>
      <c r="H1982" t="str">
        <f>_xlfn.XLOOKUP(A1982, PORTE!A:A, PORTE!B:B)</f>
        <v>1-10</v>
      </c>
      <c r="I1982" t="str">
        <f>_xlfn.XLOOKUP(A1982, OBJETIVO!A:A, OBJETIVO!B:B)</f>
        <v>Abertura/Expansão</v>
      </c>
      <c r="J1982">
        <f t="shared" si="30"/>
        <v>0</v>
      </c>
    </row>
    <row r="1983" spans="1:10" x14ac:dyDescent="0.25">
      <c r="A1983">
        <v>11512476</v>
      </c>
      <c r="B1983" s="1">
        <v>45718.970914351848</v>
      </c>
      <c r="C1983" t="s">
        <v>0</v>
      </c>
      <c r="D1983" t="str">
        <f>VLOOKUP(A1983,MERCADO!A:B,2,0)</f>
        <v>Servicos</v>
      </c>
      <c r="E1983" t="str">
        <f>_xlfn.XLOOKUP(A1983, ORIGEM!A:A, ORIGEM!B:B)</f>
        <v>Orgânico</v>
      </c>
      <c r="F1983">
        <f>_xlfn.XLOOKUP(A1983, ORIGEM!A:A, ORIGEM!C:C)</f>
        <v>0</v>
      </c>
      <c r="G1983" t="str">
        <f>_xlfn.XLOOKUP(A1983, LOCAL!A:A, LOCAL!B:B)</f>
        <v>Brasília - DF</v>
      </c>
      <c r="H1983" t="str">
        <f>_xlfn.XLOOKUP(A1983, PORTE!A:A, PORTE!B:B)</f>
        <v>0</v>
      </c>
      <c r="I1983" t="str">
        <f>_xlfn.XLOOKUP(A1983, OBJETIVO!A:A, OBJETIVO!B:B)</f>
        <v>Consultoria</v>
      </c>
      <c r="J1983">
        <f t="shared" si="30"/>
        <v>0</v>
      </c>
    </row>
    <row r="1984" spans="1:10" x14ac:dyDescent="0.25">
      <c r="A1984">
        <v>11444637</v>
      </c>
      <c r="B1984" s="1">
        <v>45712.446030092593</v>
      </c>
      <c r="C1984" t="s">
        <v>0</v>
      </c>
      <c r="D1984" t="str">
        <f>VLOOKUP(A1984,MERCADO!A:B,2,0)</f>
        <v>Servicos</v>
      </c>
      <c r="E1984" t="str">
        <f>_xlfn.XLOOKUP(A1984, ORIGEM!A:A, ORIGEM!B:B)</f>
        <v>Orgânico</v>
      </c>
      <c r="F1984">
        <f>_xlfn.XLOOKUP(A1984, ORIGEM!A:A, ORIGEM!C:C)</f>
        <v>0</v>
      </c>
      <c r="G1984" t="str">
        <f>_xlfn.XLOOKUP(A1984, LOCAL!A:A, LOCAL!B:B)</f>
        <v>São Paulo - SP</v>
      </c>
      <c r="H1984" t="str">
        <f>_xlfn.XLOOKUP(A1984, PORTE!A:A, PORTE!B:B)</f>
        <v>1-10</v>
      </c>
      <c r="I1984" t="str">
        <f>_xlfn.XLOOKUP(A1984, OBJETIVO!A:A, OBJETIVO!B:B)</f>
        <v>Geração de leads b2b</v>
      </c>
      <c r="J1984">
        <f t="shared" si="30"/>
        <v>0</v>
      </c>
    </row>
    <row r="1985" spans="1:10" x14ac:dyDescent="0.25">
      <c r="A1985">
        <v>11434479</v>
      </c>
      <c r="B1985" s="1">
        <v>45711.620682870373</v>
      </c>
      <c r="C1985" t="s">
        <v>0</v>
      </c>
      <c r="D1985" t="str">
        <f>VLOOKUP(A1985,MERCADO!A:B,2,0)</f>
        <v>Servicos</v>
      </c>
      <c r="E1985" t="str">
        <f>_xlfn.XLOOKUP(A1985, ORIGEM!A:A, ORIGEM!B:B)</f>
        <v>Orgânico</v>
      </c>
      <c r="F1985">
        <f>_xlfn.XLOOKUP(A1985, ORIGEM!A:A, ORIGEM!C:C)</f>
        <v>0</v>
      </c>
      <c r="G1985" t="str">
        <f>_xlfn.XLOOKUP(A1985, LOCAL!A:A, LOCAL!B:B)</f>
        <v>Pelotas - RS</v>
      </c>
      <c r="H1985" t="str">
        <f>_xlfn.XLOOKUP(A1985, PORTE!A:A, PORTE!B:B)</f>
        <v>0</v>
      </c>
      <c r="I1985" t="str">
        <f>_xlfn.XLOOKUP(A1985, OBJETIVO!A:A, OBJETIVO!B:B)</f>
        <v>Abertura/Expansão</v>
      </c>
      <c r="J1985">
        <f t="shared" si="30"/>
        <v>0</v>
      </c>
    </row>
    <row r="1986" spans="1:10" x14ac:dyDescent="0.25">
      <c r="A1986">
        <v>11393183</v>
      </c>
      <c r="B1986" s="1">
        <v>45706.710694444446</v>
      </c>
      <c r="C1986" t="s">
        <v>0</v>
      </c>
      <c r="D1986" t="str">
        <f>VLOOKUP(A1986,MERCADO!A:B,2,0)</f>
        <v>Servicos</v>
      </c>
      <c r="E1986" t="str">
        <f>_xlfn.XLOOKUP(A1986, ORIGEM!A:A, ORIGEM!B:B)</f>
        <v>Orgânico</v>
      </c>
      <c r="F1986">
        <f>_xlfn.XLOOKUP(A1986, ORIGEM!A:A, ORIGEM!C:C)</f>
        <v>0</v>
      </c>
      <c r="G1986" t="str">
        <f>_xlfn.XLOOKUP(A1986, LOCAL!A:A, LOCAL!B:B)</f>
        <v>Belo Horizonte - MG</v>
      </c>
      <c r="H1986" t="str">
        <f>_xlfn.XLOOKUP(A1986, PORTE!A:A, PORTE!B:B)</f>
        <v>0</v>
      </c>
      <c r="I1986" t="str">
        <f>_xlfn.XLOOKUP(A1986, OBJETIVO!A:A, OBJETIVO!B:B)</f>
        <v>Outro</v>
      </c>
      <c r="J1986">
        <f t="shared" si="30"/>
        <v>0</v>
      </c>
    </row>
    <row r="1987" spans="1:10" x14ac:dyDescent="0.25">
      <c r="A1987">
        <v>11381611</v>
      </c>
      <c r="B1987" s="1">
        <v>45705.786793981482</v>
      </c>
      <c r="C1987" t="s">
        <v>0</v>
      </c>
      <c r="D1987" t="str">
        <f>VLOOKUP(A1987,MERCADO!A:B,2,0)</f>
        <v>Servicos</v>
      </c>
      <c r="E1987" t="str">
        <f>_xlfn.XLOOKUP(A1987, ORIGEM!A:A, ORIGEM!B:B)</f>
        <v>Orgânico</v>
      </c>
      <c r="F1987">
        <f>_xlfn.XLOOKUP(A1987, ORIGEM!A:A, ORIGEM!C:C)</f>
        <v>0</v>
      </c>
      <c r="G1987" t="str">
        <f>_xlfn.XLOOKUP(A1987, LOCAL!A:A, LOCAL!B:B)</f>
        <v>Rio de Janeiro - RJ</v>
      </c>
      <c r="H1987" t="str">
        <f>_xlfn.XLOOKUP(A1987, PORTE!A:A, PORTE!B:B)</f>
        <v>51-300</v>
      </c>
      <c r="I1987" t="str">
        <f>_xlfn.XLOOKUP(A1987, OBJETIVO!A:A, OBJETIVO!B:B)</f>
        <v>Abertura/Expansão</v>
      </c>
      <c r="J1987">
        <f t="shared" ref="J1987:J2050" si="31">IF(C1987="SIM",1,0)</f>
        <v>0</v>
      </c>
    </row>
    <row r="1988" spans="1:10" x14ac:dyDescent="0.25">
      <c r="A1988">
        <v>11395125</v>
      </c>
      <c r="B1988" s="1">
        <v>45706.918055555558</v>
      </c>
      <c r="C1988" t="s">
        <v>0</v>
      </c>
      <c r="D1988" t="str">
        <f>VLOOKUP(A1988,MERCADO!A:B,2,0)</f>
        <v>Servicos</v>
      </c>
      <c r="E1988" t="str">
        <f>_xlfn.XLOOKUP(A1988, ORIGEM!A:A, ORIGEM!B:B)</f>
        <v>Orgânico</v>
      </c>
      <c r="F1988">
        <f>_xlfn.XLOOKUP(A1988, ORIGEM!A:A, ORIGEM!C:C)</f>
        <v>0</v>
      </c>
      <c r="G1988" t="str">
        <f>_xlfn.XLOOKUP(A1988, LOCAL!A:A, LOCAL!B:B)</f>
        <v>Santo André - SP</v>
      </c>
      <c r="H1988" t="str">
        <f>_xlfn.XLOOKUP(A1988, PORTE!A:A, PORTE!B:B)</f>
        <v>1-10</v>
      </c>
      <c r="I1988" t="str">
        <f>_xlfn.XLOOKUP(A1988, OBJETIVO!A:A, OBJETIVO!B:B)</f>
        <v>Planejamento estratégico</v>
      </c>
      <c r="J1988">
        <f t="shared" si="31"/>
        <v>0</v>
      </c>
    </row>
    <row r="1989" spans="1:10" x14ac:dyDescent="0.25">
      <c r="A1989">
        <v>11270435</v>
      </c>
      <c r="B1989" s="1">
        <v>45694.87672453704</v>
      </c>
      <c r="C1989" t="s">
        <v>0</v>
      </c>
      <c r="D1989" t="str">
        <f>VLOOKUP(A1989,MERCADO!A:B,2,0)</f>
        <v>Servicos</v>
      </c>
      <c r="E1989" t="str">
        <f>_xlfn.XLOOKUP(A1989, ORIGEM!A:A, ORIGEM!B:B)</f>
        <v>Orgânico</v>
      </c>
      <c r="F1989">
        <f>_xlfn.XLOOKUP(A1989, ORIGEM!A:A, ORIGEM!C:C)</f>
        <v>0</v>
      </c>
      <c r="G1989" t="str">
        <f>_xlfn.XLOOKUP(A1989, LOCAL!A:A, LOCAL!B:B)</f>
        <v>Passo Fundo - RS</v>
      </c>
      <c r="H1989" t="str">
        <f>_xlfn.XLOOKUP(A1989, PORTE!A:A, PORTE!B:B)</f>
        <v>11-50</v>
      </c>
      <c r="I1989" t="str">
        <f>_xlfn.XLOOKUP(A1989, OBJETIVO!A:A, OBJETIVO!B:B)</f>
        <v>Geração de leads b2b</v>
      </c>
      <c r="J1989">
        <f t="shared" si="31"/>
        <v>0</v>
      </c>
    </row>
    <row r="1990" spans="1:10" x14ac:dyDescent="0.25">
      <c r="A1990">
        <v>11279361</v>
      </c>
      <c r="B1990" s="1">
        <v>45696.502997685187</v>
      </c>
      <c r="C1990" t="s">
        <v>0</v>
      </c>
      <c r="D1990" t="str">
        <f>VLOOKUP(A1990,MERCADO!A:B,2,0)</f>
        <v>Servicos</v>
      </c>
      <c r="E1990" t="str">
        <f>_xlfn.XLOOKUP(A1990, ORIGEM!A:A, ORIGEM!B:B)</f>
        <v>Orgânico</v>
      </c>
      <c r="F1990">
        <f>_xlfn.XLOOKUP(A1990, ORIGEM!A:A, ORIGEM!C:C)</f>
        <v>0</v>
      </c>
      <c r="G1990" t="str">
        <f>_xlfn.XLOOKUP(A1990, LOCAL!A:A, LOCAL!B:B)</f>
        <v>Curitiba - PR</v>
      </c>
      <c r="H1990" t="str">
        <f>_xlfn.XLOOKUP(A1990, PORTE!A:A, PORTE!B:B)</f>
        <v>0</v>
      </c>
      <c r="I1990" t="str">
        <f>_xlfn.XLOOKUP(A1990, OBJETIVO!A:A, OBJETIVO!B:B)</f>
        <v>Outro</v>
      </c>
      <c r="J1990">
        <f t="shared" si="31"/>
        <v>0</v>
      </c>
    </row>
    <row r="1991" spans="1:10" x14ac:dyDescent="0.25">
      <c r="A1991">
        <v>11304512</v>
      </c>
      <c r="B1991" s="1">
        <v>45697.799328703702</v>
      </c>
      <c r="C1991" t="s">
        <v>0</v>
      </c>
      <c r="D1991" t="str">
        <f>VLOOKUP(A1991,MERCADO!A:B,2,0)</f>
        <v>Servicos</v>
      </c>
      <c r="E1991" t="str">
        <f>_xlfn.XLOOKUP(A1991, ORIGEM!A:A, ORIGEM!B:B)</f>
        <v>Orgânico</v>
      </c>
      <c r="F1991">
        <f>_xlfn.XLOOKUP(A1991, ORIGEM!A:A, ORIGEM!C:C)</f>
        <v>0</v>
      </c>
      <c r="G1991" t="str">
        <f>_xlfn.XLOOKUP(A1991, LOCAL!A:A, LOCAL!B:B)</f>
        <v>Santana do Garambeu - MG</v>
      </c>
      <c r="H1991" t="str">
        <f>_xlfn.XLOOKUP(A1991, PORTE!A:A, PORTE!B:B)</f>
        <v>0</v>
      </c>
      <c r="I1991" t="str">
        <f>_xlfn.XLOOKUP(A1991, OBJETIVO!A:A, OBJETIVO!B:B)</f>
        <v>Abertura/Expansão</v>
      </c>
      <c r="J1991">
        <f t="shared" si="31"/>
        <v>0</v>
      </c>
    </row>
    <row r="1992" spans="1:10" x14ac:dyDescent="0.25">
      <c r="A1992">
        <v>11299844</v>
      </c>
      <c r="B1992" s="1">
        <v>45697.602905092594</v>
      </c>
      <c r="C1992" t="s">
        <v>0</v>
      </c>
      <c r="D1992" t="str">
        <f>VLOOKUP(A1992,MERCADO!A:B,2,0)</f>
        <v>Servicos</v>
      </c>
      <c r="E1992" t="str">
        <f>_xlfn.XLOOKUP(A1992, ORIGEM!A:A, ORIGEM!B:B)</f>
        <v>Orgânico</v>
      </c>
      <c r="F1992">
        <f>_xlfn.XLOOKUP(A1992, ORIGEM!A:A, ORIGEM!C:C)</f>
        <v>0</v>
      </c>
      <c r="G1992" t="str">
        <f>_xlfn.XLOOKUP(A1992, LOCAL!A:A, LOCAL!B:B)</f>
        <v>Nova Granada - MG</v>
      </c>
      <c r="H1992" t="str">
        <f>_xlfn.XLOOKUP(A1992, PORTE!A:A, PORTE!B:B)</f>
        <v>+ 1000</v>
      </c>
      <c r="I1992" t="str">
        <f>_xlfn.XLOOKUP(A1992, OBJETIVO!A:A, OBJETIVO!B:B)</f>
        <v>Geração de leads b2b</v>
      </c>
      <c r="J1992">
        <f t="shared" si="31"/>
        <v>0</v>
      </c>
    </row>
    <row r="1993" spans="1:10" x14ac:dyDescent="0.25">
      <c r="A1993">
        <v>11511313</v>
      </c>
      <c r="B1993" s="1">
        <v>45718.752199074072</v>
      </c>
      <c r="C1993" t="s">
        <v>0</v>
      </c>
      <c r="D1993" t="str">
        <f>VLOOKUP(A1993,MERCADO!A:B,2,0)</f>
        <v>Servicos</v>
      </c>
      <c r="E1993" t="str">
        <f>_xlfn.XLOOKUP(A1993, ORIGEM!A:A, ORIGEM!B:B)</f>
        <v>Orgânico</v>
      </c>
      <c r="F1993">
        <f>_xlfn.XLOOKUP(A1993, ORIGEM!A:A, ORIGEM!C:C)</f>
        <v>0</v>
      </c>
      <c r="G1993" t="str">
        <f>_xlfn.XLOOKUP(A1993, LOCAL!A:A, LOCAL!B:B)</f>
        <v>Maceió - AL</v>
      </c>
      <c r="H1993" t="str">
        <f>_xlfn.XLOOKUP(A1993, PORTE!A:A, PORTE!B:B)</f>
        <v>51-300</v>
      </c>
      <c r="I1993" t="str">
        <f>_xlfn.XLOOKUP(A1993, OBJETIVO!A:A, OBJETIVO!B:B)</f>
        <v>Abertura/Expansão</v>
      </c>
      <c r="J1993">
        <f t="shared" si="31"/>
        <v>0</v>
      </c>
    </row>
    <row r="1994" spans="1:10" x14ac:dyDescent="0.25">
      <c r="A1994">
        <v>11300254</v>
      </c>
      <c r="B1994" s="1">
        <v>45697.614236111112</v>
      </c>
      <c r="C1994" t="s">
        <v>0</v>
      </c>
      <c r="D1994" t="str">
        <f>VLOOKUP(A1994,MERCADO!A:B,2,0)</f>
        <v>Servicos</v>
      </c>
      <c r="E1994" t="str">
        <f>_xlfn.XLOOKUP(A1994, ORIGEM!A:A, ORIGEM!B:B)</f>
        <v>Orgânico</v>
      </c>
      <c r="F1994">
        <f>_xlfn.XLOOKUP(A1994, ORIGEM!A:A, ORIGEM!C:C)</f>
        <v>0</v>
      </c>
      <c r="G1994" t="str">
        <f>_xlfn.XLOOKUP(A1994, LOCAL!A:A, LOCAL!B:B)</f>
        <v>Porto União - SC</v>
      </c>
      <c r="H1994" t="str">
        <f>_xlfn.XLOOKUP(A1994, PORTE!A:A, PORTE!B:B)</f>
        <v>0</v>
      </c>
      <c r="I1994" t="str">
        <f>_xlfn.XLOOKUP(A1994, OBJETIVO!A:A, OBJETIVO!B:B)</f>
        <v>Outro</v>
      </c>
      <c r="J1994">
        <f t="shared" si="31"/>
        <v>0</v>
      </c>
    </row>
    <row r="1995" spans="1:10" x14ac:dyDescent="0.25">
      <c r="A1995">
        <v>11569192</v>
      </c>
      <c r="B1995" s="1">
        <v>45724.522407407407</v>
      </c>
      <c r="C1995" t="s">
        <v>0</v>
      </c>
      <c r="D1995" t="str">
        <f>VLOOKUP(A1995,MERCADO!A:B,2,0)</f>
        <v>Servicos</v>
      </c>
      <c r="E1995" t="str">
        <f>_xlfn.XLOOKUP(A1995, ORIGEM!A:A, ORIGEM!B:B)</f>
        <v>Orgânico</v>
      </c>
      <c r="F1995">
        <f>_xlfn.XLOOKUP(A1995, ORIGEM!A:A, ORIGEM!C:C)</f>
        <v>0</v>
      </c>
      <c r="G1995" t="str">
        <f>_xlfn.XLOOKUP(A1995, LOCAL!A:A, LOCAL!B:B)</f>
        <v>Mesquita - RJ</v>
      </c>
      <c r="H1995" t="str">
        <f>_xlfn.XLOOKUP(A1995, PORTE!A:A, PORTE!B:B)</f>
        <v>0</v>
      </c>
      <c r="I1995" t="str">
        <f>_xlfn.XLOOKUP(A1995, OBJETIVO!A:A, OBJETIVO!B:B)</f>
        <v>Abertura/Expansão</v>
      </c>
      <c r="J1995">
        <f t="shared" si="31"/>
        <v>0</v>
      </c>
    </row>
    <row r="1996" spans="1:10" x14ac:dyDescent="0.25">
      <c r="A1996">
        <v>11579756</v>
      </c>
      <c r="B1996" s="1">
        <v>45725.348437499997</v>
      </c>
      <c r="C1996" t="s">
        <v>0</v>
      </c>
      <c r="D1996" t="str">
        <f>VLOOKUP(A1996,MERCADO!A:B,2,0)</f>
        <v>Servicos</v>
      </c>
      <c r="E1996" t="str">
        <f>_xlfn.XLOOKUP(A1996, ORIGEM!A:A, ORIGEM!B:B)</f>
        <v>Orgânico</v>
      </c>
      <c r="F1996">
        <f>_xlfn.XLOOKUP(A1996, ORIGEM!A:A, ORIGEM!C:C)</f>
        <v>0</v>
      </c>
      <c r="G1996" t="str">
        <f>_xlfn.XLOOKUP(A1996, LOCAL!A:A, LOCAL!B:B)</f>
        <v>Teresopolis - RJ</v>
      </c>
      <c r="H1996" t="str">
        <f>_xlfn.XLOOKUP(A1996, PORTE!A:A, PORTE!B:B)</f>
        <v>1-10</v>
      </c>
      <c r="I1996" t="str">
        <f>_xlfn.XLOOKUP(A1996, OBJETIVO!A:A, OBJETIVO!B:B)</f>
        <v>Abertura/Expansão</v>
      </c>
      <c r="J1996">
        <f t="shared" si="31"/>
        <v>0</v>
      </c>
    </row>
    <row r="1997" spans="1:10" x14ac:dyDescent="0.25">
      <c r="A1997">
        <v>11564403</v>
      </c>
      <c r="B1997" s="1">
        <v>45724.385879629626</v>
      </c>
      <c r="C1997" t="s">
        <v>0</v>
      </c>
      <c r="D1997" t="str">
        <f>VLOOKUP(A1997,MERCADO!A:B,2,0)</f>
        <v>Servicos</v>
      </c>
      <c r="E1997" t="str">
        <f>_xlfn.XLOOKUP(A1997, ORIGEM!A:A, ORIGEM!B:B)</f>
        <v>Orgânico</v>
      </c>
      <c r="F1997">
        <f>_xlfn.XLOOKUP(A1997, ORIGEM!A:A, ORIGEM!C:C)</f>
        <v>0</v>
      </c>
      <c r="G1997" t="str">
        <f>_xlfn.XLOOKUP(A1997, LOCAL!A:A, LOCAL!B:B)</f>
        <v>-</v>
      </c>
      <c r="H1997" t="str">
        <f>_xlfn.XLOOKUP(A1997, PORTE!A:A, PORTE!B:B)</f>
        <v>1-10</v>
      </c>
      <c r="I1997">
        <f>_xlfn.XLOOKUP(A1997, OBJETIVO!A:A, OBJETIVO!B:B)</f>
        <v>0</v>
      </c>
      <c r="J1997">
        <f t="shared" si="31"/>
        <v>0</v>
      </c>
    </row>
    <row r="1998" spans="1:10" x14ac:dyDescent="0.25">
      <c r="A1998">
        <v>11615648</v>
      </c>
      <c r="B1998" s="1">
        <v>45727.703993055555</v>
      </c>
      <c r="C1998" t="s">
        <v>0</v>
      </c>
      <c r="D1998" t="str">
        <f>VLOOKUP(A1998,MERCADO!A:B,2,0)</f>
        <v>Servicos</v>
      </c>
      <c r="E1998" t="str">
        <f>_xlfn.XLOOKUP(A1998, ORIGEM!A:A, ORIGEM!B:B)</f>
        <v>Orgânico</v>
      </c>
      <c r="F1998">
        <f>_xlfn.XLOOKUP(A1998, ORIGEM!A:A, ORIGEM!C:C)</f>
        <v>0</v>
      </c>
      <c r="G1998" t="str">
        <f>_xlfn.XLOOKUP(A1998, LOCAL!A:A, LOCAL!B:B)</f>
        <v>São Paulo - SP</v>
      </c>
      <c r="H1998" t="str">
        <f>_xlfn.XLOOKUP(A1998, PORTE!A:A, PORTE!B:B)</f>
        <v>11-50</v>
      </c>
      <c r="I1998" t="str">
        <f>_xlfn.XLOOKUP(A1998, OBJETIVO!A:A, OBJETIVO!B:B)</f>
        <v>Outro</v>
      </c>
      <c r="J1998">
        <f t="shared" si="31"/>
        <v>0</v>
      </c>
    </row>
    <row r="1999" spans="1:10" x14ac:dyDescent="0.25">
      <c r="A1999">
        <v>11623779</v>
      </c>
      <c r="B1999" s="1">
        <v>45728.506099537037</v>
      </c>
      <c r="C1999" t="s">
        <v>0</v>
      </c>
      <c r="D1999" t="str">
        <f>VLOOKUP(A1999,MERCADO!A:B,2,0)</f>
        <v>Servicos</v>
      </c>
      <c r="E1999" t="str">
        <f>_xlfn.XLOOKUP(A1999, ORIGEM!A:A, ORIGEM!B:B)</f>
        <v>Orgânico</v>
      </c>
      <c r="F1999">
        <f>_xlfn.XLOOKUP(A1999, ORIGEM!A:A, ORIGEM!C:C)</f>
        <v>0</v>
      </c>
      <c r="G1999" t="str">
        <f>_xlfn.XLOOKUP(A1999, LOCAL!A:A, LOCAL!B:B)</f>
        <v>São Luís - MA</v>
      </c>
      <c r="H1999" t="str">
        <f>_xlfn.XLOOKUP(A1999, PORTE!A:A, PORTE!B:B)</f>
        <v>0</v>
      </c>
      <c r="I1999" t="str">
        <f>_xlfn.XLOOKUP(A1999, OBJETIVO!A:A, OBJETIVO!B:B)</f>
        <v>Ações de marketing/vendas</v>
      </c>
      <c r="J1999">
        <f t="shared" si="31"/>
        <v>0</v>
      </c>
    </row>
    <row r="2000" spans="1:10" x14ac:dyDescent="0.25">
      <c r="A2000">
        <v>11628281</v>
      </c>
      <c r="B2000" s="1">
        <v>45728.692986111113</v>
      </c>
      <c r="C2000" t="s">
        <v>0</v>
      </c>
      <c r="D2000" t="str">
        <f>VLOOKUP(A2000,MERCADO!A:B,2,0)</f>
        <v>Servicos</v>
      </c>
      <c r="E2000" t="str">
        <f>_xlfn.XLOOKUP(A2000, ORIGEM!A:A, ORIGEM!B:B)</f>
        <v>Orgânico</v>
      </c>
      <c r="F2000">
        <f>_xlfn.XLOOKUP(A2000, ORIGEM!A:A, ORIGEM!C:C)</f>
        <v>0</v>
      </c>
      <c r="G2000" t="str">
        <f>_xlfn.XLOOKUP(A2000, LOCAL!A:A, LOCAL!B:B)</f>
        <v>Rio de Janeiro - RJ</v>
      </c>
      <c r="H2000" t="str">
        <f>_xlfn.XLOOKUP(A2000, PORTE!A:A, PORTE!B:B)</f>
        <v>0</v>
      </c>
      <c r="I2000" t="str">
        <f>_xlfn.XLOOKUP(A2000, OBJETIVO!A:A, OBJETIVO!B:B)</f>
        <v>Outro</v>
      </c>
      <c r="J2000">
        <f t="shared" si="31"/>
        <v>0</v>
      </c>
    </row>
    <row r="2001" spans="1:10" x14ac:dyDescent="0.25">
      <c r="A2001">
        <v>11737026</v>
      </c>
      <c r="B2001" s="1">
        <v>45739.785243055558</v>
      </c>
      <c r="C2001" t="s">
        <v>0</v>
      </c>
      <c r="D2001" t="str">
        <f>VLOOKUP(A2001,MERCADO!A:B,2,0)</f>
        <v>Servicos</v>
      </c>
      <c r="E2001" t="str">
        <f>_xlfn.XLOOKUP(A2001, ORIGEM!A:A, ORIGEM!B:B)</f>
        <v>Orgânico</v>
      </c>
      <c r="F2001">
        <f>_xlfn.XLOOKUP(A2001, ORIGEM!A:A, ORIGEM!C:C)</f>
        <v>0</v>
      </c>
      <c r="G2001" t="str">
        <f>_xlfn.XLOOKUP(A2001, LOCAL!A:A, LOCAL!B:B)</f>
        <v>São Carlos - SP</v>
      </c>
      <c r="H2001" t="str">
        <f>_xlfn.XLOOKUP(A2001, PORTE!A:A, PORTE!B:B)</f>
        <v>1-10</v>
      </c>
      <c r="I2001" t="str">
        <f>_xlfn.XLOOKUP(A2001, OBJETIVO!A:A, OBJETIVO!B:B)</f>
        <v>Geração de leads b2b</v>
      </c>
      <c r="J2001">
        <f t="shared" si="31"/>
        <v>0</v>
      </c>
    </row>
    <row r="2002" spans="1:10" x14ac:dyDescent="0.25">
      <c r="A2002">
        <v>11775944</v>
      </c>
      <c r="B2002" s="1">
        <v>45742.583032407405</v>
      </c>
      <c r="C2002" t="s">
        <v>0</v>
      </c>
      <c r="D2002" t="str">
        <f>VLOOKUP(A2002,MERCADO!A:B,2,0)</f>
        <v>Servicos</v>
      </c>
      <c r="E2002" t="str">
        <f>_xlfn.XLOOKUP(A2002, ORIGEM!A:A, ORIGEM!B:B)</f>
        <v>Orgânico</v>
      </c>
      <c r="F2002">
        <f>_xlfn.XLOOKUP(A2002, ORIGEM!A:A, ORIGEM!C:C)</f>
        <v>0</v>
      </c>
      <c r="G2002" t="str">
        <f>_xlfn.XLOOKUP(A2002, LOCAL!A:A, LOCAL!B:B)</f>
        <v>Goiânia - GO</v>
      </c>
      <c r="H2002" t="str">
        <f>_xlfn.XLOOKUP(A2002, PORTE!A:A, PORTE!B:B)</f>
        <v>1-10</v>
      </c>
      <c r="I2002" t="str">
        <f>_xlfn.XLOOKUP(A2002, OBJETIVO!A:A, OBJETIVO!B:B)</f>
        <v>Outro</v>
      </c>
      <c r="J2002">
        <f t="shared" si="31"/>
        <v>0</v>
      </c>
    </row>
    <row r="2003" spans="1:10" x14ac:dyDescent="0.25">
      <c r="A2003">
        <v>11883217</v>
      </c>
      <c r="B2003" s="1">
        <v>45753.587314814817</v>
      </c>
      <c r="C2003" t="s">
        <v>0</v>
      </c>
      <c r="D2003" t="str">
        <f>VLOOKUP(A2003,MERCADO!A:B,2,0)</f>
        <v>Servicos</v>
      </c>
      <c r="E2003" t="str">
        <f>_xlfn.XLOOKUP(A2003, ORIGEM!A:A, ORIGEM!B:B)</f>
        <v>Orgânico</v>
      </c>
      <c r="F2003">
        <f>_xlfn.XLOOKUP(A2003, ORIGEM!A:A, ORIGEM!C:C)</f>
        <v>0</v>
      </c>
      <c r="G2003" t="str">
        <f>_xlfn.XLOOKUP(A2003, LOCAL!A:A, LOCAL!B:B)</f>
        <v>Osasco - SP</v>
      </c>
      <c r="H2003" t="str">
        <f>_xlfn.XLOOKUP(A2003, PORTE!A:A, PORTE!B:B)</f>
        <v>1-10</v>
      </c>
      <c r="I2003" t="str">
        <f>_xlfn.XLOOKUP(A2003, OBJETIVO!A:A, OBJETIVO!B:B)</f>
        <v>Outro</v>
      </c>
      <c r="J2003">
        <f t="shared" si="31"/>
        <v>0</v>
      </c>
    </row>
    <row r="2004" spans="1:10" x14ac:dyDescent="0.25">
      <c r="A2004">
        <v>11921300</v>
      </c>
      <c r="B2004" s="1">
        <v>45755.793726851851</v>
      </c>
      <c r="C2004" t="s">
        <v>0</v>
      </c>
      <c r="D2004" t="str">
        <f>VLOOKUP(A2004,MERCADO!A:B,2,0)</f>
        <v>Servicos</v>
      </c>
      <c r="E2004" t="str">
        <f>_xlfn.XLOOKUP(A2004, ORIGEM!A:A, ORIGEM!B:B)</f>
        <v>Orgânico</v>
      </c>
      <c r="F2004">
        <f>_xlfn.XLOOKUP(A2004, ORIGEM!A:A, ORIGEM!C:C)</f>
        <v>0</v>
      </c>
      <c r="G2004" t="str">
        <f>_xlfn.XLOOKUP(A2004, LOCAL!A:A, LOCAL!B:B)</f>
        <v>Belo Horizonte - MG</v>
      </c>
      <c r="H2004" t="str">
        <f>_xlfn.XLOOKUP(A2004, PORTE!A:A, PORTE!B:B)</f>
        <v>1-10</v>
      </c>
      <c r="I2004" t="str">
        <f>_xlfn.XLOOKUP(A2004, OBJETIVO!A:A, OBJETIVO!B:B)</f>
        <v>Abertura/Expansão</v>
      </c>
      <c r="J2004">
        <f t="shared" si="31"/>
        <v>0</v>
      </c>
    </row>
    <row r="2005" spans="1:10" x14ac:dyDescent="0.25">
      <c r="A2005">
        <v>11951528</v>
      </c>
      <c r="B2005" s="1">
        <v>45759.589016203703</v>
      </c>
      <c r="C2005" t="s">
        <v>0</v>
      </c>
      <c r="D2005" t="str">
        <f>VLOOKUP(A2005,MERCADO!A:B,2,0)</f>
        <v>Servicos</v>
      </c>
      <c r="E2005" t="str">
        <f>_xlfn.XLOOKUP(A2005, ORIGEM!A:A, ORIGEM!B:B)</f>
        <v>Orgânico</v>
      </c>
      <c r="F2005">
        <f>_xlfn.XLOOKUP(A2005, ORIGEM!A:A, ORIGEM!C:C)</f>
        <v>0</v>
      </c>
      <c r="G2005" t="str">
        <f>_xlfn.XLOOKUP(A2005, LOCAL!A:A, LOCAL!B:B)</f>
        <v>Aracaju - SE</v>
      </c>
      <c r="H2005" t="str">
        <f>_xlfn.XLOOKUP(A2005, PORTE!A:A, PORTE!B:B)</f>
        <v>1-10</v>
      </c>
      <c r="I2005" t="str">
        <f>_xlfn.XLOOKUP(A2005, OBJETIVO!A:A, OBJETIVO!B:B)</f>
        <v>Outro</v>
      </c>
      <c r="J2005">
        <f t="shared" si="31"/>
        <v>0</v>
      </c>
    </row>
    <row r="2006" spans="1:10" x14ac:dyDescent="0.25">
      <c r="A2006">
        <v>11942450</v>
      </c>
      <c r="B2006" s="1">
        <v>45758.981435185182</v>
      </c>
      <c r="C2006" t="s">
        <v>0</v>
      </c>
      <c r="D2006" t="str">
        <f>VLOOKUP(A2006,MERCADO!A:B,2,0)</f>
        <v>Servicos</v>
      </c>
      <c r="E2006" t="str">
        <f>_xlfn.XLOOKUP(A2006, ORIGEM!A:A, ORIGEM!B:B)</f>
        <v>Orgânico</v>
      </c>
      <c r="F2006">
        <f>_xlfn.XLOOKUP(A2006, ORIGEM!A:A, ORIGEM!C:C)</f>
        <v>0</v>
      </c>
      <c r="G2006" t="str">
        <f>_xlfn.XLOOKUP(A2006, LOCAL!A:A, LOCAL!B:B)</f>
        <v>Presidente Epitacio - SP</v>
      </c>
      <c r="H2006" t="str">
        <f>_xlfn.XLOOKUP(A2006, PORTE!A:A, PORTE!B:B)</f>
        <v>1-10</v>
      </c>
      <c r="I2006" t="str">
        <f>_xlfn.XLOOKUP(A2006, OBJETIVO!A:A, OBJETIVO!B:B)</f>
        <v>Abertura/Expansão</v>
      </c>
      <c r="J2006">
        <f t="shared" si="31"/>
        <v>0</v>
      </c>
    </row>
    <row r="2007" spans="1:10" x14ac:dyDescent="0.25">
      <c r="A2007">
        <v>11916697</v>
      </c>
      <c r="B2007" s="1">
        <v>45755.623935185184</v>
      </c>
      <c r="C2007" t="s">
        <v>0</v>
      </c>
      <c r="D2007" t="str">
        <f>VLOOKUP(A2007,MERCADO!A:B,2,0)</f>
        <v>Servicos</v>
      </c>
      <c r="E2007" t="str">
        <f>_xlfn.XLOOKUP(A2007, ORIGEM!A:A, ORIGEM!B:B)</f>
        <v>Orgânico</v>
      </c>
      <c r="F2007">
        <f>_xlfn.XLOOKUP(A2007, ORIGEM!A:A, ORIGEM!C:C)</f>
        <v>0</v>
      </c>
      <c r="G2007" t="str">
        <f>_xlfn.XLOOKUP(A2007, LOCAL!A:A, LOCAL!B:B)</f>
        <v>Contagem - MG</v>
      </c>
      <c r="H2007" t="str">
        <f>_xlfn.XLOOKUP(A2007, PORTE!A:A, PORTE!B:B)</f>
        <v>1-10</v>
      </c>
      <c r="I2007" t="str">
        <f>_xlfn.XLOOKUP(A2007, OBJETIVO!A:A, OBJETIVO!B:B)</f>
        <v>Abertura/Expansão</v>
      </c>
      <c r="J2007">
        <f t="shared" si="31"/>
        <v>0</v>
      </c>
    </row>
    <row r="2008" spans="1:10" x14ac:dyDescent="0.25">
      <c r="A2008">
        <v>11858304</v>
      </c>
      <c r="B2008" s="1">
        <v>45750.753344907411</v>
      </c>
      <c r="C2008" t="s">
        <v>0</v>
      </c>
      <c r="D2008" t="str">
        <f>VLOOKUP(A2008,MERCADO!A:B,2,0)</f>
        <v>Servicos</v>
      </c>
      <c r="E2008" t="str">
        <f>_xlfn.XLOOKUP(A2008, ORIGEM!A:A, ORIGEM!B:B)</f>
        <v>Orgânico</v>
      </c>
      <c r="F2008">
        <f>_xlfn.XLOOKUP(A2008, ORIGEM!A:A, ORIGEM!C:C)</f>
        <v>0</v>
      </c>
      <c r="G2008" t="str">
        <f>_xlfn.XLOOKUP(A2008, LOCAL!A:A, LOCAL!B:B)</f>
        <v>Cruz das Almas - BA</v>
      </c>
      <c r="H2008" t="str">
        <f>_xlfn.XLOOKUP(A2008, PORTE!A:A, PORTE!B:B)</f>
        <v>1-10</v>
      </c>
      <c r="I2008" t="str">
        <f>_xlfn.XLOOKUP(A2008, OBJETIVO!A:A, OBJETIVO!B:B)</f>
        <v>Abertura/Expansão</v>
      </c>
      <c r="J2008">
        <f t="shared" si="31"/>
        <v>0</v>
      </c>
    </row>
    <row r="2009" spans="1:10" x14ac:dyDescent="0.25">
      <c r="A2009">
        <v>11827579</v>
      </c>
      <c r="B2009" s="1">
        <v>45746.848275462966</v>
      </c>
      <c r="C2009" t="s">
        <v>0</v>
      </c>
      <c r="D2009" t="str">
        <f>VLOOKUP(A2009,MERCADO!A:B,2,0)</f>
        <v>Servicos</v>
      </c>
      <c r="E2009" t="str">
        <f>_xlfn.XLOOKUP(A2009, ORIGEM!A:A, ORIGEM!B:B)</f>
        <v>Orgânico</v>
      </c>
      <c r="F2009">
        <f>_xlfn.XLOOKUP(A2009, ORIGEM!A:A, ORIGEM!C:C)</f>
        <v>0</v>
      </c>
      <c r="G2009" t="str">
        <f>_xlfn.XLOOKUP(A2009, LOCAL!A:A, LOCAL!B:B)</f>
        <v>Joinville - SC</v>
      </c>
      <c r="H2009" t="str">
        <f>_xlfn.XLOOKUP(A2009, PORTE!A:A, PORTE!B:B)</f>
        <v>0</v>
      </c>
      <c r="I2009" t="str">
        <f>_xlfn.XLOOKUP(A2009, OBJETIVO!A:A, OBJETIVO!B:B)</f>
        <v>Abertura/Expansão</v>
      </c>
      <c r="J2009">
        <f t="shared" si="31"/>
        <v>0</v>
      </c>
    </row>
    <row r="2010" spans="1:10" x14ac:dyDescent="0.25">
      <c r="A2010">
        <v>11843195</v>
      </c>
      <c r="B2010" s="1">
        <v>45748.475243055553</v>
      </c>
      <c r="C2010" t="s">
        <v>0</v>
      </c>
      <c r="D2010" t="str">
        <f>VLOOKUP(A2010,MERCADO!A:B,2,0)</f>
        <v>Servicos</v>
      </c>
      <c r="E2010" t="str">
        <f>_xlfn.XLOOKUP(A2010, ORIGEM!A:A, ORIGEM!B:B)</f>
        <v>Orgânico</v>
      </c>
      <c r="F2010">
        <f>_xlfn.XLOOKUP(A2010, ORIGEM!A:A, ORIGEM!C:C)</f>
        <v>0</v>
      </c>
      <c r="G2010" t="str">
        <f>_xlfn.XLOOKUP(A2010, LOCAL!A:A, LOCAL!B:B)</f>
        <v>Taquara - RS</v>
      </c>
      <c r="H2010" t="str">
        <f>_xlfn.XLOOKUP(A2010, PORTE!A:A, PORTE!B:B)</f>
        <v>11-50</v>
      </c>
      <c r="I2010" t="str">
        <f>_xlfn.XLOOKUP(A2010, OBJETIVO!A:A, OBJETIVO!B:B)</f>
        <v>Abertura/Expansão</v>
      </c>
      <c r="J2010">
        <f t="shared" si="31"/>
        <v>0</v>
      </c>
    </row>
    <row r="2011" spans="1:10" x14ac:dyDescent="0.25">
      <c r="A2011">
        <v>11844676</v>
      </c>
      <c r="B2011" s="1">
        <v>45748.563287037039</v>
      </c>
      <c r="C2011" t="s">
        <v>0</v>
      </c>
      <c r="D2011" t="str">
        <f>VLOOKUP(A2011,MERCADO!A:B,2,0)</f>
        <v>Servicos</v>
      </c>
      <c r="E2011" t="str">
        <f>_xlfn.XLOOKUP(A2011, ORIGEM!A:A, ORIGEM!B:B)</f>
        <v>Orgânico</v>
      </c>
      <c r="F2011">
        <f>_xlfn.XLOOKUP(A2011, ORIGEM!A:A, ORIGEM!C:C)</f>
        <v>0</v>
      </c>
      <c r="G2011" t="str">
        <f>_xlfn.XLOOKUP(A2011, LOCAL!A:A, LOCAL!B:B)</f>
        <v>Curitiba - PR</v>
      </c>
      <c r="H2011" t="str">
        <f>_xlfn.XLOOKUP(A2011, PORTE!A:A, PORTE!B:B)</f>
        <v>51-300</v>
      </c>
      <c r="I2011" t="str">
        <f>_xlfn.XLOOKUP(A2011, OBJETIVO!A:A, OBJETIVO!B:B)</f>
        <v>Geração de leads b2b</v>
      </c>
      <c r="J2011">
        <f t="shared" si="31"/>
        <v>0</v>
      </c>
    </row>
    <row r="2012" spans="1:10" x14ac:dyDescent="0.25">
      <c r="A2012">
        <v>11844725</v>
      </c>
      <c r="B2012" s="1">
        <v>45748.569444444445</v>
      </c>
      <c r="C2012" t="s">
        <v>0</v>
      </c>
      <c r="D2012" t="str">
        <f>VLOOKUP(A2012,MERCADO!A:B,2,0)</f>
        <v>Servicos</v>
      </c>
      <c r="E2012" t="str">
        <f>_xlfn.XLOOKUP(A2012, ORIGEM!A:A, ORIGEM!B:B)</f>
        <v>Orgânico</v>
      </c>
      <c r="F2012">
        <f>_xlfn.XLOOKUP(A2012, ORIGEM!A:A, ORIGEM!C:C)</f>
        <v>0</v>
      </c>
      <c r="G2012" t="str">
        <f>_xlfn.XLOOKUP(A2012, LOCAL!A:A, LOCAL!B:B)</f>
        <v>Curitiba - PR</v>
      </c>
      <c r="H2012" t="str">
        <f>_xlfn.XLOOKUP(A2012, PORTE!A:A, PORTE!B:B)</f>
        <v>51-300</v>
      </c>
      <c r="I2012" t="str">
        <f>_xlfn.XLOOKUP(A2012, OBJETIVO!A:A, OBJETIVO!B:B)</f>
        <v>Geração de leads b2b</v>
      </c>
      <c r="J2012">
        <f t="shared" si="31"/>
        <v>0</v>
      </c>
    </row>
    <row r="2013" spans="1:10" x14ac:dyDescent="0.25">
      <c r="A2013">
        <v>11865613</v>
      </c>
      <c r="B2013" s="1">
        <v>45752.471296296295</v>
      </c>
      <c r="C2013" t="s">
        <v>0</v>
      </c>
      <c r="D2013" t="str">
        <f>VLOOKUP(A2013,MERCADO!A:B,2,0)</f>
        <v>Servicos</v>
      </c>
      <c r="E2013" t="str">
        <f>_xlfn.XLOOKUP(A2013, ORIGEM!A:A, ORIGEM!B:B)</f>
        <v>Orgânico</v>
      </c>
      <c r="F2013">
        <f>_xlfn.XLOOKUP(A2013, ORIGEM!A:A, ORIGEM!C:C)</f>
        <v>0</v>
      </c>
      <c r="G2013" t="str">
        <f>_xlfn.XLOOKUP(A2013, LOCAL!A:A, LOCAL!B:B)</f>
        <v>Niterói - RJ</v>
      </c>
      <c r="H2013" t="str">
        <f>_xlfn.XLOOKUP(A2013, PORTE!A:A, PORTE!B:B)</f>
        <v>1-10</v>
      </c>
      <c r="I2013" t="str">
        <f>_xlfn.XLOOKUP(A2013, OBJETIVO!A:A, OBJETIVO!B:B)</f>
        <v>Ações de marketing/vendas</v>
      </c>
      <c r="J2013">
        <f t="shared" si="31"/>
        <v>0</v>
      </c>
    </row>
    <row r="2014" spans="1:10" x14ac:dyDescent="0.25">
      <c r="A2014">
        <v>12022721</v>
      </c>
      <c r="B2014" s="1">
        <v>45764.825856481482</v>
      </c>
      <c r="C2014" t="s">
        <v>0</v>
      </c>
      <c r="D2014" t="str">
        <f>VLOOKUP(A2014,MERCADO!A:B,2,0)</f>
        <v>Servicos</v>
      </c>
      <c r="E2014" t="str">
        <f>_xlfn.XLOOKUP(A2014, ORIGEM!A:A, ORIGEM!B:B)</f>
        <v>Orgânico</v>
      </c>
      <c r="F2014">
        <f>_xlfn.XLOOKUP(A2014, ORIGEM!A:A, ORIGEM!C:C)</f>
        <v>0</v>
      </c>
      <c r="G2014" t="str">
        <f>_xlfn.XLOOKUP(A2014, LOCAL!A:A, LOCAL!B:B)</f>
        <v>São Paulo - SP</v>
      </c>
      <c r="H2014" t="str">
        <f>_xlfn.XLOOKUP(A2014, PORTE!A:A, PORTE!B:B)</f>
        <v>1-10</v>
      </c>
      <c r="I2014" t="str">
        <f>_xlfn.XLOOKUP(A2014, OBJETIVO!A:A, OBJETIVO!B:B)</f>
        <v>Abertura/Expansão</v>
      </c>
      <c r="J2014">
        <f t="shared" si="31"/>
        <v>0</v>
      </c>
    </row>
    <row r="2015" spans="1:10" x14ac:dyDescent="0.25">
      <c r="A2015">
        <v>10921422</v>
      </c>
      <c r="B2015" s="1">
        <v>45666.753518518519</v>
      </c>
      <c r="C2015" t="s">
        <v>0</v>
      </c>
      <c r="D2015" t="str">
        <f>VLOOKUP(A2015,MERCADO!A:B,2,0)</f>
        <v>Servicos</v>
      </c>
      <c r="E2015" t="str">
        <f>_xlfn.XLOOKUP(A2015, ORIGEM!A:A, ORIGEM!B:B)</f>
        <v>Google</v>
      </c>
      <c r="F2015" t="str">
        <f>_xlfn.XLOOKUP(A2015, ORIGEM!A:A, ORIGEM!C:C)</f>
        <v>google - cpc</v>
      </c>
      <c r="G2015" t="str">
        <f>_xlfn.XLOOKUP(A2015, LOCAL!A:A, LOCAL!B:B)</f>
        <v>Foz do Iguaçu - PR</v>
      </c>
      <c r="H2015" t="str">
        <f>_xlfn.XLOOKUP(A2015, PORTE!A:A, PORTE!B:B)</f>
        <v>0</v>
      </c>
      <c r="I2015" t="str">
        <f>_xlfn.XLOOKUP(A2015, OBJETIVO!A:A, OBJETIVO!B:B)</f>
        <v>Outro</v>
      </c>
      <c r="J2015">
        <f t="shared" si="31"/>
        <v>0</v>
      </c>
    </row>
    <row r="2016" spans="1:10" x14ac:dyDescent="0.25">
      <c r="A2016">
        <v>10922721</v>
      </c>
      <c r="B2016" s="1">
        <v>45667.534305555557</v>
      </c>
      <c r="C2016" t="s">
        <v>0</v>
      </c>
      <c r="D2016" t="str">
        <f>VLOOKUP(A2016,MERCADO!A:B,2,0)</f>
        <v>Servicos</v>
      </c>
      <c r="E2016" t="str">
        <f>_xlfn.XLOOKUP(A2016, ORIGEM!A:A, ORIGEM!B:B)</f>
        <v>Google</v>
      </c>
      <c r="F2016" t="str">
        <f>_xlfn.XLOOKUP(A2016, ORIGEM!A:A, ORIGEM!C:C)</f>
        <v>google - cpc</v>
      </c>
      <c r="G2016" t="str">
        <f>_xlfn.XLOOKUP(A2016, LOCAL!A:A, LOCAL!B:B)</f>
        <v>Aracaju - SE</v>
      </c>
      <c r="H2016" t="str">
        <f>_xlfn.XLOOKUP(A2016, PORTE!A:A, PORTE!B:B)</f>
        <v>1-10</v>
      </c>
      <c r="I2016" t="str">
        <f>_xlfn.XLOOKUP(A2016, OBJETIVO!A:A, OBJETIVO!B:B)</f>
        <v>Abertura/Expansão</v>
      </c>
      <c r="J2016">
        <f t="shared" si="31"/>
        <v>0</v>
      </c>
    </row>
    <row r="2017" spans="1:10" x14ac:dyDescent="0.25">
      <c r="A2017">
        <v>10919044</v>
      </c>
      <c r="B2017" s="1">
        <v>45665.753275462965</v>
      </c>
      <c r="C2017" t="s">
        <v>0</v>
      </c>
      <c r="D2017" t="str">
        <f>VLOOKUP(A2017,MERCADO!A:B,2,0)</f>
        <v>Servicos</v>
      </c>
      <c r="E2017" t="str">
        <f>_xlfn.XLOOKUP(A2017, ORIGEM!A:A, ORIGEM!B:B)</f>
        <v>Google</v>
      </c>
      <c r="F2017" t="str">
        <f>_xlfn.XLOOKUP(A2017, ORIGEM!A:A, ORIGEM!C:C)</f>
        <v>google - cpc</v>
      </c>
      <c r="G2017" t="str">
        <f>_xlfn.XLOOKUP(A2017, LOCAL!A:A, LOCAL!B:B)</f>
        <v>São Paulo - SP</v>
      </c>
      <c r="H2017" t="str">
        <f>_xlfn.XLOOKUP(A2017, PORTE!A:A, PORTE!B:B)</f>
        <v>1-10</v>
      </c>
      <c r="I2017" t="str">
        <f>_xlfn.XLOOKUP(A2017, OBJETIVO!A:A, OBJETIVO!B:B)</f>
        <v>Abertura/Expansão</v>
      </c>
      <c r="J2017">
        <f t="shared" si="31"/>
        <v>0</v>
      </c>
    </row>
    <row r="2018" spans="1:10" x14ac:dyDescent="0.25">
      <c r="A2018">
        <v>10904914</v>
      </c>
      <c r="B2018" s="1">
        <v>45664.73</v>
      </c>
      <c r="C2018" t="s">
        <v>0</v>
      </c>
      <c r="D2018" t="str">
        <f>VLOOKUP(A2018,MERCADO!A:B,2,0)</f>
        <v>Servicos</v>
      </c>
      <c r="E2018" t="str">
        <f>_xlfn.XLOOKUP(A2018, ORIGEM!A:A, ORIGEM!B:B)</f>
        <v>Google</v>
      </c>
      <c r="F2018" t="str">
        <f>_xlfn.XLOOKUP(A2018, ORIGEM!A:A, ORIGEM!C:C)</f>
        <v>google - cpc</v>
      </c>
      <c r="G2018" t="str">
        <f>_xlfn.XLOOKUP(A2018, LOCAL!A:A, LOCAL!B:B)</f>
        <v>Rio de Janeiro - RJ</v>
      </c>
      <c r="H2018" t="str">
        <f>_xlfn.XLOOKUP(A2018, PORTE!A:A, PORTE!B:B)</f>
        <v>0</v>
      </c>
      <c r="I2018" t="str">
        <f>_xlfn.XLOOKUP(A2018, OBJETIVO!A:A, OBJETIVO!B:B)</f>
        <v>Planejamento estratégico</v>
      </c>
      <c r="J2018">
        <f t="shared" si="31"/>
        <v>0</v>
      </c>
    </row>
    <row r="2019" spans="1:10" x14ac:dyDescent="0.25">
      <c r="A2019">
        <v>10691527</v>
      </c>
      <c r="B2019" s="1">
        <v>45636.976701388892</v>
      </c>
      <c r="C2019" t="s">
        <v>0</v>
      </c>
      <c r="D2019" t="str">
        <f>VLOOKUP(A2019,MERCADO!A:B,2,0)</f>
        <v>Servicos</v>
      </c>
      <c r="E2019" t="str">
        <f>_xlfn.XLOOKUP(A2019, ORIGEM!A:A, ORIGEM!B:B)</f>
        <v>Google</v>
      </c>
      <c r="F2019" t="str">
        <f>_xlfn.XLOOKUP(A2019, ORIGEM!A:A, ORIGEM!C:C)</f>
        <v>google - cpc</v>
      </c>
      <c r="G2019" t="str">
        <f>_xlfn.XLOOKUP(A2019, LOCAL!A:A, LOCAL!B:B)</f>
        <v>Ribeirao Pires - SP</v>
      </c>
      <c r="H2019" t="str">
        <f>_xlfn.XLOOKUP(A2019, PORTE!A:A, PORTE!B:B)</f>
        <v>1-10</v>
      </c>
      <c r="I2019" t="str">
        <f>_xlfn.XLOOKUP(A2019, OBJETIVO!A:A, OBJETIVO!B:B)</f>
        <v>Outro</v>
      </c>
      <c r="J2019">
        <f t="shared" si="31"/>
        <v>0</v>
      </c>
    </row>
    <row r="2020" spans="1:10" x14ac:dyDescent="0.25">
      <c r="A2020">
        <v>10884777</v>
      </c>
      <c r="B2020" s="1">
        <v>45663.431770833333</v>
      </c>
      <c r="C2020" t="s">
        <v>0</v>
      </c>
      <c r="D2020" t="str">
        <f>VLOOKUP(A2020,MERCADO!A:B,2,0)</f>
        <v>Servicos</v>
      </c>
      <c r="E2020" t="str">
        <f>_xlfn.XLOOKUP(A2020, ORIGEM!A:A, ORIGEM!B:B)</f>
        <v>Google</v>
      </c>
      <c r="F2020" t="str">
        <f>_xlfn.XLOOKUP(A2020, ORIGEM!A:A, ORIGEM!C:C)</f>
        <v>google - cpc</v>
      </c>
      <c r="G2020" t="str">
        <f>_xlfn.XLOOKUP(A2020, LOCAL!A:A, LOCAL!B:B)</f>
        <v>Campinas - SP</v>
      </c>
      <c r="H2020" t="str">
        <f>_xlfn.XLOOKUP(A2020, PORTE!A:A, PORTE!B:B)</f>
        <v>1-10</v>
      </c>
      <c r="I2020" t="str">
        <f>_xlfn.XLOOKUP(A2020, OBJETIVO!A:A, OBJETIVO!B:B)</f>
        <v>Consultoria</v>
      </c>
      <c r="J2020">
        <f t="shared" si="31"/>
        <v>0</v>
      </c>
    </row>
    <row r="2021" spans="1:10" x14ac:dyDescent="0.25">
      <c r="A2021">
        <v>10893618</v>
      </c>
      <c r="B2021" s="1">
        <v>45663.849131944444</v>
      </c>
      <c r="C2021" t="s">
        <v>0</v>
      </c>
      <c r="D2021" t="str">
        <f>VLOOKUP(A2021,MERCADO!A:B,2,0)</f>
        <v>Servicos</v>
      </c>
      <c r="E2021" t="str">
        <f>_xlfn.XLOOKUP(A2021, ORIGEM!A:A, ORIGEM!B:B)</f>
        <v>Google</v>
      </c>
      <c r="F2021" t="str">
        <f>_xlfn.XLOOKUP(A2021, ORIGEM!A:A, ORIGEM!C:C)</f>
        <v>google - cpc</v>
      </c>
      <c r="G2021" t="str">
        <f>_xlfn.XLOOKUP(A2021, LOCAL!A:A, LOCAL!B:B)</f>
        <v>Patrocinio - MG</v>
      </c>
      <c r="H2021" t="str">
        <f>_xlfn.XLOOKUP(A2021, PORTE!A:A, PORTE!B:B)</f>
        <v>1-10</v>
      </c>
      <c r="I2021" t="str">
        <f>_xlfn.XLOOKUP(A2021, OBJETIVO!A:A, OBJETIVO!B:B)</f>
        <v>Abertura/Expansão</v>
      </c>
      <c r="J2021">
        <f t="shared" si="31"/>
        <v>0</v>
      </c>
    </row>
    <row r="2022" spans="1:10" x14ac:dyDescent="0.25">
      <c r="A2022">
        <v>10877161</v>
      </c>
      <c r="B2022" s="1">
        <v>45662.630613425928</v>
      </c>
      <c r="C2022" t="s">
        <v>0</v>
      </c>
      <c r="D2022" t="str">
        <f>VLOOKUP(A2022,MERCADO!A:B,2,0)</f>
        <v>Servicos</v>
      </c>
      <c r="E2022" t="str">
        <f>_xlfn.XLOOKUP(A2022, ORIGEM!A:A, ORIGEM!B:B)</f>
        <v>Google</v>
      </c>
      <c r="F2022" t="str">
        <f>_xlfn.XLOOKUP(A2022, ORIGEM!A:A, ORIGEM!C:C)</f>
        <v>google - cpc</v>
      </c>
      <c r="G2022" t="str">
        <f>_xlfn.XLOOKUP(A2022, LOCAL!A:A, LOCAL!B:B)</f>
        <v>Gravataí - RS</v>
      </c>
      <c r="H2022" t="str">
        <f>_xlfn.XLOOKUP(A2022, PORTE!A:A, PORTE!B:B)</f>
        <v>11-50</v>
      </c>
      <c r="I2022" t="str">
        <f>_xlfn.XLOOKUP(A2022, OBJETIVO!A:A, OBJETIVO!B:B)</f>
        <v>Abertura/Expansão</v>
      </c>
      <c r="J2022">
        <f t="shared" si="31"/>
        <v>0</v>
      </c>
    </row>
    <row r="2023" spans="1:10" x14ac:dyDescent="0.25">
      <c r="A2023">
        <v>10879479</v>
      </c>
      <c r="B2023" s="1">
        <v>45662.735185185185</v>
      </c>
      <c r="C2023" t="s">
        <v>0</v>
      </c>
      <c r="D2023" t="str">
        <f>VLOOKUP(A2023,MERCADO!A:B,2,0)</f>
        <v>Servicos</v>
      </c>
      <c r="E2023" t="str">
        <f>_xlfn.XLOOKUP(A2023, ORIGEM!A:A, ORIGEM!B:B)</f>
        <v>Google</v>
      </c>
      <c r="F2023" t="str">
        <f>_xlfn.XLOOKUP(A2023, ORIGEM!A:A, ORIGEM!C:C)</f>
        <v>google - cpc</v>
      </c>
      <c r="G2023" t="str">
        <f>_xlfn.XLOOKUP(A2023, LOCAL!A:A, LOCAL!B:B)</f>
        <v>Caieiras - SP</v>
      </c>
      <c r="H2023" t="str">
        <f>_xlfn.XLOOKUP(A2023, PORTE!A:A, PORTE!B:B)</f>
        <v>1-10</v>
      </c>
      <c r="I2023" t="str">
        <f>_xlfn.XLOOKUP(A2023, OBJETIVO!A:A, OBJETIVO!B:B)</f>
        <v>Abertura/Expansão</v>
      </c>
      <c r="J2023">
        <f t="shared" si="31"/>
        <v>0</v>
      </c>
    </row>
    <row r="2024" spans="1:10" x14ac:dyDescent="0.25">
      <c r="A2024">
        <v>10881110</v>
      </c>
      <c r="B2024" s="1">
        <v>45662.827511574076</v>
      </c>
      <c r="C2024" t="s">
        <v>0</v>
      </c>
      <c r="D2024" t="str">
        <f>VLOOKUP(A2024,MERCADO!A:B,2,0)</f>
        <v>Servicos</v>
      </c>
      <c r="E2024" t="str">
        <f>_xlfn.XLOOKUP(A2024, ORIGEM!A:A, ORIGEM!B:B)</f>
        <v>Google</v>
      </c>
      <c r="F2024" t="str">
        <f>_xlfn.XLOOKUP(A2024, ORIGEM!A:A, ORIGEM!C:C)</f>
        <v>google - cpc</v>
      </c>
      <c r="G2024" t="str">
        <f>_xlfn.XLOOKUP(A2024, LOCAL!A:A, LOCAL!B:B)</f>
        <v>Caçador - SC</v>
      </c>
      <c r="H2024" t="str">
        <f>_xlfn.XLOOKUP(A2024, PORTE!A:A, PORTE!B:B)</f>
        <v>1-10</v>
      </c>
      <c r="I2024" t="str">
        <f>_xlfn.XLOOKUP(A2024, OBJETIVO!A:A, OBJETIVO!B:B)</f>
        <v>Ações de marketing/vendas</v>
      </c>
      <c r="J2024">
        <f t="shared" si="31"/>
        <v>0</v>
      </c>
    </row>
    <row r="2025" spans="1:10" x14ac:dyDescent="0.25">
      <c r="A2025">
        <v>10765916</v>
      </c>
      <c r="B2025" s="1">
        <v>45643.940729166665</v>
      </c>
      <c r="C2025" t="s">
        <v>0</v>
      </c>
      <c r="D2025" t="str">
        <f>VLOOKUP(A2025,MERCADO!A:B,2,0)</f>
        <v>Servicos</v>
      </c>
      <c r="E2025" t="str">
        <f>_xlfn.XLOOKUP(A2025, ORIGEM!A:A, ORIGEM!B:B)</f>
        <v>Google</v>
      </c>
      <c r="F2025" t="str">
        <f>_xlfn.XLOOKUP(A2025, ORIGEM!A:A, ORIGEM!C:C)</f>
        <v>google - cpc</v>
      </c>
      <c r="G2025" t="str">
        <f>_xlfn.XLOOKUP(A2025, LOCAL!A:A, LOCAL!B:B)</f>
        <v>Vitória - ES</v>
      </c>
      <c r="H2025" t="str">
        <f>_xlfn.XLOOKUP(A2025, PORTE!A:A, PORTE!B:B)</f>
        <v>0</v>
      </c>
      <c r="I2025" t="str">
        <f>_xlfn.XLOOKUP(A2025, OBJETIVO!A:A, OBJETIVO!B:B)</f>
        <v>Abertura/Expansão</v>
      </c>
      <c r="J2025">
        <f t="shared" si="31"/>
        <v>0</v>
      </c>
    </row>
    <row r="2026" spans="1:10" x14ac:dyDescent="0.25">
      <c r="A2026">
        <v>10781568</v>
      </c>
      <c r="B2026" s="1">
        <v>45646.447488425925</v>
      </c>
      <c r="C2026" t="s">
        <v>0</v>
      </c>
      <c r="D2026" t="str">
        <f>VLOOKUP(A2026,MERCADO!A:B,2,0)</f>
        <v>Servicos</v>
      </c>
      <c r="E2026" t="str">
        <f>_xlfn.XLOOKUP(A2026, ORIGEM!A:A, ORIGEM!B:B)</f>
        <v>Google</v>
      </c>
      <c r="F2026" t="str">
        <f>_xlfn.XLOOKUP(A2026, ORIGEM!A:A, ORIGEM!C:C)</f>
        <v>google - cpc</v>
      </c>
      <c r="G2026" t="str">
        <f>_xlfn.XLOOKUP(A2026, LOCAL!A:A, LOCAL!B:B)</f>
        <v>Panambi - RS</v>
      </c>
      <c r="H2026" t="str">
        <f>_xlfn.XLOOKUP(A2026, PORTE!A:A, PORTE!B:B)</f>
        <v>1-10</v>
      </c>
      <c r="I2026" t="str">
        <f>_xlfn.XLOOKUP(A2026, OBJETIVO!A:A, OBJETIVO!B:B)</f>
        <v>Abertura/Expansão</v>
      </c>
      <c r="J2026">
        <f t="shared" si="31"/>
        <v>0</v>
      </c>
    </row>
    <row r="2027" spans="1:10" x14ac:dyDescent="0.25">
      <c r="A2027">
        <v>10782207</v>
      </c>
      <c r="B2027" s="1">
        <v>45646.758738425924</v>
      </c>
      <c r="C2027" t="s">
        <v>0</v>
      </c>
      <c r="D2027" t="str">
        <f>VLOOKUP(A2027,MERCADO!A:B,2,0)</f>
        <v>Servicos</v>
      </c>
      <c r="E2027" t="str">
        <f>_xlfn.XLOOKUP(A2027, ORIGEM!A:A, ORIGEM!B:B)</f>
        <v>Google</v>
      </c>
      <c r="F2027" t="str">
        <f>_xlfn.XLOOKUP(A2027, ORIGEM!A:A, ORIGEM!C:C)</f>
        <v>google - cpc</v>
      </c>
      <c r="G2027" t="str">
        <f>_xlfn.XLOOKUP(A2027, LOCAL!A:A, LOCAL!B:B)</f>
        <v>Brasília - DF</v>
      </c>
      <c r="H2027" t="str">
        <f>_xlfn.XLOOKUP(A2027, PORTE!A:A, PORTE!B:B)</f>
        <v>1-10</v>
      </c>
      <c r="I2027" t="str">
        <f>_xlfn.XLOOKUP(A2027, OBJETIVO!A:A, OBJETIVO!B:B)</f>
        <v>Abertura/Expansão</v>
      </c>
      <c r="J2027">
        <f t="shared" si="31"/>
        <v>0</v>
      </c>
    </row>
    <row r="2028" spans="1:10" x14ac:dyDescent="0.25">
      <c r="A2028">
        <v>10794033</v>
      </c>
      <c r="B2028" s="1">
        <v>45647.798043981478</v>
      </c>
      <c r="C2028" t="s">
        <v>0</v>
      </c>
      <c r="D2028" t="str">
        <f>VLOOKUP(A2028,MERCADO!A:B,2,0)</f>
        <v>Servicos</v>
      </c>
      <c r="E2028" t="str">
        <f>_xlfn.XLOOKUP(A2028, ORIGEM!A:A, ORIGEM!B:B)</f>
        <v>Google</v>
      </c>
      <c r="F2028" t="str">
        <f>_xlfn.XLOOKUP(A2028, ORIGEM!A:A, ORIGEM!C:C)</f>
        <v>google - cpc</v>
      </c>
      <c r="G2028" t="str">
        <f>_xlfn.XLOOKUP(A2028, LOCAL!A:A, LOCAL!B:B)</f>
        <v>Guarulhos - SP</v>
      </c>
      <c r="H2028" t="str">
        <f>_xlfn.XLOOKUP(A2028, PORTE!A:A, PORTE!B:B)</f>
        <v>1-10</v>
      </c>
      <c r="I2028" t="str">
        <f>_xlfn.XLOOKUP(A2028, OBJETIVO!A:A, OBJETIVO!B:B)</f>
        <v>Consultoria</v>
      </c>
      <c r="J2028">
        <f t="shared" si="31"/>
        <v>0</v>
      </c>
    </row>
    <row r="2029" spans="1:10" x14ac:dyDescent="0.25">
      <c r="A2029">
        <v>10797650</v>
      </c>
      <c r="B2029" s="1">
        <v>45648.462581018517</v>
      </c>
      <c r="C2029" t="s">
        <v>0</v>
      </c>
      <c r="D2029" t="str">
        <f>VLOOKUP(A2029,MERCADO!A:B,2,0)</f>
        <v>Servicos</v>
      </c>
      <c r="E2029" t="str">
        <f>_xlfn.XLOOKUP(A2029, ORIGEM!A:A, ORIGEM!B:B)</f>
        <v>Google</v>
      </c>
      <c r="F2029" t="str">
        <f>_xlfn.XLOOKUP(A2029, ORIGEM!A:A, ORIGEM!C:C)</f>
        <v>google - cpc</v>
      </c>
      <c r="G2029" t="str">
        <f>_xlfn.XLOOKUP(A2029, LOCAL!A:A, LOCAL!B:B)</f>
        <v>São Paulo - SP</v>
      </c>
      <c r="H2029" t="str">
        <f>_xlfn.XLOOKUP(A2029, PORTE!A:A, PORTE!B:B)</f>
        <v>1-10</v>
      </c>
      <c r="I2029" t="str">
        <f>_xlfn.XLOOKUP(A2029, OBJETIVO!A:A, OBJETIVO!B:B)</f>
        <v>Abertura/Expansão</v>
      </c>
      <c r="J2029">
        <f t="shared" si="31"/>
        <v>0</v>
      </c>
    </row>
    <row r="2030" spans="1:10" x14ac:dyDescent="0.25">
      <c r="A2030">
        <v>10850362</v>
      </c>
      <c r="B2030" s="1">
        <v>45659.46974537037</v>
      </c>
      <c r="C2030" t="s">
        <v>0</v>
      </c>
      <c r="D2030" t="str">
        <f>VLOOKUP(A2030,MERCADO!A:B,2,0)</f>
        <v>Servicos</v>
      </c>
      <c r="E2030" t="str">
        <f>_xlfn.XLOOKUP(A2030, ORIGEM!A:A, ORIGEM!B:B)</f>
        <v>Google</v>
      </c>
      <c r="F2030" t="str">
        <f>_xlfn.XLOOKUP(A2030, ORIGEM!A:A, ORIGEM!C:C)</f>
        <v>google - cpc</v>
      </c>
      <c r="G2030" t="str">
        <f>_xlfn.XLOOKUP(A2030, LOCAL!A:A, LOCAL!B:B)</f>
        <v>Resende - RJ</v>
      </c>
      <c r="H2030" t="str">
        <f>_xlfn.XLOOKUP(A2030, PORTE!A:A, PORTE!B:B)</f>
        <v>1-10</v>
      </c>
      <c r="I2030" t="str">
        <f>_xlfn.XLOOKUP(A2030, OBJETIVO!A:A, OBJETIVO!B:B)</f>
        <v>Abertura/Expansão</v>
      </c>
      <c r="J2030">
        <f t="shared" si="31"/>
        <v>0</v>
      </c>
    </row>
    <row r="2031" spans="1:10" x14ac:dyDescent="0.25">
      <c r="A2031">
        <v>10851143</v>
      </c>
      <c r="B2031" s="1">
        <v>45659.734756944446</v>
      </c>
      <c r="C2031" t="s">
        <v>0</v>
      </c>
      <c r="D2031" t="str">
        <f>VLOOKUP(A2031,MERCADO!A:B,2,0)</f>
        <v>Servicos</v>
      </c>
      <c r="E2031" t="str">
        <f>_xlfn.XLOOKUP(A2031, ORIGEM!A:A, ORIGEM!B:B)</f>
        <v>Google</v>
      </c>
      <c r="F2031" t="str">
        <f>_xlfn.XLOOKUP(A2031, ORIGEM!A:A, ORIGEM!C:C)</f>
        <v>google - cpc</v>
      </c>
      <c r="G2031" t="str">
        <f>_xlfn.XLOOKUP(A2031, LOCAL!A:A, LOCAL!B:B)</f>
        <v>Joinville - SC</v>
      </c>
      <c r="H2031" t="str">
        <f>_xlfn.XLOOKUP(A2031, PORTE!A:A, PORTE!B:B)</f>
        <v>0</v>
      </c>
      <c r="I2031" t="str">
        <f>_xlfn.XLOOKUP(A2031, OBJETIVO!A:A, OBJETIVO!B:B)</f>
        <v>Planejamento estratégico</v>
      </c>
      <c r="J2031">
        <f t="shared" si="31"/>
        <v>0</v>
      </c>
    </row>
    <row r="2032" spans="1:10" x14ac:dyDescent="0.25">
      <c r="A2032">
        <v>10751641</v>
      </c>
      <c r="B2032" s="1">
        <v>45643.385324074072</v>
      </c>
      <c r="C2032" t="s">
        <v>0</v>
      </c>
      <c r="D2032" t="str">
        <f>VLOOKUP(A2032,MERCADO!A:B,2,0)</f>
        <v>Servicos</v>
      </c>
      <c r="E2032" t="str">
        <f>_xlfn.XLOOKUP(A2032, ORIGEM!A:A, ORIGEM!B:B)</f>
        <v>Google</v>
      </c>
      <c r="F2032" t="str">
        <f>_xlfn.XLOOKUP(A2032, ORIGEM!A:A, ORIGEM!C:C)</f>
        <v>google - cpc</v>
      </c>
      <c r="G2032" t="str">
        <f>_xlfn.XLOOKUP(A2032, LOCAL!A:A, LOCAL!B:B)</f>
        <v>Curitiba - PR</v>
      </c>
      <c r="H2032" t="str">
        <f>_xlfn.XLOOKUP(A2032, PORTE!A:A, PORTE!B:B)</f>
        <v>51-300</v>
      </c>
      <c r="I2032" t="str">
        <f>_xlfn.XLOOKUP(A2032, OBJETIVO!A:A, OBJETIVO!B:B)</f>
        <v>Geração de leads b2b</v>
      </c>
      <c r="J2032">
        <f t="shared" si="31"/>
        <v>0</v>
      </c>
    </row>
    <row r="2033" spans="1:10" x14ac:dyDescent="0.25">
      <c r="A2033">
        <v>10750569</v>
      </c>
      <c r="B2033" s="1">
        <v>45643.001180555555</v>
      </c>
      <c r="C2033" t="s">
        <v>0</v>
      </c>
      <c r="D2033" t="str">
        <f>VLOOKUP(A2033,MERCADO!A:B,2,0)</f>
        <v>Servicos</v>
      </c>
      <c r="E2033" t="str">
        <f>_xlfn.XLOOKUP(A2033, ORIGEM!A:A, ORIGEM!B:B)</f>
        <v>Google</v>
      </c>
      <c r="F2033" t="str">
        <f>_xlfn.XLOOKUP(A2033, ORIGEM!A:A, ORIGEM!C:C)</f>
        <v>google - cpc</v>
      </c>
      <c r="G2033" t="str">
        <f>_xlfn.XLOOKUP(A2033, LOCAL!A:A, LOCAL!B:B)</f>
        <v>Petrópolis - RJ</v>
      </c>
      <c r="H2033" t="str">
        <f>_xlfn.XLOOKUP(A2033, PORTE!A:A, PORTE!B:B)</f>
        <v>0</v>
      </c>
      <c r="I2033" t="str">
        <f>_xlfn.XLOOKUP(A2033, OBJETIVO!A:A, OBJETIVO!B:B)</f>
        <v>Geração de leads b2b</v>
      </c>
      <c r="J2033">
        <f t="shared" si="31"/>
        <v>0</v>
      </c>
    </row>
    <row r="2034" spans="1:10" x14ac:dyDescent="0.25">
      <c r="A2034">
        <v>10594958</v>
      </c>
      <c r="B2034" s="1">
        <v>45628.84778935185</v>
      </c>
      <c r="C2034" t="s">
        <v>0</v>
      </c>
      <c r="D2034">
        <f>VLOOKUP(A2034,MERCADO!A:B,2,0)</f>
        <v>0</v>
      </c>
      <c r="E2034" t="str">
        <f>_xlfn.XLOOKUP(A2034, ORIGEM!A:A, ORIGEM!B:B)</f>
        <v>Orgânico</v>
      </c>
      <c r="F2034">
        <f>_xlfn.XLOOKUP(A2034, ORIGEM!A:A, ORIGEM!C:C)</f>
        <v>0</v>
      </c>
      <c r="G2034" t="str">
        <f>_xlfn.XLOOKUP(A2034, LOCAL!A:A, LOCAL!B:B)</f>
        <v>Brasília - DF</v>
      </c>
      <c r="H2034" t="str">
        <f>_xlfn.XLOOKUP(A2034, PORTE!A:A, PORTE!B:B)</f>
        <v>0</v>
      </c>
      <c r="I2034" t="str">
        <f>_xlfn.XLOOKUP(A2034, OBJETIVO!A:A, OBJETIVO!B:B)</f>
        <v>Outro</v>
      </c>
      <c r="J2034">
        <f t="shared" si="31"/>
        <v>0</v>
      </c>
    </row>
    <row r="2035" spans="1:10" x14ac:dyDescent="0.25">
      <c r="A2035">
        <v>10590214</v>
      </c>
      <c r="B2035" s="1">
        <v>45628.585613425923</v>
      </c>
      <c r="C2035" t="s">
        <v>0</v>
      </c>
      <c r="D2035">
        <f>VLOOKUP(A2035,MERCADO!A:B,2,0)</f>
        <v>0</v>
      </c>
      <c r="E2035" t="str">
        <f>_xlfn.XLOOKUP(A2035, ORIGEM!A:A, ORIGEM!B:B)</f>
        <v>Orgânico</v>
      </c>
      <c r="F2035">
        <f>_xlfn.XLOOKUP(A2035, ORIGEM!A:A, ORIGEM!C:C)</f>
        <v>0</v>
      </c>
      <c r="G2035" t="str">
        <f>_xlfn.XLOOKUP(A2035, LOCAL!A:A, LOCAL!B:B)</f>
        <v>Londrina - PR</v>
      </c>
      <c r="H2035" t="str">
        <f>_xlfn.XLOOKUP(A2035, PORTE!A:A, PORTE!B:B)</f>
        <v>0</v>
      </c>
      <c r="I2035" t="str">
        <f>_xlfn.XLOOKUP(A2035, OBJETIVO!A:A, OBJETIVO!B:B)</f>
        <v>Consultoria</v>
      </c>
      <c r="J2035">
        <f t="shared" si="31"/>
        <v>0</v>
      </c>
    </row>
    <row r="2036" spans="1:10" x14ac:dyDescent="0.25">
      <c r="A2036">
        <v>10610471</v>
      </c>
      <c r="B2036" s="1">
        <v>45630.133217592593</v>
      </c>
      <c r="C2036" t="s">
        <v>0</v>
      </c>
      <c r="D2036">
        <f>VLOOKUP(A2036,MERCADO!A:B,2,0)</f>
        <v>0</v>
      </c>
      <c r="E2036" t="str">
        <f>_xlfn.XLOOKUP(A2036, ORIGEM!A:A, ORIGEM!B:B)</f>
        <v>Orgânico</v>
      </c>
      <c r="F2036">
        <f>_xlfn.XLOOKUP(A2036, ORIGEM!A:A, ORIGEM!C:C)</f>
        <v>0</v>
      </c>
      <c r="G2036" t="str">
        <f>_xlfn.XLOOKUP(A2036, LOCAL!A:A, LOCAL!B:B)</f>
        <v>Feira de Santana - BA</v>
      </c>
      <c r="H2036" t="str">
        <f>_xlfn.XLOOKUP(A2036, PORTE!A:A, PORTE!B:B)</f>
        <v>0</v>
      </c>
      <c r="I2036" t="str">
        <f>_xlfn.XLOOKUP(A2036, OBJETIVO!A:A, OBJETIVO!B:B)</f>
        <v>Outro</v>
      </c>
      <c r="J2036">
        <f t="shared" si="31"/>
        <v>0</v>
      </c>
    </row>
    <row r="2037" spans="1:10" x14ac:dyDescent="0.25">
      <c r="A2037">
        <v>10580602</v>
      </c>
      <c r="B2037" s="1">
        <v>45627.730057870373</v>
      </c>
      <c r="C2037" t="s">
        <v>0</v>
      </c>
      <c r="D2037">
        <f>VLOOKUP(A2037,MERCADO!A:B,2,0)</f>
        <v>0</v>
      </c>
      <c r="E2037" t="str">
        <f>_xlfn.XLOOKUP(A2037, ORIGEM!A:A, ORIGEM!B:B)</f>
        <v>Orgânico</v>
      </c>
      <c r="F2037">
        <f>_xlfn.XLOOKUP(A2037, ORIGEM!A:A, ORIGEM!C:C)</f>
        <v>0</v>
      </c>
      <c r="G2037" t="str">
        <f>_xlfn.XLOOKUP(A2037, LOCAL!A:A, LOCAL!B:B)</f>
        <v>Rio de Janeiro - RJ</v>
      </c>
      <c r="H2037" t="str">
        <f>_xlfn.XLOOKUP(A2037, PORTE!A:A, PORTE!B:B)</f>
        <v>1-10</v>
      </c>
      <c r="I2037" t="str">
        <f>_xlfn.XLOOKUP(A2037, OBJETIVO!A:A, OBJETIVO!B:B)</f>
        <v>Abertura/Expansão</v>
      </c>
      <c r="J2037">
        <f t="shared" si="31"/>
        <v>0</v>
      </c>
    </row>
    <row r="2038" spans="1:10" x14ac:dyDescent="0.25">
      <c r="A2038">
        <v>10580665</v>
      </c>
      <c r="B2038" s="1">
        <v>45627.732986111114</v>
      </c>
      <c r="C2038" t="s">
        <v>0</v>
      </c>
      <c r="D2038">
        <f>VLOOKUP(A2038,MERCADO!A:B,2,0)</f>
        <v>0</v>
      </c>
      <c r="E2038" t="str">
        <f>_xlfn.XLOOKUP(A2038, ORIGEM!A:A, ORIGEM!B:B)</f>
        <v>Orgânico</v>
      </c>
      <c r="F2038">
        <f>_xlfn.XLOOKUP(A2038, ORIGEM!A:A, ORIGEM!C:C)</f>
        <v>0</v>
      </c>
      <c r="G2038" t="str">
        <f>_xlfn.XLOOKUP(A2038, LOCAL!A:A, LOCAL!B:B)</f>
        <v>Pirai - RJ</v>
      </c>
      <c r="H2038" t="str">
        <f>_xlfn.XLOOKUP(A2038, PORTE!A:A, PORTE!B:B)</f>
        <v>301-1000</v>
      </c>
      <c r="I2038" t="str">
        <f>_xlfn.XLOOKUP(A2038, OBJETIVO!A:A, OBJETIVO!B:B)</f>
        <v>Outro</v>
      </c>
      <c r="J2038">
        <f t="shared" si="31"/>
        <v>0</v>
      </c>
    </row>
    <row r="2039" spans="1:10" x14ac:dyDescent="0.25">
      <c r="A2039">
        <v>10583128</v>
      </c>
      <c r="B2039" s="1">
        <v>45627.888888888891</v>
      </c>
      <c r="C2039" t="s">
        <v>0</v>
      </c>
      <c r="D2039">
        <f>VLOOKUP(A2039,MERCADO!A:B,2,0)</f>
        <v>0</v>
      </c>
      <c r="E2039" t="str">
        <f>_xlfn.XLOOKUP(A2039, ORIGEM!A:A, ORIGEM!B:B)</f>
        <v>Orgânico</v>
      </c>
      <c r="F2039">
        <f>_xlfn.XLOOKUP(A2039, ORIGEM!A:A, ORIGEM!C:C)</f>
        <v>0</v>
      </c>
      <c r="G2039" t="str">
        <f>_xlfn.XLOOKUP(A2039, LOCAL!A:A, LOCAL!B:B)</f>
        <v>São Luís - MA</v>
      </c>
      <c r="H2039" t="str">
        <f>_xlfn.XLOOKUP(A2039, PORTE!A:A, PORTE!B:B)</f>
        <v>0</v>
      </c>
      <c r="I2039" t="str">
        <f>_xlfn.XLOOKUP(A2039, OBJETIVO!A:A, OBJETIVO!B:B)</f>
        <v>Outro</v>
      </c>
      <c r="J2039">
        <f t="shared" si="31"/>
        <v>0</v>
      </c>
    </row>
    <row r="2040" spans="1:10" x14ac:dyDescent="0.25">
      <c r="A2040">
        <v>10583203</v>
      </c>
      <c r="B2040" s="1">
        <v>45627.912511574075</v>
      </c>
      <c r="C2040" t="s">
        <v>0</v>
      </c>
      <c r="D2040">
        <f>VLOOKUP(A2040,MERCADO!A:B,2,0)</f>
        <v>0</v>
      </c>
      <c r="E2040" t="str">
        <f>_xlfn.XLOOKUP(A2040, ORIGEM!A:A, ORIGEM!B:B)</f>
        <v>Orgânico</v>
      </c>
      <c r="F2040">
        <f>_xlfn.XLOOKUP(A2040, ORIGEM!A:A, ORIGEM!C:C)</f>
        <v>0</v>
      </c>
      <c r="G2040" t="str">
        <f>_xlfn.XLOOKUP(A2040, LOCAL!A:A, LOCAL!B:B)</f>
        <v>São Luís - MA</v>
      </c>
      <c r="H2040" t="str">
        <f>_xlfn.XLOOKUP(A2040, PORTE!A:A, PORTE!B:B)</f>
        <v>0</v>
      </c>
      <c r="I2040" t="str">
        <f>_xlfn.XLOOKUP(A2040, OBJETIVO!A:A, OBJETIVO!B:B)</f>
        <v>Outro</v>
      </c>
      <c r="J2040">
        <f t="shared" si="31"/>
        <v>0</v>
      </c>
    </row>
    <row r="2041" spans="1:10" x14ac:dyDescent="0.25">
      <c r="A2041">
        <v>10583847</v>
      </c>
      <c r="B2041" s="1">
        <v>45628.313715277778</v>
      </c>
      <c r="C2041" t="s">
        <v>0</v>
      </c>
      <c r="D2041">
        <f>VLOOKUP(A2041,MERCADO!A:B,2,0)</f>
        <v>0</v>
      </c>
      <c r="E2041" t="str">
        <f>_xlfn.XLOOKUP(A2041, ORIGEM!A:A, ORIGEM!B:B)</f>
        <v>Orgânico</v>
      </c>
      <c r="F2041">
        <f>_xlfn.XLOOKUP(A2041, ORIGEM!A:A, ORIGEM!C:C)</f>
        <v>0</v>
      </c>
      <c r="G2041" t="str">
        <f>_xlfn.XLOOKUP(A2041, LOCAL!A:A, LOCAL!B:B)</f>
        <v>Curitiba - PR</v>
      </c>
      <c r="H2041" t="str">
        <f>_xlfn.XLOOKUP(A2041, PORTE!A:A, PORTE!B:B)</f>
        <v>0</v>
      </c>
      <c r="I2041" t="str">
        <f>_xlfn.XLOOKUP(A2041, OBJETIVO!A:A, OBJETIVO!B:B)</f>
        <v>Outro</v>
      </c>
      <c r="J2041">
        <f t="shared" si="31"/>
        <v>0</v>
      </c>
    </row>
    <row r="2042" spans="1:10" x14ac:dyDescent="0.25">
      <c r="A2042">
        <v>10589210</v>
      </c>
      <c r="B2042" s="1">
        <v>45628.525509259256</v>
      </c>
      <c r="C2042" t="s">
        <v>0</v>
      </c>
      <c r="D2042">
        <f>VLOOKUP(A2042,MERCADO!A:B,2,0)</f>
        <v>0</v>
      </c>
      <c r="E2042" t="str">
        <f>_xlfn.XLOOKUP(A2042, ORIGEM!A:A, ORIGEM!B:B)</f>
        <v>Orgânico</v>
      </c>
      <c r="F2042">
        <f>_xlfn.XLOOKUP(A2042, ORIGEM!A:A, ORIGEM!C:C)</f>
        <v>0</v>
      </c>
      <c r="G2042" t="str">
        <f>_xlfn.XLOOKUP(A2042, LOCAL!A:A, LOCAL!B:B)</f>
        <v>Ouro Fino - MG</v>
      </c>
      <c r="H2042" t="str">
        <f>_xlfn.XLOOKUP(A2042, PORTE!A:A, PORTE!B:B)</f>
        <v>0</v>
      </c>
      <c r="I2042" t="str">
        <f>_xlfn.XLOOKUP(A2042, OBJETIVO!A:A, OBJETIVO!B:B)</f>
        <v>Outro</v>
      </c>
      <c r="J2042">
        <f t="shared" si="31"/>
        <v>0</v>
      </c>
    </row>
    <row r="2043" spans="1:10" x14ac:dyDescent="0.25">
      <c r="A2043">
        <v>10589395</v>
      </c>
      <c r="B2043" s="1">
        <v>45628.545208333337</v>
      </c>
      <c r="C2043" t="s">
        <v>0</v>
      </c>
      <c r="D2043">
        <f>VLOOKUP(A2043,MERCADO!A:B,2,0)</f>
        <v>0</v>
      </c>
      <c r="E2043" t="str">
        <f>_xlfn.XLOOKUP(A2043, ORIGEM!A:A, ORIGEM!B:B)</f>
        <v>Orgânico</v>
      </c>
      <c r="F2043">
        <f>_xlfn.XLOOKUP(A2043, ORIGEM!A:A, ORIGEM!C:C)</f>
        <v>0</v>
      </c>
      <c r="G2043" t="str">
        <f>_xlfn.XLOOKUP(A2043, LOCAL!A:A, LOCAL!B:B)</f>
        <v>Maceió - AL</v>
      </c>
      <c r="H2043" t="str">
        <f>_xlfn.XLOOKUP(A2043, PORTE!A:A, PORTE!B:B)</f>
        <v>0</v>
      </c>
      <c r="I2043" t="str">
        <f>_xlfn.XLOOKUP(A2043, OBJETIVO!A:A, OBJETIVO!B:B)</f>
        <v>Outro</v>
      </c>
      <c r="J2043">
        <f t="shared" si="31"/>
        <v>0</v>
      </c>
    </row>
    <row r="2044" spans="1:10" x14ac:dyDescent="0.25">
      <c r="A2044">
        <v>10589414</v>
      </c>
      <c r="B2044" s="1">
        <v>45628.548807870371</v>
      </c>
      <c r="C2044" t="s">
        <v>0</v>
      </c>
      <c r="D2044">
        <f>VLOOKUP(A2044,MERCADO!A:B,2,0)</f>
        <v>0</v>
      </c>
      <c r="E2044" t="str">
        <f>_xlfn.XLOOKUP(A2044, ORIGEM!A:A, ORIGEM!B:B)</f>
        <v>Orgânico</v>
      </c>
      <c r="F2044">
        <f>_xlfn.XLOOKUP(A2044, ORIGEM!A:A, ORIGEM!C:C)</f>
        <v>0</v>
      </c>
      <c r="G2044" t="str">
        <f>_xlfn.XLOOKUP(A2044, LOCAL!A:A, LOCAL!B:B)</f>
        <v>Curitiba - PR</v>
      </c>
      <c r="H2044" t="str">
        <f>_xlfn.XLOOKUP(A2044, PORTE!A:A, PORTE!B:B)</f>
        <v>11-50</v>
      </c>
      <c r="I2044" t="str">
        <f>_xlfn.XLOOKUP(A2044, OBJETIVO!A:A, OBJETIVO!B:B)</f>
        <v>Outro</v>
      </c>
      <c r="J2044">
        <f t="shared" si="31"/>
        <v>0</v>
      </c>
    </row>
    <row r="2045" spans="1:10" x14ac:dyDescent="0.25">
      <c r="A2045">
        <v>10589498</v>
      </c>
      <c r="B2045" s="1">
        <v>45628.555462962962</v>
      </c>
      <c r="C2045" t="s">
        <v>0</v>
      </c>
      <c r="D2045">
        <f>VLOOKUP(A2045,MERCADO!A:B,2,0)</f>
        <v>0</v>
      </c>
      <c r="E2045" t="str">
        <f>_xlfn.XLOOKUP(A2045, ORIGEM!A:A, ORIGEM!B:B)</f>
        <v>Orgânico</v>
      </c>
      <c r="F2045">
        <f>_xlfn.XLOOKUP(A2045, ORIGEM!A:A, ORIGEM!C:C)</f>
        <v>0</v>
      </c>
      <c r="G2045" t="str">
        <f>_xlfn.XLOOKUP(A2045, LOCAL!A:A, LOCAL!B:B)</f>
        <v>Maringá - PR</v>
      </c>
      <c r="H2045" t="str">
        <f>_xlfn.XLOOKUP(A2045, PORTE!A:A, PORTE!B:B)</f>
        <v>0</v>
      </c>
      <c r="I2045" t="str">
        <f>_xlfn.XLOOKUP(A2045, OBJETIVO!A:A, OBJETIVO!B:B)</f>
        <v>Abertura/Expansão</v>
      </c>
      <c r="J2045">
        <f t="shared" si="31"/>
        <v>0</v>
      </c>
    </row>
    <row r="2046" spans="1:10" x14ac:dyDescent="0.25">
      <c r="A2046">
        <v>10608811</v>
      </c>
      <c r="B2046" s="1">
        <v>45629.755324074074</v>
      </c>
      <c r="C2046" t="s">
        <v>0</v>
      </c>
      <c r="D2046">
        <f>VLOOKUP(A2046,MERCADO!A:B,2,0)</f>
        <v>0</v>
      </c>
      <c r="E2046" t="str">
        <f>_xlfn.XLOOKUP(A2046, ORIGEM!A:A, ORIGEM!B:B)</f>
        <v>Bing</v>
      </c>
      <c r="F2046" t="str">
        <f>_xlfn.XLOOKUP(A2046, ORIGEM!A:A, ORIGEM!C:C)</f>
        <v>bing - cpc</v>
      </c>
      <c r="G2046" t="str">
        <f>_xlfn.XLOOKUP(A2046, LOCAL!A:A, LOCAL!B:B)</f>
        <v>Rio de Janeiro - RJ</v>
      </c>
      <c r="H2046" t="str">
        <f>_xlfn.XLOOKUP(A2046, PORTE!A:A, PORTE!B:B)</f>
        <v>0</v>
      </c>
      <c r="I2046" t="str">
        <f>_xlfn.XLOOKUP(A2046, OBJETIVO!A:A, OBJETIVO!B:B)</f>
        <v>Ações de marketing/vendas</v>
      </c>
      <c r="J2046">
        <f t="shared" si="31"/>
        <v>0</v>
      </c>
    </row>
    <row r="2047" spans="1:10" x14ac:dyDescent="0.25">
      <c r="A2047">
        <v>10615968</v>
      </c>
      <c r="B2047" s="1">
        <v>45630.588437500002</v>
      </c>
      <c r="C2047" t="s">
        <v>0</v>
      </c>
      <c r="D2047" t="str">
        <f>VLOOKUP(A2047,MERCADO!A:B,2,0)</f>
        <v>Marketing/Publicidade/Consultoria</v>
      </c>
      <c r="E2047" t="str">
        <f>_xlfn.XLOOKUP(A2047, ORIGEM!A:A, ORIGEM!B:B)</f>
        <v>Google</v>
      </c>
      <c r="F2047" t="str">
        <f>_xlfn.XLOOKUP(A2047, ORIGEM!A:A, ORIGEM!C:C)</f>
        <v>google - cpc</v>
      </c>
      <c r="G2047" t="str">
        <f>_xlfn.XLOOKUP(A2047, LOCAL!A:A, LOCAL!B:B)</f>
        <v>Porto Alegre - RS</v>
      </c>
      <c r="H2047" t="str">
        <f>_xlfn.XLOOKUP(A2047, PORTE!A:A, PORTE!B:B)</f>
        <v>1-10</v>
      </c>
      <c r="I2047" t="str">
        <f>_xlfn.XLOOKUP(A2047, OBJETIVO!A:A, OBJETIVO!B:B)</f>
        <v>Geração de leads b2b</v>
      </c>
      <c r="J2047">
        <f t="shared" si="31"/>
        <v>0</v>
      </c>
    </row>
    <row r="2048" spans="1:10" x14ac:dyDescent="0.25">
      <c r="A2048">
        <v>11257822</v>
      </c>
      <c r="B2048" s="1">
        <v>45693.450416666667</v>
      </c>
      <c r="C2048" t="s">
        <v>0</v>
      </c>
      <c r="D2048" t="str">
        <f>VLOOKUP(A2048,MERCADO!A:B,2,0)</f>
        <v>Marketing/Publicidade/Consultoria</v>
      </c>
      <c r="E2048" t="str">
        <f>_xlfn.XLOOKUP(A2048, ORIGEM!A:A, ORIGEM!B:B)</f>
        <v>Google</v>
      </c>
      <c r="F2048" t="str">
        <f>_xlfn.XLOOKUP(A2048, ORIGEM!A:A, ORIGEM!C:C)</f>
        <v>google - cpc</v>
      </c>
      <c r="G2048" t="str">
        <f>_xlfn.XLOOKUP(A2048, LOCAL!A:A, LOCAL!B:B)</f>
        <v>Criciúma - SC</v>
      </c>
      <c r="H2048" t="str">
        <f>_xlfn.XLOOKUP(A2048, PORTE!A:A, PORTE!B:B)</f>
        <v>0</v>
      </c>
      <c r="I2048" t="str">
        <f>_xlfn.XLOOKUP(A2048, OBJETIVO!A:A, OBJETIVO!B:B)</f>
        <v>Outro</v>
      </c>
      <c r="J2048">
        <f t="shared" si="31"/>
        <v>0</v>
      </c>
    </row>
    <row r="2049" spans="1:10" x14ac:dyDescent="0.25">
      <c r="A2049">
        <v>10577408</v>
      </c>
      <c r="B2049" s="1">
        <v>45627.626203703701</v>
      </c>
      <c r="C2049" t="s">
        <v>0</v>
      </c>
      <c r="D2049">
        <f>VLOOKUP(A2049,MERCADO!A:B,2,0)</f>
        <v>0</v>
      </c>
      <c r="E2049" t="str">
        <f>_xlfn.XLOOKUP(A2049, ORIGEM!A:A, ORIGEM!B:B)</f>
        <v>Orgânico</v>
      </c>
      <c r="F2049">
        <f>_xlfn.XLOOKUP(A2049, ORIGEM!A:A, ORIGEM!C:C)</f>
        <v>0</v>
      </c>
      <c r="G2049" t="str">
        <f>_xlfn.XLOOKUP(A2049, LOCAL!A:A, LOCAL!B:B)</f>
        <v>São João del-Rei - MG</v>
      </c>
      <c r="H2049" t="str">
        <f>_xlfn.XLOOKUP(A2049, PORTE!A:A, PORTE!B:B)</f>
        <v>1-10</v>
      </c>
      <c r="I2049" t="str">
        <f>_xlfn.XLOOKUP(A2049, OBJETIVO!A:A, OBJETIVO!B:B)</f>
        <v>Outro</v>
      </c>
      <c r="J2049">
        <f t="shared" si="31"/>
        <v>0</v>
      </c>
    </row>
    <row r="2050" spans="1:10" x14ac:dyDescent="0.25">
      <c r="A2050">
        <v>10565887</v>
      </c>
      <c r="B2050" s="1">
        <v>45627.006643518522</v>
      </c>
      <c r="C2050" t="s">
        <v>0</v>
      </c>
      <c r="D2050">
        <f>VLOOKUP(A2050,MERCADO!A:B,2,0)</f>
        <v>0</v>
      </c>
      <c r="E2050" t="str">
        <f>_xlfn.XLOOKUP(A2050, ORIGEM!A:A, ORIGEM!B:B)</f>
        <v>Orgânico</v>
      </c>
      <c r="F2050">
        <f>_xlfn.XLOOKUP(A2050, ORIGEM!A:A, ORIGEM!C:C)</f>
        <v>0</v>
      </c>
      <c r="G2050" t="str">
        <f>_xlfn.XLOOKUP(A2050, LOCAL!A:A, LOCAL!B:B)</f>
        <v>Goiânia - GO</v>
      </c>
      <c r="H2050" t="str">
        <f>_xlfn.XLOOKUP(A2050, PORTE!A:A, PORTE!B:B)</f>
        <v>0</v>
      </c>
      <c r="I2050" t="str">
        <f>_xlfn.XLOOKUP(A2050, OBJETIVO!A:A, OBJETIVO!B:B)</f>
        <v>Consultoria</v>
      </c>
      <c r="J2050">
        <f t="shared" si="31"/>
        <v>0</v>
      </c>
    </row>
    <row r="2051" spans="1:10" x14ac:dyDescent="0.25">
      <c r="A2051">
        <v>10572118</v>
      </c>
      <c r="B2051" s="1">
        <v>45627.511840277781</v>
      </c>
      <c r="C2051" t="s">
        <v>0</v>
      </c>
      <c r="D2051">
        <f>VLOOKUP(A2051,MERCADO!A:B,2,0)</f>
        <v>0</v>
      </c>
      <c r="E2051" t="str">
        <f>_xlfn.XLOOKUP(A2051, ORIGEM!A:A, ORIGEM!B:B)</f>
        <v>Orgânico</v>
      </c>
      <c r="F2051">
        <f>_xlfn.XLOOKUP(A2051, ORIGEM!A:A, ORIGEM!C:C)</f>
        <v>0</v>
      </c>
      <c r="G2051" t="str">
        <f>_xlfn.XLOOKUP(A2051, LOCAL!A:A, LOCAL!B:B)</f>
        <v>Olinda - PE</v>
      </c>
      <c r="H2051" t="str">
        <f>_xlfn.XLOOKUP(A2051, PORTE!A:A, PORTE!B:B)</f>
        <v>1-10</v>
      </c>
      <c r="I2051" t="str">
        <f>_xlfn.XLOOKUP(A2051, OBJETIVO!A:A, OBJETIVO!B:B)</f>
        <v>Abertura/Expansão</v>
      </c>
      <c r="J2051">
        <f t="shared" ref="J2051:J2114" si="32">IF(C2051="SIM",1,0)</f>
        <v>0</v>
      </c>
    </row>
    <row r="2052" spans="1:10" x14ac:dyDescent="0.25">
      <c r="A2052">
        <v>10637945</v>
      </c>
      <c r="B2052" s="1">
        <v>45633.65730324074</v>
      </c>
      <c r="C2052" t="s">
        <v>0</v>
      </c>
      <c r="D2052">
        <f>VLOOKUP(A2052,MERCADO!A:B,2,0)</f>
        <v>0</v>
      </c>
      <c r="E2052" t="str">
        <f>_xlfn.XLOOKUP(A2052, ORIGEM!A:A, ORIGEM!B:B)</f>
        <v>Orgânico</v>
      </c>
      <c r="F2052">
        <f>_xlfn.XLOOKUP(A2052, ORIGEM!A:A, ORIGEM!C:C)</f>
        <v>0</v>
      </c>
      <c r="G2052" t="str">
        <f>_xlfn.XLOOKUP(A2052, LOCAL!A:A, LOCAL!B:B)</f>
        <v>São José dos Campos - SP</v>
      </c>
      <c r="H2052" t="str">
        <f>_xlfn.XLOOKUP(A2052, PORTE!A:A, PORTE!B:B)</f>
        <v>11-50</v>
      </c>
      <c r="I2052" t="str">
        <f>_xlfn.XLOOKUP(A2052, OBJETIVO!A:A, OBJETIVO!B:B)</f>
        <v>Consultoria</v>
      </c>
      <c r="J2052">
        <f t="shared" si="32"/>
        <v>0</v>
      </c>
    </row>
    <row r="2053" spans="1:10" x14ac:dyDescent="0.25">
      <c r="A2053">
        <v>10638303</v>
      </c>
      <c r="B2053" s="1">
        <v>45633.667962962965</v>
      </c>
      <c r="C2053" t="s">
        <v>0</v>
      </c>
      <c r="D2053">
        <f>VLOOKUP(A2053,MERCADO!A:B,2,0)</f>
        <v>0</v>
      </c>
      <c r="E2053" t="str">
        <f>_xlfn.XLOOKUP(A2053, ORIGEM!A:A, ORIGEM!B:B)</f>
        <v>Orgânico</v>
      </c>
      <c r="F2053">
        <f>_xlfn.XLOOKUP(A2053, ORIGEM!A:A, ORIGEM!C:C)</f>
        <v>0</v>
      </c>
      <c r="G2053" t="str">
        <f>_xlfn.XLOOKUP(A2053, LOCAL!A:A, LOCAL!B:B)</f>
        <v>Andaraí - RJ</v>
      </c>
      <c r="H2053" t="str">
        <f>_xlfn.XLOOKUP(A2053, PORTE!A:A, PORTE!B:B)</f>
        <v>+ 1000</v>
      </c>
      <c r="I2053" t="str">
        <f>_xlfn.XLOOKUP(A2053, OBJETIVO!A:A, OBJETIVO!B:B)</f>
        <v>Planejamento estratégico</v>
      </c>
      <c r="J2053">
        <f t="shared" si="32"/>
        <v>0</v>
      </c>
    </row>
    <row r="2054" spans="1:10" x14ac:dyDescent="0.25">
      <c r="A2054">
        <v>10624639</v>
      </c>
      <c r="B2054" s="1">
        <v>45632.966192129628</v>
      </c>
      <c r="C2054" t="s">
        <v>0</v>
      </c>
      <c r="D2054">
        <f>VLOOKUP(A2054,MERCADO!A:B,2,0)</f>
        <v>0</v>
      </c>
      <c r="E2054" t="str">
        <f>_xlfn.XLOOKUP(A2054, ORIGEM!A:A, ORIGEM!B:B)</f>
        <v>Orgânico</v>
      </c>
      <c r="F2054">
        <f>_xlfn.XLOOKUP(A2054, ORIGEM!A:A, ORIGEM!C:C)</f>
        <v>0</v>
      </c>
      <c r="G2054" t="str">
        <f>_xlfn.XLOOKUP(A2054, LOCAL!A:A, LOCAL!B:B)</f>
        <v>Itauna - MG</v>
      </c>
      <c r="H2054" t="str">
        <f>_xlfn.XLOOKUP(A2054, PORTE!A:A, PORTE!B:B)</f>
        <v>1-10</v>
      </c>
      <c r="I2054" t="str">
        <f>_xlfn.XLOOKUP(A2054, OBJETIVO!A:A, OBJETIVO!B:B)</f>
        <v>Abertura/Expansão</v>
      </c>
      <c r="J2054">
        <f t="shared" si="32"/>
        <v>0</v>
      </c>
    </row>
    <row r="2055" spans="1:10" x14ac:dyDescent="0.25">
      <c r="A2055">
        <v>10626690</v>
      </c>
      <c r="B2055" s="1">
        <v>45633.407569444447</v>
      </c>
      <c r="C2055" t="s">
        <v>0</v>
      </c>
      <c r="D2055">
        <f>VLOOKUP(A2055,MERCADO!A:B,2,0)</f>
        <v>0</v>
      </c>
      <c r="E2055" t="str">
        <f>_xlfn.XLOOKUP(A2055, ORIGEM!A:A, ORIGEM!B:B)</f>
        <v>Orgânico</v>
      </c>
      <c r="F2055">
        <f>_xlfn.XLOOKUP(A2055, ORIGEM!A:A, ORIGEM!C:C)</f>
        <v>0</v>
      </c>
      <c r="G2055" t="str">
        <f>_xlfn.XLOOKUP(A2055, LOCAL!A:A, LOCAL!B:B)</f>
        <v>São Paulo - SP</v>
      </c>
      <c r="H2055" t="str">
        <f>_xlfn.XLOOKUP(A2055, PORTE!A:A, PORTE!B:B)</f>
        <v>1-10</v>
      </c>
      <c r="I2055" t="str">
        <f>_xlfn.XLOOKUP(A2055, OBJETIVO!A:A, OBJETIVO!B:B)</f>
        <v>Ações de marketing/vendas</v>
      </c>
      <c r="J2055">
        <f t="shared" si="32"/>
        <v>0</v>
      </c>
    </row>
    <row r="2056" spans="1:10" x14ac:dyDescent="0.25">
      <c r="A2056">
        <v>10655248</v>
      </c>
      <c r="B2056" s="1">
        <v>45634.69903935185</v>
      </c>
      <c r="C2056" t="s">
        <v>0</v>
      </c>
      <c r="D2056">
        <f>VLOOKUP(A2056,MERCADO!A:B,2,0)</f>
        <v>0</v>
      </c>
      <c r="E2056" t="str">
        <f>_xlfn.XLOOKUP(A2056, ORIGEM!A:A, ORIGEM!B:B)</f>
        <v>Orgânico</v>
      </c>
      <c r="F2056">
        <f>_xlfn.XLOOKUP(A2056, ORIGEM!A:A, ORIGEM!C:C)</f>
        <v>0</v>
      </c>
      <c r="G2056" t="str">
        <f>_xlfn.XLOOKUP(A2056, LOCAL!A:A, LOCAL!B:B)</f>
        <v>Nova Iguaçu - RJ</v>
      </c>
      <c r="H2056" t="str">
        <f>_xlfn.XLOOKUP(A2056, PORTE!A:A, PORTE!B:B)</f>
        <v>1-10</v>
      </c>
      <c r="I2056" t="str">
        <f>_xlfn.XLOOKUP(A2056, OBJETIVO!A:A, OBJETIVO!B:B)</f>
        <v>Outro</v>
      </c>
      <c r="J2056">
        <f t="shared" si="32"/>
        <v>0</v>
      </c>
    </row>
    <row r="2057" spans="1:10" x14ac:dyDescent="0.25">
      <c r="A2057">
        <v>10657111</v>
      </c>
      <c r="B2057" s="1">
        <v>45634.782256944447</v>
      </c>
      <c r="C2057" t="s">
        <v>0</v>
      </c>
      <c r="D2057">
        <f>VLOOKUP(A2057,MERCADO!A:B,2,0)</f>
        <v>0</v>
      </c>
      <c r="E2057" t="str">
        <f>_xlfn.XLOOKUP(A2057, ORIGEM!A:A, ORIGEM!B:B)</f>
        <v>Orgânico</v>
      </c>
      <c r="F2057">
        <f>_xlfn.XLOOKUP(A2057, ORIGEM!A:A, ORIGEM!C:C)</f>
        <v>0</v>
      </c>
      <c r="G2057" t="str">
        <f>_xlfn.XLOOKUP(A2057, LOCAL!A:A, LOCAL!B:B)</f>
        <v>Belo Horizonte - MG</v>
      </c>
      <c r="H2057" t="str">
        <f>_xlfn.XLOOKUP(A2057, PORTE!A:A, PORTE!B:B)</f>
        <v>0</v>
      </c>
      <c r="I2057" t="str">
        <f>_xlfn.XLOOKUP(A2057, OBJETIVO!A:A, OBJETIVO!B:B)</f>
        <v>Planejamento estratégico</v>
      </c>
      <c r="J2057">
        <f t="shared" si="32"/>
        <v>0</v>
      </c>
    </row>
    <row r="2058" spans="1:10" x14ac:dyDescent="0.25">
      <c r="A2058">
        <v>10641259</v>
      </c>
      <c r="B2058" s="1">
        <v>45633.73541666667</v>
      </c>
      <c r="C2058" t="s">
        <v>0</v>
      </c>
      <c r="D2058">
        <f>VLOOKUP(A2058,MERCADO!A:B,2,0)</f>
        <v>0</v>
      </c>
      <c r="E2058" t="str">
        <f>_xlfn.XLOOKUP(A2058, ORIGEM!A:A, ORIGEM!B:B)</f>
        <v>Orgânico</v>
      </c>
      <c r="F2058">
        <f>_xlfn.XLOOKUP(A2058, ORIGEM!A:A, ORIGEM!C:C)</f>
        <v>0</v>
      </c>
      <c r="G2058" t="str">
        <f>_xlfn.XLOOKUP(A2058, LOCAL!A:A, LOCAL!B:B)</f>
        <v>Brasília - DF</v>
      </c>
      <c r="H2058" t="str">
        <f>_xlfn.XLOOKUP(A2058, PORTE!A:A, PORTE!B:B)</f>
        <v>0</v>
      </c>
      <c r="I2058" t="str">
        <f>_xlfn.XLOOKUP(A2058, OBJETIVO!A:A, OBJETIVO!B:B)</f>
        <v>Outro</v>
      </c>
      <c r="J2058">
        <f t="shared" si="32"/>
        <v>0</v>
      </c>
    </row>
    <row r="2059" spans="1:10" x14ac:dyDescent="0.25">
      <c r="A2059">
        <v>10644770</v>
      </c>
      <c r="B2059" s="1">
        <v>45633.896192129629</v>
      </c>
      <c r="C2059" t="s">
        <v>0</v>
      </c>
      <c r="D2059">
        <f>VLOOKUP(A2059,MERCADO!A:B,2,0)</f>
        <v>0</v>
      </c>
      <c r="E2059" t="str">
        <f>_xlfn.XLOOKUP(A2059, ORIGEM!A:A, ORIGEM!B:B)</f>
        <v>Orgânico</v>
      </c>
      <c r="F2059">
        <f>_xlfn.XLOOKUP(A2059, ORIGEM!A:A, ORIGEM!C:C)</f>
        <v>0</v>
      </c>
      <c r="G2059" t="str">
        <f>_xlfn.XLOOKUP(A2059, LOCAL!A:A, LOCAL!B:B)</f>
        <v>Guaratuba - PR</v>
      </c>
      <c r="H2059" t="str">
        <f>_xlfn.XLOOKUP(A2059, PORTE!A:A, PORTE!B:B)</f>
        <v>0</v>
      </c>
      <c r="I2059" t="str">
        <f>_xlfn.XLOOKUP(A2059, OBJETIVO!A:A, OBJETIVO!B:B)</f>
        <v>Consultoria</v>
      </c>
      <c r="J2059">
        <f t="shared" si="32"/>
        <v>0</v>
      </c>
    </row>
    <row r="2060" spans="1:10" x14ac:dyDescent="0.25">
      <c r="A2060">
        <v>10644974</v>
      </c>
      <c r="B2060" s="1">
        <v>45633.953668981485</v>
      </c>
      <c r="C2060" t="s">
        <v>0</v>
      </c>
      <c r="D2060">
        <f>VLOOKUP(A2060,MERCADO!A:B,2,0)</f>
        <v>0</v>
      </c>
      <c r="E2060" t="str">
        <f>_xlfn.XLOOKUP(A2060, ORIGEM!A:A, ORIGEM!B:B)</f>
        <v>Orgânico</v>
      </c>
      <c r="F2060">
        <f>_xlfn.XLOOKUP(A2060, ORIGEM!A:A, ORIGEM!C:C)</f>
        <v>0</v>
      </c>
      <c r="G2060" t="str">
        <f>_xlfn.XLOOKUP(A2060, LOCAL!A:A, LOCAL!B:B)</f>
        <v>Pontes e Lacerda - MT</v>
      </c>
      <c r="H2060" t="str">
        <f>_xlfn.XLOOKUP(A2060, PORTE!A:A, PORTE!B:B)</f>
        <v>0</v>
      </c>
      <c r="I2060" t="str">
        <f>_xlfn.XLOOKUP(A2060, OBJETIVO!A:A, OBJETIVO!B:B)</f>
        <v>Abertura/Expansão</v>
      </c>
      <c r="J2060">
        <f t="shared" si="32"/>
        <v>0</v>
      </c>
    </row>
    <row r="2061" spans="1:10" x14ac:dyDescent="0.25">
      <c r="A2061">
        <v>10623971</v>
      </c>
      <c r="B2061" s="1">
        <v>45632.720925925925</v>
      </c>
      <c r="C2061" t="s">
        <v>0</v>
      </c>
      <c r="D2061">
        <f>VLOOKUP(A2061,MERCADO!A:B,2,0)</f>
        <v>0</v>
      </c>
      <c r="E2061" t="str">
        <f>_xlfn.XLOOKUP(A2061, ORIGEM!A:A, ORIGEM!B:B)</f>
        <v>Orgânico</v>
      </c>
      <c r="F2061">
        <f>_xlfn.XLOOKUP(A2061, ORIGEM!A:A, ORIGEM!C:C)</f>
        <v>0</v>
      </c>
      <c r="G2061" t="str">
        <f>_xlfn.XLOOKUP(A2061, LOCAL!A:A, LOCAL!B:B)</f>
        <v>Rio do Sul - SC</v>
      </c>
      <c r="H2061" t="str">
        <f>_xlfn.XLOOKUP(A2061, PORTE!A:A, PORTE!B:B)</f>
        <v>1-10</v>
      </c>
      <c r="I2061" t="str">
        <f>_xlfn.XLOOKUP(A2061, OBJETIVO!A:A, OBJETIVO!B:B)</f>
        <v>Abertura/Expansão</v>
      </c>
      <c r="J2061">
        <f t="shared" si="32"/>
        <v>0</v>
      </c>
    </row>
    <row r="2062" spans="1:10" x14ac:dyDescent="0.25">
      <c r="A2062">
        <v>10624054</v>
      </c>
      <c r="B2062" s="1">
        <v>45632.755949074075</v>
      </c>
      <c r="C2062" t="s">
        <v>0</v>
      </c>
      <c r="D2062">
        <f>VLOOKUP(A2062,MERCADO!A:B,2,0)</f>
        <v>0</v>
      </c>
      <c r="E2062" t="str">
        <f>_xlfn.XLOOKUP(A2062, ORIGEM!A:A, ORIGEM!B:B)</f>
        <v>Orgânico</v>
      </c>
      <c r="F2062">
        <f>_xlfn.XLOOKUP(A2062, ORIGEM!A:A, ORIGEM!C:C)</f>
        <v>0</v>
      </c>
      <c r="G2062" t="str">
        <f>_xlfn.XLOOKUP(A2062, LOCAL!A:A, LOCAL!B:B)</f>
        <v>Barauna - RN</v>
      </c>
      <c r="H2062" t="str">
        <f>_xlfn.XLOOKUP(A2062, PORTE!A:A, PORTE!B:B)</f>
        <v>0</v>
      </c>
      <c r="I2062" t="str">
        <f>_xlfn.XLOOKUP(A2062, OBJETIVO!A:A, OBJETIVO!B:B)</f>
        <v>Outro</v>
      </c>
      <c r="J2062">
        <f t="shared" si="32"/>
        <v>0</v>
      </c>
    </row>
    <row r="2063" spans="1:10" x14ac:dyDescent="0.25">
      <c r="A2063">
        <v>10623631</v>
      </c>
      <c r="B2063" s="1">
        <v>45632.587175925924</v>
      </c>
      <c r="C2063" t="s">
        <v>0</v>
      </c>
      <c r="D2063">
        <f>VLOOKUP(A2063,MERCADO!A:B,2,0)</f>
        <v>0</v>
      </c>
      <c r="E2063" t="str">
        <f>_xlfn.XLOOKUP(A2063, ORIGEM!A:A, ORIGEM!B:B)</f>
        <v>Orgânico</v>
      </c>
      <c r="F2063">
        <f>_xlfn.XLOOKUP(A2063, ORIGEM!A:A, ORIGEM!C:C)</f>
        <v>0</v>
      </c>
      <c r="G2063" t="str">
        <f>_xlfn.XLOOKUP(A2063, LOCAL!A:A, LOCAL!B:B)</f>
        <v>Rio de Janeiro - RJ</v>
      </c>
      <c r="H2063" t="str">
        <f>_xlfn.XLOOKUP(A2063, PORTE!A:A, PORTE!B:B)</f>
        <v>0</v>
      </c>
      <c r="I2063" t="str">
        <f>_xlfn.XLOOKUP(A2063, OBJETIVO!A:A, OBJETIVO!B:B)</f>
        <v>Outro</v>
      </c>
      <c r="J2063">
        <f t="shared" si="32"/>
        <v>0</v>
      </c>
    </row>
    <row r="2064" spans="1:10" x14ac:dyDescent="0.25">
      <c r="A2064">
        <v>10621734</v>
      </c>
      <c r="B2064" s="1">
        <v>45631.559664351851</v>
      </c>
      <c r="C2064" t="s">
        <v>0</v>
      </c>
      <c r="D2064">
        <f>VLOOKUP(A2064,MERCADO!A:B,2,0)</f>
        <v>0</v>
      </c>
      <c r="E2064" t="str">
        <f>_xlfn.XLOOKUP(A2064, ORIGEM!A:A, ORIGEM!B:B)</f>
        <v>Orgânico</v>
      </c>
      <c r="F2064">
        <f>_xlfn.XLOOKUP(A2064, ORIGEM!A:A, ORIGEM!C:C)</f>
        <v>0</v>
      </c>
      <c r="G2064" t="str">
        <f>_xlfn.XLOOKUP(A2064, LOCAL!A:A, LOCAL!B:B)</f>
        <v>Tamboré - SP</v>
      </c>
      <c r="H2064" t="str">
        <f>_xlfn.XLOOKUP(A2064, PORTE!A:A, PORTE!B:B)</f>
        <v>0</v>
      </c>
      <c r="I2064" t="str">
        <f>_xlfn.XLOOKUP(A2064, OBJETIVO!A:A, OBJETIVO!B:B)</f>
        <v>Outro</v>
      </c>
      <c r="J2064">
        <f t="shared" si="32"/>
        <v>0</v>
      </c>
    </row>
    <row r="2065" spans="1:10" x14ac:dyDescent="0.25">
      <c r="A2065">
        <v>10621890</v>
      </c>
      <c r="B2065" s="1">
        <v>45631.626886574071</v>
      </c>
      <c r="C2065" t="s">
        <v>0</v>
      </c>
      <c r="D2065">
        <f>VLOOKUP(A2065,MERCADO!A:B,2,0)</f>
        <v>0</v>
      </c>
      <c r="E2065" t="str">
        <f>_xlfn.XLOOKUP(A2065, ORIGEM!A:A, ORIGEM!B:B)</f>
        <v>Orgânico</v>
      </c>
      <c r="F2065">
        <f>_xlfn.XLOOKUP(A2065, ORIGEM!A:A, ORIGEM!C:C)</f>
        <v>0</v>
      </c>
      <c r="G2065" t="str">
        <f>_xlfn.XLOOKUP(A2065, LOCAL!A:A, LOCAL!B:B)</f>
        <v>Campo Grande - MS</v>
      </c>
      <c r="H2065" t="str">
        <f>_xlfn.XLOOKUP(A2065, PORTE!A:A, PORTE!B:B)</f>
        <v>1-10</v>
      </c>
      <c r="I2065" t="str">
        <f>_xlfn.XLOOKUP(A2065, OBJETIVO!A:A, OBJETIVO!B:B)</f>
        <v>Abertura/Expansão</v>
      </c>
      <c r="J2065">
        <f t="shared" si="32"/>
        <v>0</v>
      </c>
    </row>
    <row r="2066" spans="1:10" x14ac:dyDescent="0.25">
      <c r="A2066">
        <v>10621914</v>
      </c>
      <c r="B2066" s="1">
        <v>45631.635972222219</v>
      </c>
      <c r="C2066" t="s">
        <v>0</v>
      </c>
      <c r="D2066">
        <f>VLOOKUP(A2066,MERCADO!A:B,2,0)</f>
        <v>0</v>
      </c>
      <c r="E2066" t="str">
        <f>_xlfn.XLOOKUP(A2066, ORIGEM!A:A, ORIGEM!B:B)</f>
        <v>Orgânico</v>
      </c>
      <c r="F2066">
        <f>_xlfn.XLOOKUP(A2066, ORIGEM!A:A, ORIGEM!C:C)</f>
        <v>0</v>
      </c>
      <c r="G2066" t="str">
        <f>_xlfn.XLOOKUP(A2066, LOCAL!A:A, LOCAL!B:B)</f>
        <v>Manaus - AM</v>
      </c>
      <c r="H2066" t="str">
        <f>_xlfn.XLOOKUP(A2066, PORTE!A:A, PORTE!B:B)</f>
        <v>1-10</v>
      </c>
      <c r="I2066" t="str">
        <f>_xlfn.XLOOKUP(A2066, OBJETIVO!A:A, OBJETIVO!B:B)</f>
        <v>Abertura/Expansão</v>
      </c>
      <c r="J2066">
        <f t="shared" si="32"/>
        <v>0</v>
      </c>
    </row>
    <row r="2067" spans="1:10" x14ac:dyDescent="0.25">
      <c r="A2067">
        <v>10622159</v>
      </c>
      <c r="B2067" s="1">
        <v>45631.745185185187</v>
      </c>
      <c r="C2067" t="s">
        <v>0</v>
      </c>
      <c r="D2067">
        <f>VLOOKUP(A2067,MERCADO!A:B,2,0)</f>
        <v>0</v>
      </c>
      <c r="E2067" t="str">
        <f>_xlfn.XLOOKUP(A2067, ORIGEM!A:A, ORIGEM!B:B)</f>
        <v>Orgânico</v>
      </c>
      <c r="F2067">
        <f>_xlfn.XLOOKUP(A2067, ORIGEM!A:A, ORIGEM!C:C)</f>
        <v>0</v>
      </c>
      <c r="G2067" t="str">
        <f>_xlfn.XLOOKUP(A2067, LOCAL!A:A, LOCAL!B:B)</f>
        <v>Araçatuba - SP</v>
      </c>
      <c r="H2067" t="str">
        <f>_xlfn.XLOOKUP(A2067, PORTE!A:A, PORTE!B:B)</f>
        <v>0</v>
      </c>
      <c r="I2067" t="str">
        <f>_xlfn.XLOOKUP(A2067, OBJETIVO!A:A, OBJETIVO!B:B)</f>
        <v>Outro</v>
      </c>
      <c r="J2067">
        <f t="shared" si="32"/>
        <v>0</v>
      </c>
    </row>
    <row r="2068" spans="1:10" x14ac:dyDescent="0.25">
      <c r="A2068">
        <v>10622261</v>
      </c>
      <c r="B2068" s="1">
        <v>45631.797592592593</v>
      </c>
      <c r="C2068" t="s">
        <v>0</v>
      </c>
      <c r="D2068">
        <f>VLOOKUP(A2068,MERCADO!A:B,2,0)</f>
        <v>0</v>
      </c>
      <c r="E2068" t="str">
        <f>_xlfn.XLOOKUP(A2068, ORIGEM!A:A, ORIGEM!B:B)</f>
        <v>Orgânico</v>
      </c>
      <c r="F2068">
        <f>_xlfn.XLOOKUP(A2068, ORIGEM!A:A, ORIGEM!C:C)</f>
        <v>0</v>
      </c>
      <c r="G2068" t="str">
        <f>_xlfn.XLOOKUP(A2068, LOCAL!A:A, LOCAL!B:B)</f>
        <v>Uberlândia - MG</v>
      </c>
      <c r="H2068" t="str">
        <f>_xlfn.XLOOKUP(A2068, PORTE!A:A, PORTE!B:B)</f>
        <v>0</v>
      </c>
      <c r="I2068" t="str">
        <f>_xlfn.XLOOKUP(A2068, OBJETIVO!A:A, OBJETIVO!B:B)</f>
        <v>Outro</v>
      </c>
      <c r="J2068">
        <f t="shared" si="32"/>
        <v>0</v>
      </c>
    </row>
    <row r="2069" spans="1:10" x14ac:dyDescent="0.25">
      <c r="A2069">
        <v>10622429</v>
      </c>
      <c r="B2069" s="1">
        <v>45631.875833333332</v>
      </c>
      <c r="C2069" t="s">
        <v>0</v>
      </c>
      <c r="D2069">
        <f>VLOOKUP(A2069,MERCADO!A:B,2,0)</f>
        <v>0</v>
      </c>
      <c r="E2069" t="str">
        <f>_xlfn.XLOOKUP(A2069, ORIGEM!A:A, ORIGEM!B:B)</f>
        <v>Orgânico</v>
      </c>
      <c r="F2069">
        <f>_xlfn.XLOOKUP(A2069, ORIGEM!A:A, ORIGEM!C:C)</f>
        <v>0</v>
      </c>
      <c r="G2069" t="str">
        <f>_xlfn.XLOOKUP(A2069, LOCAL!A:A, LOCAL!B:B)</f>
        <v>São Paulo - SP</v>
      </c>
      <c r="H2069" t="str">
        <f>_xlfn.XLOOKUP(A2069, PORTE!A:A, PORTE!B:B)</f>
        <v>1-10</v>
      </c>
      <c r="I2069" t="str">
        <f>_xlfn.XLOOKUP(A2069, OBJETIVO!A:A, OBJETIVO!B:B)</f>
        <v>Ações de marketing/vendas</v>
      </c>
      <c r="J2069">
        <f t="shared" si="32"/>
        <v>0</v>
      </c>
    </row>
    <row r="2070" spans="1:10" x14ac:dyDescent="0.25">
      <c r="A2070">
        <v>10623517</v>
      </c>
      <c r="B2070" s="1">
        <v>45632.564895833333</v>
      </c>
      <c r="C2070" t="s">
        <v>0</v>
      </c>
      <c r="D2070">
        <f>VLOOKUP(A2070,MERCADO!A:B,2,0)</f>
        <v>0</v>
      </c>
      <c r="E2070" t="str">
        <f>_xlfn.XLOOKUP(A2070, ORIGEM!A:A, ORIGEM!B:B)</f>
        <v>Orgânico</v>
      </c>
      <c r="F2070">
        <f>_xlfn.XLOOKUP(A2070, ORIGEM!A:A, ORIGEM!C:C)</f>
        <v>0</v>
      </c>
      <c r="G2070" t="str">
        <f>_xlfn.XLOOKUP(A2070, LOCAL!A:A, LOCAL!B:B)</f>
        <v>Jales - SP</v>
      </c>
      <c r="H2070" t="str">
        <f>_xlfn.XLOOKUP(A2070, PORTE!A:A, PORTE!B:B)</f>
        <v>0</v>
      </c>
      <c r="I2070" t="str">
        <f>_xlfn.XLOOKUP(A2070, OBJETIVO!A:A, OBJETIVO!B:B)</f>
        <v>Outro</v>
      </c>
      <c r="J2070">
        <f t="shared" si="32"/>
        <v>0</v>
      </c>
    </row>
    <row r="2071" spans="1:10" x14ac:dyDescent="0.25">
      <c r="A2071">
        <v>10614204</v>
      </c>
      <c r="B2071" s="1">
        <v>45630.454664351855</v>
      </c>
      <c r="C2071" t="s">
        <v>0</v>
      </c>
      <c r="D2071">
        <f>VLOOKUP(A2071,MERCADO!A:B,2,0)</f>
        <v>0</v>
      </c>
      <c r="E2071" t="str">
        <f>_xlfn.XLOOKUP(A2071, ORIGEM!A:A, ORIGEM!B:B)</f>
        <v>Orgânico</v>
      </c>
      <c r="F2071">
        <f>_xlfn.XLOOKUP(A2071, ORIGEM!A:A, ORIGEM!C:C)</f>
        <v>0</v>
      </c>
      <c r="G2071" t="str">
        <f>_xlfn.XLOOKUP(A2071, LOCAL!A:A, LOCAL!B:B)</f>
        <v>Porto Alegre - RS</v>
      </c>
      <c r="H2071" t="str">
        <f>_xlfn.XLOOKUP(A2071, PORTE!A:A, PORTE!B:B)</f>
        <v>51-300</v>
      </c>
      <c r="I2071" t="str">
        <f>_xlfn.XLOOKUP(A2071, OBJETIVO!A:A, OBJETIVO!B:B)</f>
        <v>Planejamento estratégico</v>
      </c>
      <c r="J2071">
        <f t="shared" si="32"/>
        <v>0</v>
      </c>
    </row>
    <row r="2072" spans="1:10" x14ac:dyDescent="0.25">
      <c r="A2072">
        <v>10597756</v>
      </c>
      <c r="B2072" s="1">
        <v>45629.431562500002</v>
      </c>
      <c r="C2072" t="s">
        <v>0</v>
      </c>
      <c r="D2072">
        <f>VLOOKUP(A2072,MERCADO!A:B,2,0)</f>
        <v>0</v>
      </c>
      <c r="E2072" t="str">
        <f>_xlfn.XLOOKUP(A2072, ORIGEM!A:A, ORIGEM!B:B)</f>
        <v>Orgânico</v>
      </c>
      <c r="F2072">
        <f>_xlfn.XLOOKUP(A2072, ORIGEM!A:A, ORIGEM!C:C)</f>
        <v>0</v>
      </c>
      <c r="G2072" t="str">
        <f>_xlfn.XLOOKUP(A2072, LOCAL!A:A, LOCAL!B:B)</f>
        <v>Alfenas - MG</v>
      </c>
      <c r="H2072" t="str">
        <f>_xlfn.XLOOKUP(A2072, PORTE!A:A, PORTE!B:B)</f>
        <v>1-10</v>
      </c>
      <c r="I2072" t="str">
        <f>_xlfn.XLOOKUP(A2072, OBJETIVO!A:A, OBJETIVO!B:B)</f>
        <v>Ações de marketing/vendas</v>
      </c>
      <c r="J2072">
        <f t="shared" si="32"/>
        <v>0</v>
      </c>
    </row>
    <row r="2073" spans="1:10" x14ac:dyDescent="0.25">
      <c r="A2073">
        <v>10733484</v>
      </c>
      <c r="B2073" s="1">
        <v>45641.687349537038</v>
      </c>
      <c r="C2073" t="s">
        <v>0</v>
      </c>
      <c r="D2073">
        <f>VLOOKUP(A2073,MERCADO!A:B,2,0)</f>
        <v>0</v>
      </c>
      <c r="E2073" t="str">
        <f>_xlfn.XLOOKUP(A2073, ORIGEM!A:A, ORIGEM!B:B)</f>
        <v>Orgânico</v>
      </c>
      <c r="F2073">
        <f>_xlfn.XLOOKUP(A2073, ORIGEM!A:A, ORIGEM!C:C)</f>
        <v>0</v>
      </c>
      <c r="G2073" t="str">
        <f>_xlfn.XLOOKUP(A2073, LOCAL!A:A, LOCAL!B:B)</f>
        <v>Manaus - AM</v>
      </c>
      <c r="H2073" t="str">
        <f>_xlfn.XLOOKUP(A2073, PORTE!A:A, PORTE!B:B)</f>
        <v>0</v>
      </c>
      <c r="I2073" t="str">
        <f>_xlfn.XLOOKUP(A2073, OBJETIVO!A:A, OBJETIVO!B:B)</f>
        <v>Outro</v>
      </c>
      <c r="J2073">
        <f t="shared" si="32"/>
        <v>0</v>
      </c>
    </row>
    <row r="2074" spans="1:10" x14ac:dyDescent="0.25">
      <c r="A2074">
        <v>10737628</v>
      </c>
      <c r="B2074" s="1">
        <v>45641.979317129626</v>
      </c>
      <c r="C2074" t="s">
        <v>0</v>
      </c>
      <c r="D2074">
        <f>VLOOKUP(A2074,MERCADO!A:B,2,0)</f>
        <v>0</v>
      </c>
      <c r="E2074" t="str">
        <f>_xlfn.XLOOKUP(A2074, ORIGEM!A:A, ORIGEM!B:B)</f>
        <v>Orgânico</v>
      </c>
      <c r="F2074">
        <f>_xlfn.XLOOKUP(A2074, ORIGEM!A:A, ORIGEM!C:C)</f>
        <v>0</v>
      </c>
      <c r="G2074" t="str">
        <f>_xlfn.XLOOKUP(A2074, LOCAL!A:A, LOCAL!B:B)</f>
        <v>Sao Francisco - MG</v>
      </c>
      <c r="H2074" t="str">
        <f>_xlfn.XLOOKUP(A2074, PORTE!A:A, PORTE!B:B)</f>
        <v>0</v>
      </c>
      <c r="I2074" t="str">
        <f>_xlfn.XLOOKUP(A2074, OBJETIVO!A:A, OBJETIVO!B:B)</f>
        <v>Outro</v>
      </c>
      <c r="J2074">
        <f t="shared" si="32"/>
        <v>0</v>
      </c>
    </row>
    <row r="2075" spans="1:10" x14ac:dyDescent="0.25">
      <c r="A2075">
        <v>10727456</v>
      </c>
      <c r="B2075" s="1">
        <v>45641.462407407409</v>
      </c>
      <c r="C2075" t="s">
        <v>0</v>
      </c>
      <c r="D2075">
        <f>VLOOKUP(A2075,MERCADO!A:B,2,0)</f>
        <v>0</v>
      </c>
      <c r="E2075" t="str">
        <f>_xlfn.XLOOKUP(A2075, ORIGEM!A:A, ORIGEM!B:B)</f>
        <v>Orgânico</v>
      </c>
      <c r="F2075">
        <f>_xlfn.XLOOKUP(A2075, ORIGEM!A:A, ORIGEM!C:C)</f>
        <v>0</v>
      </c>
      <c r="G2075" t="str">
        <f>_xlfn.XLOOKUP(A2075, LOCAL!A:A, LOCAL!B:B)</f>
        <v>São Paulo - SP</v>
      </c>
      <c r="H2075" t="str">
        <f>_xlfn.XLOOKUP(A2075, PORTE!A:A, PORTE!B:B)</f>
        <v>0</v>
      </c>
      <c r="I2075" t="str">
        <f>_xlfn.XLOOKUP(A2075, OBJETIVO!A:A, OBJETIVO!B:B)</f>
        <v>Planejamento estratégico</v>
      </c>
      <c r="J2075">
        <f t="shared" si="32"/>
        <v>0</v>
      </c>
    </row>
    <row r="2076" spans="1:10" x14ac:dyDescent="0.25">
      <c r="A2076">
        <v>10781389</v>
      </c>
      <c r="B2076" s="1">
        <v>45646.355706018519</v>
      </c>
      <c r="C2076" t="s">
        <v>0</v>
      </c>
      <c r="D2076">
        <f>VLOOKUP(A2076,MERCADO!A:B,2,0)</f>
        <v>0</v>
      </c>
      <c r="E2076" t="str">
        <f>_xlfn.XLOOKUP(A2076, ORIGEM!A:A, ORIGEM!B:B)</f>
        <v>Orgânico</v>
      </c>
      <c r="F2076">
        <f>_xlfn.XLOOKUP(A2076, ORIGEM!A:A, ORIGEM!C:C)</f>
        <v>0</v>
      </c>
      <c r="G2076" t="str">
        <f>_xlfn.XLOOKUP(A2076, LOCAL!A:A, LOCAL!B:B)</f>
        <v>Picarra - PA</v>
      </c>
      <c r="H2076" t="str">
        <f>_xlfn.XLOOKUP(A2076, PORTE!A:A, PORTE!B:B)</f>
        <v>0</v>
      </c>
      <c r="I2076" t="str">
        <f>_xlfn.XLOOKUP(A2076, OBJETIVO!A:A, OBJETIVO!B:B)</f>
        <v>Planejamento estratégico</v>
      </c>
      <c r="J2076">
        <f t="shared" si="32"/>
        <v>0</v>
      </c>
    </row>
    <row r="2077" spans="1:10" x14ac:dyDescent="0.25">
      <c r="A2077">
        <v>10780737</v>
      </c>
      <c r="B2077" s="1">
        <v>45645.792002314818</v>
      </c>
      <c r="C2077" t="s">
        <v>0</v>
      </c>
      <c r="D2077">
        <f>VLOOKUP(A2077,MERCADO!A:B,2,0)</f>
        <v>0</v>
      </c>
      <c r="E2077" t="str">
        <f>_xlfn.XLOOKUP(A2077, ORIGEM!A:A, ORIGEM!B:B)</f>
        <v>Orgânico</v>
      </c>
      <c r="F2077">
        <f>_xlfn.XLOOKUP(A2077, ORIGEM!A:A, ORIGEM!C:C)</f>
        <v>0</v>
      </c>
      <c r="G2077" t="str">
        <f>_xlfn.XLOOKUP(A2077, LOCAL!A:A, LOCAL!B:B)</f>
        <v>Tijucas - SC</v>
      </c>
      <c r="H2077" t="str">
        <f>_xlfn.XLOOKUP(A2077, PORTE!A:A, PORTE!B:B)</f>
        <v>0</v>
      </c>
      <c r="I2077" t="str">
        <f>_xlfn.XLOOKUP(A2077, OBJETIVO!A:A, OBJETIVO!B:B)</f>
        <v>Outro</v>
      </c>
      <c r="J2077">
        <f t="shared" si="32"/>
        <v>0</v>
      </c>
    </row>
    <row r="2078" spans="1:10" x14ac:dyDescent="0.25">
      <c r="A2078">
        <v>10804235</v>
      </c>
      <c r="B2078" s="1">
        <v>45648.952986111108</v>
      </c>
      <c r="C2078" t="s">
        <v>0</v>
      </c>
      <c r="D2078">
        <f>VLOOKUP(A2078,MERCADO!A:B,2,0)</f>
        <v>0</v>
      </c>
      <c r="E2078" t="str">
        <f>_xlfn.XLOOKUP(A2078, ORIGEM!A:A, ORIGEM!B:B)</f>
        <v>Orgânico</v>
      </c>
      <c r="F2078">
        <f>_xlfn.XLOOKUP(A2078, ORIGEM!A:A, ORIGEM!C:C)</f>
        <v>0</v>
      </c>
      <c r="G2078" t="str">
        <f>_xlfn.XLOOKUP(A2078, LOCAL!A:A, LOCAL!B:B)</f>
        <v>Ponta Porã - MS</v>
      </c>
      <c r="H2078" t="str">
        <f>_xlfn.XLOOKUP(A2078, PORTE!A:A, PORTE!B:B)</f>
        <v>0</v>
      </c>
      <c r="I2078" t="str">
        <f>_xlfn.XLOOKUP(A2078, OBJETIVO!A:A, OBJETIVO!B:B)</f>
        <v>Consultoria</v>
      </c>
      <c r="J2078">
        <f t="shared" si="32"/>
        <v>0</v>
      </c>
    </row>
    <row r="2079" spans="1:10" x14ac:dyDescent="0.25">
      <c r="A2079">
        <v>10808557</v>
      </c>
      <c r="B2079" s="1">
        <v>45649.548449074071</v>
      </c>
      <c r="C2079" t="s">
        <v>0</v>
      </c>
      <c r="D2079">
        <f>VLOOKUP(A2079,MERCADO!A:B,2,0)</f>
        <v>0</v>
      </c>
      <c r="E2079" t="str">
        <f>_xlfn.XLOOKUP(A2079, ORIGEM!A:A, ORIGEM!B:B)</f>
        <v>Orgânico</v>
      </c>
      <c r="F2079">
        <f>_xlfn.XLOOKUP(A2079, ORIGEM!A:A, ORIGEM!C:C)</f>
        <v>0</v>
      </c>
      <c r="G2079" t="str">
        <f>_xlfn.XLOOKUP(A2079, LOCAL!A:A, LOCAL!B:B)</f>
        <v>Recife - PE</v>
      </c>
      <c r="H2079" t="str">
        <f>_xlfn.XLOOKUP(A2079, PORTE!A:A, PORTE!B:B)</f>
        <v>1-10</v>
      </c>
      <c r="I2079" t="str">
        <f>_xlfn.XLOOKUP(A2079, OBJETIVO!A:A, OBJETIVO!B:B)</f>
        <v>Outro</v>
      </c>
      <c r="J2079">
        <f t="shared" si="32"/>
        <v>0</v>
      </c>
    </row>
    <row r="2080" spans="1:10" x14ac:dyDescent="0.25">
      <c r="A2080">
        <v>10595672</v>
      </c>
      <c r="B2080" s="1">
        <v>45629.012245370373</v>
      </c>
      <c r="C2080" t="s">
        <v>0</v>
      </c>
      <c r="D2080">
        <f>VLOOKUP(A2080,MERCADO!A:B,2,0)</f>
        <v>0</v>
      </c>
      <c r="E2080" t="str">
        <f>_xlfn.XLOOKUP(A2080, ORIGEM!A:A, ORIGEM!B:B)</f>
        <v>Bing</v>
      </c>
      <c r="F2080" t="str">
        <f>_xlfn.XLOOKUP(A2080, ORIGEM!A:A, ORIGEM!C:C)</f>
        <v>bing - cpc</v>
      </c>
      <c r="G2080" t="str">
        <f>_xlfn.XLOOKUP(A2080, LOCAL!A:A, LOCAL!B:B)</f>
        <v>Salvador - BA</v>
      </c>
      <c r="H2080" t="str">
        <f>_xlfn.XLOOKUP(A2080, PORTE!A:A, PORTE!B:B)</f>
        <v>0</v>
      </c>
      <c r="I2080" t="str">
        <f>_xlfn.XLOOKUP(A2080, OBJETIVO!A:A, OBJETIVO!B:B)</f>
        <v>Planejamento estratégico</v>
      </c>
      <c r="J2080">
        <f t="shared" si="32"/>
        <v>0</v>
      </c>
    </row>
    <row r="2081" spans="1:10" x14ac:dyDescent="0.25">
      <c r="A2081">
        <v>10892001</v>
      </c>
      <c r="B2081" s="1">
        <v>45663.691782407404</v>
      </c>
      <c r="C2081" t="s">
        <v>0</v>
      </c>
      <c r="D2081" t="str">
        <f>VLOOKUP(A2081,MERCADO!A:B,2,0)</f>
        <v>Marketing/Publicidade/Consultoria</v>
      </c>
      <c r="E2081" t="str">
        <f>_xlfn.XLOOKUP(A2081, ORIGEM!A:A, ORIGEM!B:B)</f>
        <v>Orgânico</v>
      </c>
      <c r="F2081">
        <f>_xlfn.XLOOKUP(A2081, ORIGEM!A:A, ORIGEM!C:C)</f>
        <v>0</v>
      </c>
      <c r="G2081" t="str">
        <f>_xlfn.XLOOKUP(A2081, LOCAL!A:A, LOCAL!B:B)</f>
        <v>-</v>
      </c>
      <c r="H2081">
        <f>_xlfn.XLOOKUP(A2081, PORTE!A:A, PORTE!B:B)</f>
        <v>0</v>
      </c>
      <c r="I2081">
        <f>_xlfn.XLOOKUP(A2081, OBJETIVO!A:A, OBJETIVO!B:B)</f>
        <v>0</v>
      </c>
      <c r="J2081">
        <f t="shared" si="32"/>
        <v>0</v>
      </c>
    </row>
    <row r="2082" spans="1:10" x14ac:dyDescent="0.25">
      <c r="A2082">
        <v>10665770</v>
      </c>
      <c r="B2082" s="1">
        <v>45635.511331018519</v>
      </c>
      <c r="C2082" t="s">
        <v>0</v>
      </c>
      <c r="D2082" t="str">
        <f>VLOOKUP(A2082,MERCADO!A:B,2,0)</f>
        <v>Marketing/Publicidade/Consultoria</v>
      </c>
      <c r="E2082" t="str">
        <f>_xlfn.XLOOKUP(A2082, ORIGEM!A:A, ORIGEM!B:B)</f>
        <v>Orgânico</v>
      </c>
      <c r="F2082">
        <f>_xlfn.XLOOKUP(A2082, ORIGEM!A:A, ORIGEM!C:C)</f>
        <v>0</v>
      </c>
      <c r="G2082" t="str">
        <f>_xlfn.XLOOKUP(A2082, LOCAL!A:A, LOCAL!B:B)</f>
        <v>-</v>
      </c>
      <c r="H2082" t="str">
        <f>_xlfn.XLOOKUP(A2082, PORTE!A:A, PORTE!B:B)</f>
        <v>1-10</v>
      </c>
      <c r="I2082" t="str">
        <f>_xlfn.XLOOKUP(A2082, OBJETIVO!A:A, OBJETIVO!B:B)</f>
        <v>Planejamento estratégico</v>
      </c>
      <c r="J2082">
        <f t="shared" si="32"/>
        <v>0</v>
      </c>
    </row>
    <row r="2083" spans="1:10" x14ac:dyDescent="0.25">
      <c r="A2083">
        <v>10620379</v>
      </c>
      <c r="B2083" s="1">
        <v>45630.908935185187</v>
      </c>
      <c r="C2083" t="s">
        <v>0</v>
      </c>
      <c r="D2083" t="str">
        <f>VLOOKUP(A2083,MERCADO!A:B,2,0)</f>
        <v>Varejo</v>
      </c>
      <c r="E2083" t="str">
        <f>_xlfn.XLOOKUP(A2083, ORIGEM!A:A, ORIGEM!B:B)</f>
        <v>Orgânico</v>
      </c>
      <c r="F2083">
        <f>_xlfn.XLOOKUP(A2083, ORIGEM!A:A, ORIGEM!C:C)</f>
        <v>0</v>
      </c>
      <c r="G2083" t="str">
        <f>_xlfn.XLOOKUP(A2083, LOCAL!A:A, LOCAL!B:B)</f>
        <v>Lagoa Santa - MG</v>
      </c>
      <c r="H2083" t="str">
        <f>_xlfn.XLOOKUP(A2083, PORTE!A:A, PORTE!B:B)</f>
        <v>1-10</v>
      </c>
      <c r="I2083" t="str">
        <f>_xlfn.XLOOKUP(A2083, OBJETIVO!A:A, OBJETIVO!B:B)</f>
        <v>Ações de marketing/vendas</v>
      </c>
      <c r="J2083">
        <f t="shared" si="32"/>
        <v>0</v>
      </c>
    </row>
    <row r="2084" spans="1:10" x14ac:dyDescent="0.25">
      <c r="A2084">
        <v>11422465</v>
      </c>
      <c r="B2084" s="1">
        <v>45710.662766203706</v>
      </c>
      <c r="C2084" t="s">
        <v>0</v>
      </c>
      <c r="D2084" t="str">
        <f>VLOOKUP(A2084,MERCADO!A:B,2,0)</f>
        <v>Varejo</v>
      </c>
      <c r="E2084" t="str">
        <f>_xlfn.XLOOKUP(A2084, ORIGEM!A:A, ORIGEM!B:B)</f>
        <v>Google</v>
      </c>
      <c r="F2084" t="str">
        <f>_xlfn.XLOOKUP(A2084, ORIGEM!A:A, ORIGEM!C:C)</f>
        <v>google - cpc</v>
      </c>
      <c r="G2084" t="str">
        <f>_xlfn.XLOOKUP(A2084, LOCAL!A:A, LOCAL!B:B)</f>
        <v>Brasília - DF</v>
      </c>
      <c r="H2084" t="str">
        <f>_xlfn.XLOOKUP(A2084, PORTE!A:A, PORTE!B:B)</f>
        <v>0</v>
      </c>
      <c r="I2084" t="str">
        <f>_xlfn.XLOOKUP(A2084, OBJETIVO!A:A, OBJETIVO!B:B)</f>
        <v>Abertura/Expansão</v>
      </c>
      <c r="J2084">
        <f t="shared" si="32"/>
        <v>0</v>
      </c>
    </row>
    <row r="2085" spans="1:10" x14ac:dyDescent="0.25">
      <c r="A2085">
        <v>10643397</v>
      </c>
      <c r="B2085" s="1">
        <v>45633.807638888888</v>
      </c>
      <c r="C2085" t="s">
        <v>0</v>
      </c>
      <c r="D2085">
        <f>VLOOKUP(A2085,MERCADO!A:B,2,0)</f>
        <v>0</v>
      </c>
      <c r="E2085" t="str">
        <f>_xlfn.XLOOKUP(A2085, ORIGEM!A:A, ORIGEM!B:B)</f>
        <v>Google</v>
      </c>
      <c r="F2085" t="str">
        <f>_xlfn.XLOOKUP(A2085, ORIGEM!A:A, ORIGEM!C:C)</f>
        <v>google - cpc</v>
      </c>
      <c r="G2085" t="str">
        <f>_xlfn.XLOOKUP(A2085, LOCAL!A:A, LOCAL!B:B)</f>
        <v>Rio de Janeiro - RJ</v>
      </c>
      <c r="H2085" t="str">
        <f>_xlfn.XLOOKUP(A2085, PORTE!A:A, PORTE!B:B)</f>
        <v>11-50</v>
      </c>
      <c r="I2085" t="str">
        <f>_xlfn.XLOOKUP(A2085, OBJETIVO!A:A, OBJETIVO!B:B)</f>
        <v>Consultoria</v>
      </c>
      <c r="J2085">
        <f t="shared" si="32"/>
        <v>0</v>
      </c>
    </row>
    <row r="2086" spans="1:10" x14ac:dyDescent="0.25">
      <c r="A2086">
        <v>10644875</v>
      </c>
      <c r="B2086" s="1">
        <v>45633.926377314812</v>
      </c>
      <c r="C2086" t="s">
        <v>0</v>
      </c>
      <c r="D2086">
        <f>VLOOKUP(A2086,MERCADO!A:B,2,0)</f>
        <v>0</v>
      </c>
      <c r="E2086" t="str">
        <f>_xlfn.XLOOKUP(A2086, ORIGEM!A:A, ORIGEM!B:B)</f>
        <v>Google</v>
      </c>
      <c r="F2086" t="str">
        <f>_xlfn.XLOOKUP(A2086, ORIGEM!A:A, ORIGEM!C:C)</f>
        <v>google - cpc</v>
      </c>
      <c r="G2086" t="str">
        <f>_xlfn.XLOOKUP(A2086, LOCAL!A:A, LOCAL!B:B)</f>
        <v>Salvador - BA</v>
      </c>
      <c r="H2086" t="str">
        <f>_xlfn.XLOOKUP(A2086, PORTE!A:A, PORTE!B:B)</f>
        <v>0</v>
      </c>
      <c r="I2086" t="str">
        <f>_xlfn.XLOOKUP(A2086, OBJETIVO!A:A, OBJETIVO!B:B)</f>
        <v>Consultoria</v>
      </c>
      <c r="J2086">
        <f t="shared" si="32"/>
        <v>0</v>
      </c>
    </row>
    <row r="2087" spans="1:10" x14ac:dyDescent="0.25">
      <c r="A2087">
        <v>10650572</v>
      </c>
      <c r="B2087" s="1">
        <v>45634.583564814813</v>
      </c>
      <c r="C2087" t="s">
        <v>0</v>
      </c>
      <c r="D2087">
        <f>VLOOKUP(A2087,MERCADO!A:B,2,0)</f>
        <v>0</v>
      </c>
      <c r="E2087" t="str">
        <f>_xlfn.XLOOKUP(A2087, ORIGEM!A:A, ORIGEM!B:B)</f>
        <v>Google</v>
      </c>
      <c r="F2087" t="str">
        <f>_xlfn.XLOOKUP(A2087, ORIGEM!A:A, ORIGEM!C:C)</f>
        <v>google - cpc</v>
      </c>
      <c r="G2087" t="str">
        <f>_xlfn.XLOOKUP(A2087, LOCAL!A:A, LOCAL!B:B)</f>
        <v>Quadra - SP</v>
      </c>
      <c r="H2087" t="str">
        <f>_xlfn.XLOOKUP(A2087, PORTE!A:A, PORTE!B:B)</f>
        <v>11-50</v>
      </c>
      <c r="I2087" t="str">
        <f>_xlfn.XLOOKUP(A2087, OBJETIVO!A:A, OBJETIVO!B:B)</f>
        <v>Abertura/Expansão</v>
      </c>
      <c r="J2087">
        <f t="shared" si="32"/>
        <v>0</v>
      </c>
    </row>
    <row r="2088" spans="1:10" x14ac:dyDescent="0.25">
      <c r="A2088">
        <v>10665511</v>
      </c>
      <c r="B2088" s="1">
        <v>45635.490428240744</v>
      </c>
      <c r="C2088" t="s">
        <v>0</v>
      </c>
      <c r="D2088">
        <f>VLOOKUP(A2088,MERCADO!A:B,2,0)</f>
        <v>0</v>
      </c>
      <c r="E2088" t="str">
        <f>_xlfn.XLOOKUP(A2088, ORIGEM!A:A, ORIGEM!B:B)</f>
        <v>Google</v>
      </c>
      <c r="F2088" t="str">
        <f>_xlfn.XLOOKUP(A2088, ORIGEM!A:A, ORIGEM!C:C)</f>
        <v>google - cpc</v>
      </c>
      <c r="G2088" t="str">
        <f>_xlfn.XLOOKUP(A2088, LOCAL!A:A, LOCAL!B:B)</f>
        <v>São Paulo - SP</v>
      </c>
      <c r="H2088" t="str">
        <f>_xlfn.XLOOKUP(A2088, PORTE!A:A, PORTE!B:B)</f>
        <v>0</v>
      </c>
      <c r="I2088" t="str">
        <f>_xlfn.XLOOKUP(A2088, OBJETIVO!A:A, OBJETIVO!B:B)</f>
        <v>Abertura/Expansão</v>
      </c>
      <c r="J2088">
        <f t="shared" si="32"/>
        <v>0</v>
      </c>
    </row>
    <row r="2089" spans="1:10" x14ac:dyDescent="0.25">
      <c r="A2089">
        <v>10639663</v>
      </c>
      <c r="B2089" s="1">
        <v>45633.715462962966</v>
      </c>
      <c r="C2089" t="s">
        <v>0</v>
      </c>
      <c r="D2089">
        <f>VLOOKUP(A2089,MERCADO!A:B,2,0)</f>
        <v>0</v>
      </c>
      <c r="E2089" t="str">
        <f>_xlfn.XLOOKUP(A2089, ORIGEM!A:A, ORIGEM!B:B)</f>
        <v>Google</v>
      </c>
      <c r="F2089" t="str">
        <f>_xlfn.XLOOKUP(A2089, ORIGEM!A:A, ORIGEM!C:C)</f>
        <v>google - cpc</v>
      </c>
      <c r="G2089" t="str">
        <f>_xlfn.XLOOKUP(A2089, LOCAL!A:A, LOCAL!B:B)</f>
        <v>Itaperuna - RJ</v>
      </c>
      <c r="H2089" t="str">
        <f>_xlfn.XLOOKUP(A2089, PORTE!A:A, PORTE!B:B)</f>
        <v>1-10</v>
      </c>
      <c r="I2089" t="str">
        <f>_xlfn.XLOOKUP(A2089, OBJETIVO!A:A, OBJETIVO!B:B)</f>
        <v>Geração de leads b2b</v>
      </c>
      <c r="J2089">
        <f t="shared" si="32"/>
        <v>0</v>
      </c>
    </row>
    <row r="2090" spans="1:10" x14ac:dyDescent="0.25">
      <c r="A2090">
        <v>10627783</v>
      </c>
      <c r="B2090" s="1">
        <v>45633.423101851855</v>
      </c>
      <c r="C2090" t="s">
        <v>0</v>
      </c>
      <c r="D2090">
        <f>VLOOKUP(A2090,MERCADO!A:B,2,0)</f>
        <v>0</v>
      </c>
      <c r="E2090" t="str">
        <f>_xlfn.XLOOKUP(A2090, ORIGEM!A:A, ORIGEM!B:B)</f>
        <v>Google</v>
      </c>
      <c r="F2090" t="str">
        <f>_xlfn.XLOOKUP(A2090, ORIGEM!A:A, ORIGEM!C:C)</f>
        <v>google - cpc</v>
      </c>
      <c r="G2090" t="str">
        <f>_xlfn.XLOOKUP(A2090, LOCAL!A:A, LOCAL!B:B)</f>
        <v>Nova Iguaçu - RJ</v>
      </c>
      <c r="H2090" t="str">
        <f>_xlfn.XLOOKUP(A2090, PORTE!A:A, PORTE!B:B)</f>
        <v>51-300</v>
      </c>
      <c r="I2090" t="str">
        <f>_xlfn.XLOOKUP(A2090, OBJETIVO!A:A, OBJETIVO!B:B)</f>
        <v>Abertura/Expansão</v>
      </c>
      <c r="J2090">
        <f t="shared" si="32"/>
        <v>0</v>
      </c>
    </row>
    <row r="2091" spans="1:10" x14ac:dyDescent="0.25">
      <c r="A2091">
        <v>10620898</v>
      </c>
      <c r="B2091" s="1">
        <v>45631.326631944445</v>
      </c>
      <c r="C2091" t="s">
        <v>0</v>
      </c>
      <c r="D2091">
        <f>VLOOKUP(A2091,MERCADO!A:B,2,0)</f>
        <v>0</v>
      </c>
      <c r="E2091" t="str">
        <f>_xlfn.XLOOKUP(A2091, ORIGEM!A:A, ORIGEM!B:B)</f>
        <v>Google</v>
      </c>
      <c r="F2091" t="str">
        <f>_xlfn.XLOOKUP(A2091, ORIGEM!A:A, ORIGEM!C:C)</f>
        <v>google - cpc</v>
      </c>
      <c r="G2091" t="str">
        <f>_xlfn.XLOOKUP(A2091, LOCAL!A:A, LOCAL!B:B)</f>
        <v>Brasília - DF</v>
      </c>
      <c r="H2091" t="str">
        <f>_xlfn.XLOOKUP(A2091, PORTE!A:A, PORTE!B:B)</f>
        <v>1-10</v>
      </c>
      <c r="I2091" t="str">
        <f>_xlfn.XLOOKUP(A2091, OBJETIVO!A:A, OBJETIVO!B:B)</f>
        <v>Abertura/Expansão</v>
      </c>
      <c r="J2091">
        <f t="shared" si="32"/>
        <v>0</v>
      </c>
    </row>
    <row r="2092" spans="1:10" x14ac:dyDescent="0.25">
      <c r="A2092">
        <v>10608837</v>
      </c>
      <c r="B2092" s="1">
        <v>45629.758796296293</v>
      </c>
      <c r="C2092" t="s">
        <v>0</v>
      </c>
      <c r="D2092">
        <f>VLOOKUP(A2092,MERCADO!A:B,2,0)</f>
        <v>0</v>
      </c>
      <c r="E2092" t="str">
        <f>_xlfn.XLOOKUP(A2092, ORIGEM!A:A, ORIGEM!B:B)</f>
        <v>Google</v>
      </c>
      <c r="F2092" t="str">
        <f>_xlfn.XLOOKUP(A2092, ORIGEM!A:A, ORIGEM!C:C)</f>
        <v>google - cpc</v>
      </c>
      <c r="G2092" t="str">
        <f>_xlfn.XLOOKUP(A2092, LOCAL!A:A, LOCAL!B:B)</f>
        <v>São Lourenço - MG</v>
      </c>
      <c r="H2092" t="str">
        <f>_xlfn.XLOOKUP(A2092, PORTE!A:A, PORTE!B:B)</f>
        <v>1-10</v>
      </c>
      <c r="I2092" t="str">
        <f>_xlfn.XLOOKUP(A2092, OBJETIVO!A:A, OBJETIVO!B:B)</f>
        <v>Ações de marketing/vendas</v>
      </c>
      <c r="J2092">
        <f t="shared" si="32"/>
        <v>0</v>
      </c>
    </row>
    <row r="2093" spans="1:10" x14ac:dyDescent="0.25">
      <c r="A2093">
        <v>10601766</v>
      </c>
      <c r="B2093" s="1">
        <v>45629.532627314817</v>
      </c>
      <c r="C2093" t="s">
        <v>0</v>
      </c>
      <c r="D2093">
        <f>VLOOKUP(A2093,MERCADO!A:B,2,0)</f>
        <v>0</v>
      </c>
      <c r="E2093" t="str">
        <f>_xlfn.XLOOKUP(A2093, ORIGEM!A:A, ORIGEM!B:B)</f>
        <v>Google</v>
      </c>
      <c r="F2093" t="str">
        <f>_xlfn.XLOOKUP(A2093, ORIGEM!A:A, ORIGEM!C:C)</f>
        <v>google - cpc</v>
      </c>
      <c r="G2093" t="str">
        <f>_xlfn.XLOOKUP(A2093, LOCAL!A:A, LOCAL!B:B)</f>
        <v>São Paulo - SP</v>
      </c>
      <c r="H2093" t="str">
        <f>_xlfn.XLOOKUP(A2093, PORTE!A:A, PORTE!B:B)</f>
        <v>11-50</v>
      </c>
      <c r="I2093" t="str">
        <f>_xlfn.XLOOKUP(A2093, OBJETIVO!A:A, OBJETIVO!B:B)</f>
        <v>Outro</v>
      </c>
      <c r="J2093">
        <f t="shared" si="32"/>
        <v>0</v>
      </c>
    </row>
    <row r="2094" spans="1:10" x14ac:dyDescent="0.25">
      <c r="A2094">
        <v>10623136</v>
      </c>
      <c r="B2094" s="1">
        <v>45632.440347222226</v>
      </c>
      <c r="C2094" t="s">
        <v>0</v>
      </c>
      <c r="D2094">
        <f>VLOOKUP(A2094,MERCADO!A:B,2,0)</f>
        <v>0</v>
      </c>
      <c r="E2094" t="str">
        <f>_xlfn.XLOOKUP(A2094, ORIGEM!A:A, ORIGEM!B:B)</f>
        <v>Google</v>
      </c>
      <c r="F2094" t="str">
        <f>_xlfn.XLOOKUP(A2094, ORIGEM!A:A, ORIGEM!C:C)</f>
        <v>google - cpc</v>
      </c>
      <c r="G2094" t="str">
        <f>_xlfn.XLOOKUP(A2094, LOCAL!A:A, LOCAL!B:B)</f>
        <v>Uberlândia - MG</v>
      </c>
      <c r="H2094" t="str">
        <f>_xlfn.XLOOKUP(A2094, PORTE!A:A, PORTE!B:B)</f>
        <v>1-10</v>
      </c>
      <c r="I2094" t="str">
        <f>_xlfn.XLOOKUP(A2094, OBJETIVO!A:A, OBJETIVO!B:B)</f>
        <v>Abertura/Expansão</v>
      </c>
      <c r="J2094">
        <f t="shared" si="32"/>
        <v>0</v>
      </c>
    </row>
    <row r="2095" spans="1:10" x14ac:dyDescent="0.25">
      <c r="A2095">
        <v>10609417</v>
      </c>
      <c r="B2095" s="1">
        <v>45629.814791666664</v>
      </c>
      <c r="C2095" t="s">
        <v>0</v>
      </c>
      <c r="D2095">
        <f>VLOOKUP(A2095,MERCADO!A:B,2,0)</f>
        <v>0</v>
      </c>
      <c r="E2095" t="str">
        <f>_xlfn.XLOOKUP(A2095, ORIGEM!A:A, ORIGEM!B:B)</f>
        <v>Google</v>
      </c>
      <c r="F2095" t="str">
        <f>_xlfn.XLOOKUP(A2095, ORIGEM!A:A, ORIGEM!C:C)</f>
        <v>google - cpc</v>
      </c>
      <c r="G2095" t="str">
        <f>_xlfn.XLOOKUP(A2095, LOCAL!A:A, LOCAL!B:B)</f>
        <v>Fortaleza - CE</v>
      </c>
      <c r="H2095" t="str">
        <f>_xlfn.XLOOKUP(A2095, PORTE!A:A, PORTE!B:B)</f>
        <v>0</v>
      </c>
      <c r="I2095" t="str">
        <f>_xlfn.XLOOKUP(A2095, OBJETIVO!A:A, OBJETIVO!B:B)</f>
        <v>Abertura/Expansão</v>
      </c>
      <c r="J2095">
        <f t="shared" si="32"/>
        <v>0</v>
      </c>
    </row>
    <row r="2096" spans="1:10" x14ac:dyDescent="0.25">
      <c r="A2096">
        <v>10614259</v>
      </c>
      <c r="B2096" s="1">
        <v>45630.458553240744</v>
      </c>
      <c r="C2096" t="s">
        <v>0</v>
      </c>
      <c r="D2096">
        <f>VLOOKUP(A2096,MERCADO!A:B,2,0)</f>
        <v>0</v>
      </c>
      <c r="E2096" t="str">
        <f>_xlfn.XLOOKUP(A2096, ORIGEM!A:A, ORIGEM!B:B)</f>
        <v>Google</v>
      </c>
      <c r="F2096" t="str">
        <f>_xlfn.XLOOKUP(A2096, ORIGEM!A:A, ORIGEM!C:C)</f>
        <v>google - cpc</v>
      </c>
      <c r="G2096" t="str">
        <f>_xlfn.XLOOKUP(A2096, LOCAL!A:A, LOCAL!B:B)</f>
        <v>Rio de Janeiro - RJ</v>
      </c>
      <c r="H2096" t="str">
        <f>_xlfn.XLOOKUP(A2096, PORTE!A:A, PORTE!B:B)</f>
        <v>1-10</v>
      </c>
      <c r="I2096" t="str">
        <f>_xlfn.XLOOKUP(A2096, OBJETIVO!A:A, OBJETIVO!B:B)</f>
        <v>Abertura/Expansão</v>
      </c>
      <c r="J2096">
        <f t="shared" si="32"/>
        <v>0</v>
      </c>
    </row>
    <row r="2097" spans="1:10" x14ac:dyDescent="0.25">
      <c r="A2097">
        <v>10617978</v>
      </c>
      <c r="B2097" s="1">
        <v>45630.673298611109</v>
      </c>
      <c r="C2097" t="s">
        <v>0</v>
      </c>
      <c r="D2097">
        <f>VLOOKUP(A2097,MERCADO!A:B,2,0)</f>
        <v>0</v>
      </c>
      <c r="E2097" t="str">
        <f>_xlfn.XLOOKUP(A2097, ORIGEM!A:A, ORIGEM!B:B)</f>
        <v>Google</v>
      </c>
      <c r="F2097" t="str">
        <f>_xlfn.XLOOKUP(A2097, ORIGEM!A:A, ORIGEM!C:C)</f>
        <v>google - cpc</v>
      </c>
      <c r="G2097" t="str">
        <f>_xlfn.XLOOKUP(A2097, LOCAL!A:A, LOCAL!B:B)</f>
        <v>Bento Gonçalves - RS</v>
      </c>
      <c r="H2097" t="str">
        <f>_xlfn.XLOOKUP(A2097, PORTE!A:A, PORTE!B:B)</f>
        <v>0</v>
      </c>
      <c r="I2097" t="str">
        <f>_xlfn.XLOOKUP(A2097, OBJETIVO!A:A, OBJETIVO!B:B)</f>
        <v>Consultoria</v>
      </c>
      <c r="J2097">
        <f t="shared" si="32"/>
        <v>0</v>
      </c>
    </row>
    <row r="2098" spans="1:10" x14ac:dyDescent="0.25">
      <c r="A2098">
        <v>10565957</v>
      </c>
      <c r="B2098" s="1">
        <v>45627.037627314814</v>
      </c>
      <c r="C2098" t="s">
        <v>0</v>
      </c>
      <c r="D2098">
        <f>VLOOKUP(A2098,MERCADO!A:B,2,0)</f>
        <v>0</v>
      </c>
      <c r="E2098" t="str">
        <f>_xlfn.XLOOKUP(A2098, ORIGEM!A:A, ORIGEM!B:B)</f>
        <v>Google</v>
      </c>
      <c r="F2098" t="str">
        <f>_xlfn.XLOOKUP(A2098, ORIGEM!A:A, ORIGEM!C:C)</f>
        <v>google - cpc</v>
      </c>
      <c r="G2098" t="str">
        <f>_xlfn.XLOOKUP(A2098, LOCAL!A:A, LOCAL!B:B)</f>
        <v>Belém - PA</v>
      </c>
      <c r="H2098" t="str">
        <f>_xlfn.XLOOKUP(A2098, PORTE!A:A, PORTE!B:B)</f>
        <v>0</v>
      </c>
      <c r="I2098" t="str">
        <f>_xlfn.XLOOKUP(A2098, OBJETIVO!A:A, OBJETIVO!B:B)</f>
        <v>Consultoria</v>
      </c>
      <c r="J2098">
        <f t="shared" si="32"/>
        <v>0</v>
      </c>
    </row>
    <row r="2099" spans="1:10" x14ac:dyDescent="0.25">
      <c r="A2099">
        <v>10566399</v>
      </c>
      <c r="B2099" s="1">
        <v>45627.340949074074</v>
      </c>
      <c r="C2099" t="s">
        <v>0</v>
      </c>
      <c r="D2099">
        <f>VLOOKUP(A2099,MERCADO!A:B,2,0)</f>
        <v>0</v>
      </c>
      <c r="E2099" t="str">
        <f>_xlfn.XLOOKUP(A2099, ORIGEM!A:A, ORIGEM!B:B)</f>
        <v>Google</v>
      </c>
      <c r="F2099" t="str">
        <f>_xlfn.XLOOKUP(A2099, ORIGEM!A:A, ORIGEM!C:C)</f>
        <v>google - cpc</v>
      </c>
      <c r="G2099" t="str">
        <f>_xlfn.XLOOKUP(A2099, LOCAL!A:A, LOCAL!B:B)</f>
        <v>Parauapebas - PA</v>
      </c>
      <c r="H2099" t="str">
        <f>_xlfn.XLOOKUP(A2099, PORTE!A:A, PORTE!B:B)</f>
        <v>0</v>
      </c>
      <c r="I2099" t="str">
        <f>_xlfn.XLOOKUP(A2099, OBJETIVO!A:A, OBJETIVO!B:B)</f>
        <v>Outro</v>
      </c>
      <c r="J2099">
        <f t="shared" si="32"/>
        <v>0</v>
      </c>
    </row>
    <row r="2100" spans="1:10" x14ac:dyDescent="0.25">
      <c r="A2100">
        <v>10567513</v>
      </c>
      <c r="B2100" s="1">
        <v>45627.382650462961</v>
      </c>
      <c r="C2100" t="s">
        <v>0</v>
      </c>
      <c r="D2100">
        <f>VLOOKUP(A2100,MERCADO!A:B,2,0)</f>
        <v>0</v>
      </c>
      <c r="E2100" t="str">
        <f>_xlfn.XLOOKUP(A2100, ORIGEM!A:A, ORIGEM!B:B)</f>
        <v>Google</v>
      </c>
      <c r="F2100" t="str">
        <f>_xlfn.XLOOKUP(A2100, ORIGEM!A:A, ORIGEM!C:C)</f>
        <v>google - cpc</v>
      </c>
      <c r="G2100" t="str">
        <f>_xlfn.XLOOKUP(A2100, LOCAL!A:A, LOCAL!B:B)</f>
        <v>Cuiabá - MT</v>
      </c>
      <c r="H2100" t="str">
        <f>_xlfn.XLOOKUP(A2100, PORTE!A:A, PORTE!B:B)</f>
        <v>1-10</v>
      </c>
      <c r="I2100" t="str">
        <f>_xlfn.XLOOKUP(A2100, OBJETIVO!A:A, OBJETIVO!B:B)</f>
        <v>Abertura/Expansão</v>
      </c>
      <c r="J2100">
        <f t="shared" si="32"/>
        <v>0</v>
      </c>
    </row>
    <row r="2101" spans="1:10" x14ac:dyDescent="0.25">
      <c r="A2101">
        <v>10575766</v>
      </c>
      <c r="B2101" s="1">
        <v>45627.610868055555</v>
      </c>
      <c r="C2101" t="s">
        <v>0</v>
      </c>
      <c r="D2101">
        <f>VLOOKUP(A2101,MERCADO!A:B,2,0)</f>
        <v>0</v>
      </c>
      <c r="E2101" t="str">
        <f>_xlfn.XLOOKUP(A2101, ORIGEM!A:A, ORIGEM!B:B)</f>
        <v>Google</v>
      </c>
      <c r="F2101" t="str">
        <f>_xlfn.XLOOKUP(A2101, ORIGEM!A:A, ORIGEM!C:C)</f>
        <v>google - cpc</v>
      </c>
      <c r="G2101" t="str">
        <f>_xlfn.XLOOKUP(A2101, LOCAL!A:A, LOCAL!B:B)</f>
        <v>Rio de Janeiro - RJ</v>
      </c>
      <c r="H2101" t="str">
        <f>_xlfn.XLOOKUP(A2101, PORTE!A:A, PORTE!B:B)</f>
        <v>1-10</v>
      </c>
      <c r="I2101" t="str">
        <f>_xlfn.XLOOKUP(A2101, OBJETIVO!A:A, OBJETIVO!B:B)</f>
        <v>Abertura/Expansão</v>
      </c>
      <c r="J2101">
        <f t="shared" si="32"/>
        <v>0</v>
      </c>
    </row>
    <row r="2102" spans="1:10" x14ac:dyDescent="0.25">
      <c r="A2102">
        <v>10584889</v>
      </c>
      <c r="B2102" s="1">
        <v>45628.375752314816</v>
      </c>
      <c r="C2102" t="s">
        <v>0</v>
      </c>
      <c r="D2102">
        <f>VLOOKUP(A2102,MERCADO!A:B,2,0)</f>
        <v>0</v>
      </c>
      <c r="E2102" t="str">
        <f>_xlfn.XLOOKUP(A2102, ORIGEM!A:A, ORIGEM!B:B)</f>
        <v>Google</v>
      </c>
      <c r="F2102" t="str">
        <f>_xlfn.XLOOKUP(A2102, ORIGEM!A:A, ORIGEM!C:C)</f>
        <v>google - cpc</v>
      </c>
      <c r="G2102" t="str">
        <f>_xlfn.XLOOKUP(A2102, LOCAL!A:A, LOCAL!B:B)</f>
        <v>Sao Sebastiao do Paraiso - MG</v>
      </c>
      <c r="H2102" t="str">
        <f>_xlfn.XLOOKUP(A2102, PORTE!A:A, PORTE!B:B)</f>
        <v>0</v>
      </c>
      <c r="I2102" t="str">
        <f>_xlfn.XLOOKUP(A2102, OBJETIVO!A:A, OBJETIVO!B:B)</f>
        <v>Outro</v>
      </c>
      <c r="J2102">
        <f t="shared" si="32"/>
        <v>0</v>
      </c>
    </row>
    <row r="2103" spans="1:10" x14ac:dyDescent="0.25">
      <c r="A2103">
        <v>10588876</v>
      </c>
      <c r="B2103" s="1">
        <v>45628.495254629626</v>
      </c>
      <c r="C2103" t="s">
        <v>0</v>
      </c>
      <c r="D2103">
        <f>VLOOKUP(A2103,MERCADO!A:B,2,0)</f>
        <v>0</v>
      </c>
      <c r="E2103" t="str">
        <f>_xlfn.XLOOKUP(A2103, ORIGEM!A:A, ORIGEM!B:B)</f>
        <v>Google</v>
      </c>
      <c r="F2103" t="str">
        <f>_xlfn.XLOOKUP(A2103, ORIGEM!A:A, ORIGEM!C:C)</f>
        <v>google - cpc</v>
      </c>
      <c r="G2103" t="str">
        <f>_xlfn.XLOOKUP(A2103, LOCAL!A:A, LOCAL!B:B)</f>
        <v>Canoas - RS</v>
      </c>
      <c r="H2103" t="str">
        <f>_xlfn.XLOOKUP(A2103, PORTE!A:A, PORTE!B:B)</f>
        <v>0</v>
      </c>
      <c r="I2103" t="str">
        <f>_xlfn.XLOOKUP(A2103, OBJETIVO!A:A, OBJETIVO!B:B)</f>
        <v>Abertura/Expansão</v>
      </c>
      <c r="J2103">
        <f t="shared" si="32"/>
        <v>0</v>
      </c>
    </row>
    <row r="2104" spans="1:10" x14ac:dyDescent="0.25">
      <c r="A2104">
        <v>10589017</v>
      </c>
      <c r="B2104" s="1">
        <v>45628.50508101852</v>
      </c>
      <c r="C2104" t="s">
        <v>0</v>
      </c>
      <c r="D2104">
        <f>VLOOKUP(A2104,MERCADO!A:B,2,0)</f>
        <v>0</v>
      </c>
      <c r="E2104" t="str">
        <f>_xlfn.XLOOKUP(A2104, ORIGEM!A:A, ORIGEM!B:B)</f>
        <v>Google</v>
      </c>
      <c r="F2104" t="str">
        <f>_xlfn.XLOOKUP(A2104, ORIGEM!A:A, ORIGEM!C:C)</f>
        <v>google - cpc</v>
      </c>
      <c r="G2104" t="str">
        <f>_xlfn.XLOOKUP(A2104, LOCAL!A:A, LOCAL!B:B)</f>
        <v>Mamanguape - PB</v>
      </c>
      <c r="H2104" t="str">
        <f>_xlfn.XLOOKUP(A2104, PORTE!A:A, PORTE!B:B)</f>
        <v>1-10</v>
      </c>
      <c r="I2104" t="str">
        <f>_xlfn.XLOOKUP(A2104, OBJETIVO!A:A, OBJETIVO!B:B)</f>
        <v>Abertura/Expansão</v>
      </c>
      <c r="J2104">
        <f t="shared" si="32"/>
        <v>0</v>
      </c>
    </row>
    <row r="2105" spans="1:10" x14ac:dyDescent="0.25">
      <c r="A2105">
        <v>10590887</v>
      </c>
      <c r="B2105" s="1">
        <v>45628.626435185186</v>
      </c>
      <c r="C2105" t="s">
        <v>0</v>
      </c>
      <c r="D2105">
        <f>VLOOKUP(A2105,MERCADO!A:B,2,0)</f>
        <v>0</v>
      </c>
      <c r="E2105" t="str">
        <f>_xlfn.XLOOKUP(A2105, ORIGEM!A:A, ORIGEM!B:B)</f>
        <v>Google</v>
      </c>
      <c r="F2105" t="str">
        <f>_xlfn.XLOOKUP(A2105, ORIGEM!A:A, ORIGEM!C:C)</f>
        <v>google - cpc</v>
      </c>
      <c r="G2105" t="str">
        <f>_xlfn.XLOOKUP(A2105, LOCAL!A:A, LOCAL!B:B)</f>
        <v>Poços de Caldas - MG</v>
      </c>
      <c r="H2105" t="str">
        <f>_xlfn.XLOOKUP(A2105, PORTE!A:A, PORTE!B:B)</f>
        <v>0</v>
      </c>
      <c r="I2105" t="str">
        <f>_xlfn.XLOOKUP(A2105, OBJETIVO!A:A, OBJETIVO!B:B)</f>
        <v>Abertura/Expansão</v>
      </c>
      <c r="J2105">
        <f t="shared" si="32"/>
        <v>0</v>
      </c>
    </row>
    <row r="2106" spans="1:10" x14ac:dyDescent="0.25">
      <c r="A2106">
        <v>10595463</v>
      </c>
      <c r="B2106" s="1">
        <v>45628.938576388886</v>
      </c>
      <c r="C2106" t="s">
        <v>0</v>
      </c>
      <c r="D2106">
        <f>VLOOKUP(A2106,MERCADO!A:B,2,0)</f>
        <v>0</v>
      </c>
      <c r="E2106" t="str">
        <f>_xlfn.XLOOKUP(A2106, ORIGEM!A:A, ORIGEM!B:B)</f>
        <v>Google</v>
      </c>
      <c r="F2106" t="str">
        <f>_xlfn.XLOOKUP(A2106, ORIGEM!A:A, ORIGEM!C:C)</f>
        <v>google - cpc</v>
      </c>
      <c r="G2106" t="str">
        <f>_xlfn.XLOOKUP(A2106, LOCAL!A:A, LOCAL!B:B)</f>
        <v>Rio de Janeiro - RJ</v>
      </c>
      <c r="H2106" t="str">
        <f>_xlfn.XLOOKUP(A2106, PORTE!A:A, PORTE!B:B)</f>
        <v>1-10</v>
      </c>
      <c r="I2106" t="str">
        <f>_xlfn.XLOOKUP(A2106, OBJETIVO!A:A, OBJETIVO!B:B)</f>
        <v>Abertura/Expansão</v>
      </c>
      <c r="J2106">
        <f t="shared" si="32"/>
        <v>0</v>
      </c>
    </row>
    <row r="2107" spans="1:10" x14ac:dyDescent="0.25">
      <c r="A2107">
        <v>10595742</v>
      </c>
      <c r="B2107" s="1">
        <v>45629.073958333334</v>
      </c>
      <c r="C2107" t="s">
        <v>0</v>
      </c>
      <c r="D2107">
        <f>VLOOKUP(A2107,MERCADO!A:B,2,0)</f>
        <v>0</v>
      </c>
      <c r="E2107" t="str">
        <f>_xlfn.XLOOKUP(A2107, ORIGEM!A:A, ORIGEM!B:B)</f>
        <v>Google</v>
      </c>
      <c r="F2107" t="str">
        <f>_xlfn.XLOOKUP(A2107, ORIGEM!A:A, ORIGEM!C:C)</f>
        <v>google - cpc</v>
      </c>
      <c r="G2107" t="str">
        <f>_xlfn.XLOOKUP(A2107, LOCAL!A:A, LOCAL!B:B)</f>
        <v>Peruibe - SP</v>
      </c>
      <c r="H2107" t="str">
        <f>_xlfn.XLOOKUP(A2107, PORTE!A:A, PORTE!B:B)</f>
        <v>1-10</v>
      </c>
      <c r="I2107" t="str">
        <f>_xlfn.XLOOKUP(A2107, OBJETIVO!A:A, OBJETIVO!B:B)</f>
        <v>Ações de marketing/vendas</v>
      </c>
      <c r="J2107">
        <f t="shared" si="32"/>
        <v>0</v>
      </c>
    </row>
    <row r="2108" spans="1:10" x14ac:dyDescent="0.25">
      <c r="A2108">
        <v>10595388</v>
      </c>
      <c r="B2108" s="1">
        <v>45628.919872685183</v>
      </c>
      <c r="C2108" t="s">
        <v>0</v>
      </c>
      <c r="D2108">
        <f>VLOOKUP(A2108,MERCADO!A:B,2,0)</f>
        <v>0</v>
      </c>
      <c r="E2108" t="str">
        <f>_xlfn.XLOOKUP(A2108, ORIGEM!A:A, ORIGEM!B:B)</f>
        <v>Google</v>
      </c>
      <c r="F2108" t="str">
        <f>_xlfn.XLOOKUP(A2108, ORIGEM!A:A, ORIGEM!C:C)</f>
        <v>google - cpc</v>
      </c>
      <c r="G2108" t="str">
        <f>_xlfn.XLOOKUP(A2108, LOCAL!A:A, LOCAL!B:B)</f>
        <v>Rio de Janeiro - RJ</v>
      </c>
      <c r="H2108" t="str">
        <f>_xlfn.XLOOKUP(A2108, PORTE!A:A, PORTE!B:B)</f>
        <v>1-10</v>
      </c>
      <c r="I2108" t="str">
        <f>_xlfn.XLOOKUP(A2108, OBJETIVO!A:A, OBJETIVO!B:B)</f>
        <v>Abertura/Expansão</v>
      </c>
      <c r="J2108">
        <f t="shared" si="32"/>
        <v>0</v>
      </c>
    </row>
    <row r="2109" spans="1:10" x14ac:dyDescent="0.25">
      <c r="A2109">
        <v>10595392</v>
      </c>
      <c r="B2109" s="1">
        <v>45628.920613425929</v>
      </c>
      <c r="C2109" t="s">
        <v>0</v>
      </c>
      <c r="D2109">
        <f>VLOOKUP(A2109,MERCADO!A:B,2,0)</f>
        <v>0</v>
      </c>
      <c r="E2109" t="str">
        <f>_xlfn.XLOOKUP(A2109, ORIGEM!A:A, ORIGEM!B:B)</f>
        <v>Google</v>
      </c>
      <c r="F2109" t="str">
        <f>_xlfn.XLOOKUP(A2109, ORIGEM!A:A, ORIGEM!C:C)</f>
        <v>google - cpc</v>
      </c>
      <c r="G2109" t="str">
        <f>_xlfn.XLOOKUP(A2109, LOCAL!A:A, LOCAL!B:B)</f>
        <v>Divinópolis - MG</v>
      </c>
      <c r="H2109" t="str">
        <f>_xlfn.XLOOKUP(A2109, PORTE!A:A, PORTE!B:B)</f>
        <v>1-10</v>
      </c>
      <c r="I2109" t="str">
        <f>_xlfn.XLOOKUP(A2109, OBJETIVO!A:A, OBJETIVO!B:B)</f>
        <v>Geração de leads b2b</v>
      </c>
      <c r="J2109">
        <f t="shared" si="32"/>
        <v>0</v>
      </c>
    </row>
    <row r="2110" spans="1:10" x14ac:dyDescent="0.25">
      <c r="A2110">
        <v>10578265</v>
      </c>
      <c r="B2110" s="1">
        <v>45627.664722222224</v>
      </c>
      <c r="C2110" t="s">
        <v>0</v>
      </c>
      <c r="D2110">
        <f>VLOOKUP(A2110,MERCADO!A:B,2,0)</f>
        <v>0</v>
      </c>
      <c r="E2110" t="str">
        <f>_xlfn.XLOOKUP(A2110, ORIGEM!A:A, ORIGEM!B:B)</f>
        <v>Google</v>
      </c>
      <c r="F2110" t="str">
        <f>_xlfn.XLOOKUP(A2110, ORIGEM!A:A, ORIGEM!C:C)</f>
        <v>google - cpc</v>
      </c>
      <c r="G2110" t="str">
        <f>_xlfn.XLOOKUP(A2110, LOCAL!A:A, LOCAL!B:B)</f>
        <v>Maua - SP</v>
      </c>
      <c r="H2110" t="str">
        <f>_xlfn.XLOOKUP(A2110, PORTE!A:A, PORTE!B:B)</f>
        <v>1-10</v>
      </c>
      <c r="I2110" t="str">
        <f>_xlfn.XLOOKUP(A2110, OBJETIVO!A:A, OBJETIVO!B:B)</f>
        <v>Consultoria</v>
      </c>
      <c r="J2110">
        <f t="shared" si="32"/>
        <v>0</v>
      </c>
    </row>
    <row r="2111" spans="1:10" x14ac:dyDescent="0.25">
      <c r="A2111">
        <v>10578279</v>
      </c>
      <c r="B2111" s="1">
        <v>45627.665324074071</v>
      </c>
      <c r="C2111" t="s">
        <v>0</v>
      </c>
      <c r="D2111">
        <f>VLOOKUP(A2111,MERCADO!A:B,2,0)</f>
        <v>0</v>
      </c>
      <c r="E2111" t="str">
        <f>_xlfn.XLOOKUP(A2111, ORIGEM!A:A, ORIGEM!B:B)</f>
        <v>Google</v>
      </c>
      <c r="F2111" t="str">
        <f>_xlfn.XLOOKUP(A2111, ORIGEM!A:A, ORIGEM!C:C)</f>
        <v>google - cpc</v>
      </c>
      <c r="G2111" t="str">
        <f>_xlfn.XLOOKUP(A2111, LOCAL!A:A, LOCAL!B:B)</f>
        <v>Belém - PA</v>
      </c>
      <c r="H2111" t="str">
        <f>_xlfn.XLOOKUP(A2111, PORTE!A:A, PORTE!B:B)</f>
        <v>51-300</v>
      </c>
      <c r="I2111" t="str">
        <f>_xlfn.XLOOKUP(A2111, OBJETIVO!A:A, OBJETIVO!B:B)</f>
        <v>Abertura/Expansão</v>
      </c>
      <c r="J2111">
        <f t="shared" si="32"/>
        <v>0</v>
      </c>
    </row>
    <row r="2112" spans="1:10" x14ac:dyDescent="0.25">
      <c r="A2112">
        <v>10628730</v>
      </c>
      <c r="B2112" s="1">
        <v>45633.441319444442</v>
      </c>
      <c r="C2112" t="s">
        <v>0</v>
      </c>
      <c r="D2112">
        <f>VLOOKUP(A2112,MERCADO!A:B,2,0)</f>
        <v>0</v>
      </c>
      <c r="E2112" t="str">
        <f>_xlfn.XLOOKUP(A2112, ORIGEM!A:A, ORIGEM!B:B)</f>
        <v>rep</v>
      </c>
      <c r="F2112" t="str">
        <f>_xlfn.XLOOKUP(A2112, ORIGEM!A:A, ORIGEM!C:C)</f>
        <v>rep - ximena-cubillos</v>
      </c>
      <c r="G2112" t="str">
        <f>_xlfn.XLOOKUP(A2112, LOCAL!A:A, LOCAL!B:B)</f>
        <v>Sao Joaquim de Bicas - MG</v>
      </c>
      <c r="H2112" t="str">
        <f>_xlfn.XLOOKUP(A2112, PORTE!A:A, PORTE!B:B)</f>
        <v>301-1000</v>
      </c>
      <c r="I2112" t="str">
        <f>_xlfn.XLOOKUP(A2112, OBJETIVO!A:A, OBJETIVO!B:B)</f>
        <v>Abertura/Expansão</v>
      </c>
      <c r="J2112">
        <f t="shared" si="32"/>
        <v>0</v>
      </c>
    </row>
    <row r="2113" spans="1:10" x14ac:dyDescent="0.25">
      <c r="A2113">
        <v>11346670</v>
      </c>
      <c r="B2113" s="1">
        <v>45702.433148148149</v>
      </c>
      <c r="C2113" t="s">
        <v>0</v>
      </c>
      <c r="D2113" t="str">
        <f>VLOOKUP(A2113,MERCADO!A:B,2,0)</f>
        <v>Varejo</v>
      </c>
      <c r="E2113" t="str">
        <f>_xlfn.XLOOKUP(A2113, ORIGEM!A:A, ORIGEM!B:B)</f>
        <v>Instagram</v>
      </c>
      <c r="F2113" t="str">
        <f>_xlfn.XLOOKUP(A2113, ORIGEM!A:A, ORIGEM!C:C)</f>
        <v>instagram - social</v>
      </c>
      <c r="G2113" t="str">
        <f>_xlfn.XLOOKUP(A2113, LOCAL!A:A, LOCAL!B:B)</f>
        <v>Salto - SP</v>
      </c>
      <c r="H2113" t="str">
        <f>_xlfn.XLOOKUP(A2113, PORTE!A:A, PORTE!B:B)</f>
        <v>1-10</v>
      </c>
      <c r="I2113" t="str">
        <f>_xlfn.XLOOKUP(A2113, OBJETIVO!A:A, OBJETIVO!B:B)</f>
        <v>Abertura/Expansão</v>
      </c>
      <c r="J2113">
        <f t="shared" si="32"/>
        <v>0</v>
      </c>
    </row>
    <row r="2114" spans="1:10" x14ac:dyDescent="0.25">
      <c r="A2114">
        <v>11571805</v>
      </c>
      <c r="B2114" s="1">
        <v>45724.62332175926</v>
      </c>
      <c r="C2114" t="s">
        <v>0</v>
      </c>
      <c r="D2114" t="str">
        <f>VLOOKUP(A2114,MERCADO!A:B,2,0)</f>
        <v>Varejo</v>
      </c>
      <c r="E2114" t="str">
        <f>_xlfn.XLOOKUP(A2114, ORIGEM!A:A, ORIGEM!B:B)</f>
        <v>Instagram</v>
      </c>
      <c r="F2114" t="str">
        <f>_xlfn.XLOOKUP(A2114, ORIGEM!A:A, ORIGEM!C:C)</f>
        <v>instagram - social</v>
      </c>
      <c r="G2114" t="str">
        <f>_xlfn.XLOOKUP(A2114, LOCAL!A:A, LOCAL!B:B)</f>
        <v>Garuva - SC</v>
      </c>
      <c r="H2114" t="str">
        <f>_xlfn.XLOOKUP(A2114, PORTE!A:A, PORTE!B:B)</f>
        <v>1-10</v>
      </c>
      <c r="I2114" t="str">
        <f>_xlfn.XLOOKUP(A2114, OBJETIVO!A:A, OBJETIVO!B:B)</f>
        <v>Abertura/Expansão</v>
      </c>
      <c r="J2114">
        <f t="shared" si="32"/>
        <v>0</v>
      </c>
    </row>
    <row r="2115" spans="1:10" x14ac:dyDescent="0.25">
      <c r="A2115">
        <v>11379126</v>
      </c>
      <c r="B2115" s="1">
        <v>45705.651886574073</v>
      </c>
      <c r="C2115" t="s">
        <v>0</v>
      </c>
      <c r="D2115" t="str">
        <f>VLOOKUP(A2115,MERCADO!A:B,2,0)</f>
        <v>Varejo</v>
      </c>
      <c r="E2115" t="str">
        <f>_xlfn.XLOOKUP(A2115, ORIGEM!A:A, ORIGEM!B:B)</f>
        <v>Instagram</v>
      </c>
      <c r="F2115" t="str">
        <f>_xlfn.XLOOKUP(A2115, ORIGEM!A:A, ORIGEM!C:C)</f>
        <v>instagram - social</v>
      </c>
      <c r="G2115" t="str">
        <f>_xlfn.XLOOKUP(A2115, LOCAL!A:A, LOCAL!B:B)</f>
        <v>Fortaleza - CE</v>
      </c>
      <c r="H2115" t="str">
        <f>_xlfn.XLOOKUP(A2115, PORTE!A:A, PORTE!B:B)</f>
        <v>1-10</v>
      </c>
      <c r="I2115" t="str">
        <f>_xlfn.XLOOKUP(A2115, OBJETIVO!A:A, OBJETIVO!B:B)</f>
        <v>Abertura/Expansão</v>
      </c>
      <c r="J2115">
        <f t="shared" ref="J2115:J2178" si="33">IF(C2115="SIM",1,0)</f>
        <v>0</v>
      </c>
    </row>
    <row r="2116" spans="1:10" x14ac:dyDescent="0.25">
      <c r="A2116">
        <v>11405544</v>
      </c>
      <c r="B2116" s="1">
        <v>45707.832129629627</v>
      </c>
      <c r="C2116" t="s">
        <v>0</v>
      </c>
      <c r="D2116" t="str">
        <f>VLOOKUP(A2116,MERCADO!A:B,2,0)</f>
        <v>Varejo</v>
      </c>
      <c r="E2116" t="str">
        <f>_xlfn.XLOOKUP(A2116, ORIGEM!A:A, ORIGEM!B:B)</f>
        <v>Instagram</v>
      </c>
      <c r="F2116" t="str">
        <f>_xlfn.XLOOKUP(A2116, ORIGEM!A:A, ORIGEM!C:C)</f>
        <v>instagram - social</v>
      </c>
      <c r="G2116" t="str">
        <f>_xlfn.XLOOKUP(A2116, LOCAL!A:A, LOCAL!B:B)</f>
        <v>Caxias - MA</v>
      </c>
      <c r="H2116" t="str">
        <f>_xlfn.XLOOKUP(A2116, PORTE!A:A, PORTE!B:B)</f>
        <v>0</v>
      </c>
      <c r="I2116" t="str">
        <f>_xlfn.XLOOKUP(A2116, OBJETIVO!A:A, OBJETIVO!B:B)</f>
        <v>Abertura/Expansão</v>
      </c>
      <c r="J2116">
        <f t="shared" si="33"/>
        <v>0</v>
      </c>
    </row>
    <row r="2117" spans="1:10" x14ac:dyDescent="0.25">
      <c r="A2117">
        <v>11708061</v>
      </c>
      <c r="B2117" s="1">
        <v>45736.566759259258</v>
      </c>
      <c r="C2117" t="s">
        <v>0</v>
      </c>
      <c r="D2117" t="str">
        <f>VLOOKUP(A2117,MERCADO!A:B,2,0)</f>
        <v>Varejo</v>
      </c>
      <c r="E2117" t="str">
        <f>_xlfn.XLOOKUP(A2117, ORIGEM!A:A, ORIGEM!B:B)</f>
        <v>Instagram</v>
      </c>
      <c r="F2117" t="str">
        <f>_xlfn.XLOOKUP(A2117, ORIGEM!A:A, ORIGEM!C:C)</f>
        <v>instagram - social</v>
      </c>
      <c r="G2117" t="str">
        <f>_xlfn.XLOOKUP(A2117, LOCAL!A:A, LOCAL!B:B)</f>
        <v>Porto Velho - RO</v>
      </c>
      <c r="H2117" t="str">
        <f>_xlfn.XLOOKUP(A2117, PORTE!A:A, PORTE!B:B)</f>
        <v>0</v>
      </c>
      <c r="I2117" t="str">
        <f>_xlfn.XLOOKUP(A2117, OBJETIVO!A:A, OBJETIVO!B:B)</f>
        <v>Outro</v>
      </c>
      <c r="J2117">
        <f t="shared" si="33"/>
        <v>0</v>
      </c>
    </row>
    <row r="2118" spans="1:10" x14ac:dyDescent="0.25">
      <c r="A2118">
        <v>11860545</v>
      </c>
      <c r="B2118" s="1">
        <v>45751.789884259262</v>
      </c>
      <c r="C2118" t="s">
        <v>0</v>
      </c>
      <c r="D2118" t="str">
        <f>VLOOKUP(A2118,MERCADO!A:B,2,0)</f>
        <v>Varejo</v>
      </c>
      <c r="E2118" t="str">
        <f>_xlfn.XLOOKUP(A2118, ORIGEM!A:A, ORIGEM!B:B)</f>
        <v>Instagram</v>
      </c>
      <c r="F2118" t="str">
        <f>_xlfn.XLOOKUP(A2118, ORIGEM!A:A, ORIGEM!C:C)</f>
        <v>instagram - social</v>
      </c>
      <c r="G2118" t="str">
        <f>_xlfn.XLOOKUP(A2118, LOCAL!A:A, LOCAL!B:B)</f>
        <v>Guaraciaba do Norte - CE</v>
      </c>
      <c r="H2118" t="str">
        <f>_xlfn.XLOOKUP(A2118, PORTE!A:A, PORTE!B:B)</f>
        <v>0</v>
      </c>
      <c r="I2118" t="str">
        <f>_xlfn.XLOOKUP(A2118, OBJETIVO!A:A, OBJETIVO!B:B)</f>
        <v>Abertura/Expansão</v>
      </c>
      <c r="J2118">
        <f t="shared" si="33"/>
        <v>0</v>
      </c>
    </row>
    <row r="2119" spans="1:10" x14ac:dyDescent="0.25">
      <c r="A2119">
        <v>10790033</v>
      </c>
      <c r="B2119" s="1">
        <v>45647.64303240741</v>
      </c>
      <c r="C2119" t="s">
        <v>0</v>
      </c>
      <c r="D2119" t="str">
        <f>VLOOKUP(A2119,MERCADO!A:B,2,0)</f>
        <v>Varejo</v>
      </c>
      <c r="E2119" t="str">
        <f>_xlfn.XLOOKUP(A2119, ORIGEM!A:A, ORIGEM!B:B)</f>
        <v>Leads</v>
      </c>
      <c r="F2119" t="str">
        <f>_xlfn.XLOOKUP(A2119, ORIGEM!A:A, ORIGEM!C:C)</f>
        <v>leads - email</v>
      </c>
      <c r="G2119" t="str">
        <f>_xlfn.XLOOKUP(A2119, LOCAL!A:A, LOCAL!B:B)</f>
        <v>Feira de Santana - BA</v>
      </c>
      <c r="H2119" t="str">
        <f>_xlfn.XLOOKUP(A2119, PORTE!A:A, PORTE!B:B)</f>
        <v>1-10</v>
      </c>
      <c r="I2119" t="str">
        <f>_xlfn.XLOOKUP(A2119, OBJETIVO!A:A, OBJETIVO!B:B)</f>
        <v>Ações de marketing/vendas</v>
      </c>
      <c r="J2119">
        <f t="shared" si="33"/>
        <v>0</v>
      </c>
    </row>
    <row r="2120" spans="1:10" x14ac:dyDescent="0.25">
      <c r="A2120">
        <v>10790347</v>
      </c>
      <c r="B2120" s="1">
        <v>45647.648981481485</v>
      </c>
      <c r="C2120" t="s">
        <v>0</v>
      </c>
      <c r="D2120" t="str">
        <f>VLOOKUP(A2120,MERCADO!A:B,2,0)</f>
        <v>Varejo</v>
      </c>
      <c r="E2120" t="str">
        <f>_xlfn.XLOOKUP(A2120, ORIGEM!A:A, ORIGEM!B:B)</f>
        <v>Leads</v>
      </c>
      <c r="F2120" t="str">
        <f>_xlfn.XLOOKUP(A2120, ORIGEM!A:A, ORIGEM!C:C)</f>
        <v>leads - email</v>
      </c>
      <c r="G2120" t="str">
        <f>_xlfn.XLOOKUP(A2120, LOCAL!A:A, LOCAL!B:B)</f>
        <v>Itambacuri - MG</v>
      </c>
      <c r="H2120" t="str">
        <f>_xlfn.XLOOKUP(A2120, PORTE!A:A, PORTE!B:B)</f>
        <v>1-10</v>
      </c>
      <c r="I2120" t="str">
        <f>_xlfn.XLOOKUP(A2120, OBJETIVO!A:A, OBJETIVO!B:B)</f>
        <v>Abertura/Expansão</v>
      </c>
      <c r="J2120">
        <f t="shared" si="33"/>
        <v>0</v>
      </c>
    </row>
    <row r="2121" spans="1:10" x14ac:dyDescent="0.25">
      <c r="A2121">
        <v>11832452</v>
      </c>
      <c r="B2121" s="1">
        <v>45747.520937499998</v>
      </c>
      <c r="C2121" t="s">
        <v>0</v>
      </c>
      <c r="D2121" t="str">
        <f>VLOOKUP(A2121,MERCADO!A:B,2,0)</f>
        <v>Varejo</v>
      </c>
      <c r="E2121" t="str">
        <f>_xlfn.XLOOKUP(A2121, ORIGEM!A:A, ORIGEM!B:B)</f>
        <v>Prospecção Ativa</v>
      </c>
      <c r="F2121" t="str">
        <f>_xlfn.XLOOKUP(A2121, ORIGEM!A:A, ORIGEM!C:C)</f>
        <v>Sales Navigator</v>
      </c>
      <c r="G2121" t="str">
        <f>_xlfn.XLOOKUP(A2121, LOCAL!A:A, LOCAL!B:B)</f>
        <v>-</v>
      </c>
      <c r="H2121" t="str">
        <f>_xlfn.XLOOKUP(A2121, PORTE!A:A, PORTE!B:B)</f>
        <v>301-1000</v>
      </c>
      <c r="I2121">
        <f>_xlfn.XLOOKUP(A2121, OBJETIVO!A:A, OBJETIVO!B:B)</f>
        <v>0</v>
      </c>
      <c r="J2121">
        <f t="shared" si="33"/>
        <v>0</v>
      </c>
    </row>
    <row r="2122" spans="1:10" x14ac:dyDescent="0.25">
      <c r="A2122">
        <v>11385747</v>
      </c>
      <c r="B2122" s="1">
        <v>45706.443055555559</v>
      </c>
      <c r="C2122" t="s">
        <v>0</v>
      </c>
      <c r="D2122" t="str">
        <f>VLOOKUP(A2122,MERCADO!A:B,2,0)</f>
        <v>Varejo</v>
      </c>
      <c r="E2122" t="str">
        <f>_xlfn.XLOOKUP(A2122, ORIGEM!A:A, ORIGEM!B:B)</f>
        <v>Google</v>
      </c>
      <c r="F2122" t="str">
        <f>_xlfn.XLOOKUP(A2122, ORIGEM!A:A, ORIGEM!C:C)</f>
        <v>google - cpc</v>
      </c>
      <c r="G2122" t="str">
        <f>_xlfn.XLOOKUP(A2122, LOCAL!A:A, LOCAL!B:B)</f>
        <v>Palmas - TO</v>
      </c>
      <c r="H2122" t="str">
        <f>_xlfn.XLOOKUP(A2122, PORTE!A:A, PORTE!B:B)</f>
        <v>11-50</v>
      </c>
      <c r="I2122" t="str">
        <f>_xlfn.XLOOKUP(A2122, OBJETIVO!A:A, OBJETIVO!B:B)</f>
        <v>Abertura/Expansão</v>
      </c>
      <c r="J2122">
        <f t="shared" si="33"/>
        <v>0</v>
      </c>
    </row>
    <row r="2123" spans="1:10" x14ac:dyDescent="0.25">
      <c r="A2123">
        <v>11371270</v>
      </c>
      <c r="B2123" s="1">
        <v>45705.044363425928</v>
      </c>
      <c r="C2123" t="s">
        <v>0</v>
      </c>
      <c r="D2123" t="str">
        <f>VLOOKUP(A2123,MERCADO!A:B,2,0)</f>
        <v>Varejo</v>
      </c>
      <c r="E2123" t="str">
        <f>_xlfn.XLOOKUP(A2123, ORIGEM!A:A, ORIGEM!B:B)</f>
        <v>Google</v>
      </c>
      <c r="F2123" t="str">
        <f>_xlfn.XLOOKUP(A2123, ORIGEM!A:A, ORIGEM!C:C)</f>
        <v>google - cpc</v>
      </c>
      <c r="G2123" t="str">
        <f>_xlfn.XLOOKUP(A2123, LOCAL!A:A, LOCAL!B:B)</f>
        <v>Brasília - DF</v>
      </c>
      <c r="H2123" t="str">
        <f>_xlfn.XLOOKUP(A2123, PORTE!A:A, PORTE!B:B)</f>
        <v>+ 1000</v>
      </c>
      <c r="I2123" t="str">
        <f>_xlfn.XLOOKUP(A2123, OBJETIVO!A:A, OBJETIVO!B:B)</f>
        <v>Abertura/Expansão</v>
      </c>
      <c r="J2123">
        <f t="shared" si="33"/>
        <v>0</v>
      </c>
    </row>
    <row r="2124" spans="1:10" x14ac:dyDescent="0.25">
      <c r="A2124">
        <v>11400319</v>
      </c>
      <c r="B2124" s="1">
        <v>45707.513506944444</v>
      </c>
      <c r="C2124" t="s">
        <v>0</v>
      </c>
      <c r="D2124" t="str">
        <f>VLOOKUP(A2124,MERCADO!A:B,2,0)</f>
        <v>Varejo</v>
      </c>
      <c r="E2124" t="str">
        <f>_xlfn.XLOOKUP(A2124, ORIGEM!A:A, ORIGEM!B:B)</f>
        <v>Google</v>
      </c>
      <c r="F2124" t="str">
        <f>_xlfn.XLOOKUP(A2124, ORIGEM!A:A, ORIGEM!C:C)</f>
        <v>google - cpc</v>
      </c>
      <c r="G2124" t="str">
        <f>_xlfn.XLOOKUP(A2124, LOCAL!A:A, LOCAL!B:B)</f>
        <v>São Paulo - SP</v>
      </c>
      <c r="H2124" t="str">
        <f>_xlfn.XLOOKUP(A2124, PORTE!A:A, PORTE!B:B)</f>
        <v>11-50</v>
      </c>
      <c r="I2124" t="str">
        <f>_xlfn.XLOOKUP(A2124, OBJETIVO!A:A, OBJETIVO!B:B)</f>
        <v>Abertura/Expansão</v>
      </c>
      <c r="J2124">
        <f t="shared" si="33"/>
        <v>0</v>
      </c>
    </row>
    <row r="2125" spans="1:10" x14ac:dyDescent="0.25">
      <c r="A2125">
        <v>11348185</v>
      </c>
      <c r="B2125" s="1">
        <v>45702.938043981485</v>
      </c>
      <c r="C2125" t="s">
        <v>0</v>
      </c>
      <c r="D2125" t="str">
        <f>VLOOKUP(A2125,MERCADO!A:B,2,0)</f>
        <v>Varejo</v>
      </c>
      <c r="E2125" t="str">
        <f>_xlfn.XLOOKUP(A2125, ORIGEM!A:A, ORIGEM!B:B)</f>
        <v>Instagram</v>
      </c>
      <c r="F2125" t="str">
        <f>_xlfn.XLOOKUP(A2125, ORIGEM!A:A, ORIGEM!C:C)</f>
        <v>instagram - social</v>
      </c>
      <c r="G2125" t="str">
        <f>_xlfn.XLOOKUP(A2125, LOCAL!A:A, LOCAL!B:B)</f>
        <v>Rio Verde - GO</v>
      </c>
      <c r="H2125" t="str">
        <f>_xlfn.XLOOKUP(A2125, PORTE!A:A, PORTE!B:B)</f>
        <v>1-10</v>
      </c>
      <c r="I2125" t="str">
        <f>_xlfn.XLOOKUP(A2125, OBJETIVO!A:A, OBJETIVO!B:B)</f>
        <v>Outro</v>
      </c>
      <c r="J2125">
        <f t="shared" si="33"/>
        <v>0</v>
      </c>
    </row>
    <row r="2126" spans="1:10" x14ac:dyDescent="0.25">
      <c r="A2126">
        <v>11826088</v>
      </c>
      <c r="B2126" s="1">
        <v>45746.716006944444</v>
      </c>
      <c r="C2126" t="s">
        <v>0</v>
      </c>
      <c r="D2126" t="str">
        <f>VLOOKUP(A2126,MERCADO!A:B,2,0)</f>
        <v>Varejo</v>
      </c>
      <c r="E2126" t="str">
        <f>_xlfn.XLOOKUP(A2126, ORIGEM!A:A, ORIGEM!B:B)</f>
        <v>Orgânico</v>
      </c>
      <c r="F2126" t="str">
        <f>_xlfn.XLOOKUP(A2126, ORIGEM!A:A, ORIGEM!C:C)</f>
        <v>Sales Navigator</v>
      </c>
      <c r="G2126" t="str">
        <f>_xlfn.XLOOKUP(A2126, LOCAL!A:A, LOCAL!B:B)</f>
        <v>-</v>
      </c>
      <c r="H2126" t="str">
        <f>_xlfn.XLOOKUP(A2126, PORTE!A:A, PORTE!B:B)</f>
        <v>301-1000</v>
      </c>
      <c r="I2126" t="str">
        <f>_xlfn.XLOOKUP(A2126, OBJETIVO!A:A, OBJETIVO!B:B)</f>
        <v>Geração de leads b2b</v>
      </c>
      <c r="J2126">
        <f t="shared" si="33"/>
        <v>0</v>
      </c>
    </row>
    <row r="2127" spans="1:10" x14ac:dyDescent="0.25">
      <c r="A2127">
        <v>11619491</v>
      </c>
      <c r="B2127" s="1">
        <v>45728.389120370368</v>
      </c>
      <c r="C2127" t="s">
        <v>0</v>
      </c>
      <c r="D2127" t="str">
        <f>VLOOKUP(A2127,MERCADO!A:B,2,0)</f>
        <v>Varejo</v>
      </c>
      <c r="E2127" t="str">
        <f>_xlfn.XLOOKUP(A2127, ORIGEM!A:A, ORIGEM!B:B)</f>
        <v>Instagram</v>
      </c>
      <c r="F2127" t="str">
        <f>_xlfn.XLOOKUP(A2127, ORIGEM!A:A, ORIGEM!C:C)</f>
        <v>instagram - social</v>
      </c>
      <c r="G2127" t="str">
        <f>_xlfn.XLOOKUP(A2127, LOCAL!A:A, LOCAL!B:B)</f>
        <v>Brasília - DF</v>
      </c>
      <c r="H2127" t="str">
        <f>_xlfn.XLOOKUP(A2127, PORTE!A:A, PORTE!B:B)</f>
        <v>1-10</v>
      </c>
      <c r="I2127" t="str">
        <f>_xlfn.XLOOKUP(A2127, OBJETIVO!A:A, OBJETIVO!B:B)</f>
        <v>Abertura/Expansão</v>
      </c>
      <c r="J2127">
        <f t="shared" si="33"/>
        <v>0</v>
      </c>
    </row>
    <row r="2128" spans="1:10" x14ac:dyDescent="0.25">
      <c r="A2128">
        <v>11348882</v>
      </c>
      <c r="B2128" s="1">
        <v>45703.350034722222</v>
      </c>
      <c r="C2128" t="s">
        <v>0</v>
      </c>
      <c r="D2128" t="str">
        <f>VLOOKUP(A2128,MERCADO!A:B,2,0)</f>
        <v>Varejo</v>
      </c>
      <c r="E2128" t="str">
        <f>_xlfn.XLOOKUP(A2128, ORIGEM!A:A, ORIGEM!B:B)</f>
        <v>Google</v>
      </c>
      <c r="F2128" t="str">
        <f>_xlfn.XLOOKUP(A2128, ORIGEM!A:A, ORIGEM!C:C)</f>
        <v>google - cpc</v>
      </c>
      <c r="G2128" t="str">
        <f>_xlfn.XLOOKUP(A2128, LOCAL!A:A, LOCAL!B:B)</f>
        <v>São Paulo - SP</v>
      </c>
      <c r="H2128" t="str">
        <f>_xlfn.XLOOKUP(A2128, PORTE!A:A, PORTE!B:B)</f>
        <v>1-10</v>
      </c>
      <c r="I2128" t="str">
        <f>_xlfn.XLOOKUP(A2128, OBJETIVO!A:A, OBJETIVO!B:B)</f>
        <v>Abertura/Expansão</v>
      </c>
      <c r="J2128">
        <f t="shared" si="33"/>
        <v>0</v>
      </c>
    </row>
    <row r="2129" spans="1:10" x14ac:dyDescent="0.25">
      <c r="A2129">
        <v>11363915</v>
      </c>
      <c r="B2129" s="1">
        <v>45704.573750000003</v>
      </c>
      <c r="C2129" t="s">
        <v>0</v>
      </c>
      <c r="D2129" t="str">
        <f>VLOOKUP(A2129,MERCADO!A:B,2,0)</f>
        <v>Varejo</v>
      </c>
      <c r="E2129" t="str">
        <f>_xlfn.XLOOKUP(A2129, ORIGEM!A:A, ORIGEM!B:B)</f>
        <v>Google</v>
      </c>
      <c r="F2129" t="str">
        <f>_xlfn.XLOOKUP(A2129, ORIGEM!A:A, ORIGEM!C:C)</f>
        <v>google - cpc</v>
      </c>
      <c r="G2129" t="str">
        <f>_xlfn.XLOOKUP(A2129, LOCAL!A:A, LOCAL!B:B)</f>
        <v>Franco da Rocha - SP</v>
      </c>
      <c r="H2129" t="str">
        <f>_xlfn.XLOOKUP(A2129, PORTE!A:A, PORTE!B:B)</f>
        <v>0</v>
      </c>
      <c r="I2129" t="str">
        <f>_xlfn.XLOOKUP(A2129, OBJETIVO!A:A, OBJETIVO!B:B)</f>
        <v>Abertura/Expansão</v>
      </c>
      <c r="J2129">
        <f t="shared" si="33"/>
        <v>0</v>
      </c>
    </row>
    <row r="2130" spans="1:10" x14ac:dyDescent="0.25">
      <c r="A2130">
        <v>11599483</v>
      </c>
      <c r="B2130" s="1">
        <v>45726.493877314817</v>
      </c>
      <c r="C2130" t="s">
        <v>0</v>
      </c>
      <c r="D2130" t="str">
        <f>VLOOKUP(A2130,MERCADO!A:B,2,0)</f>
        <v>Varejo</v>
      </c>
      <c r="E2130" t="str">
        <f>_xlfn.XLOOKUP(A2130, ORIGEM!A:A, ORIGEM!B:B)</f>
        <v>Leads</v>
      </c>
      <c r="F2130" t="str">
        <f>_xlfn.XLOOKUP(A2130, ORIGEM!A:A, ORIGEM!C:C)</f>
        <v>leads - email</v>
      </c>
      <c r="G2130" t="str">
        <f>_xlfn.XLOOKUP(A2130, LOCAL!A:A, LOCAL!B:B)</f>
        <v>Hortolândia - SP</v>
      </c>
      <c r="H2130" t="str">
        <f>_xlfn.XLOOKUP(A2130, PORTE!A:A, PORTE!B:B)</f>
        <v>1-10</v>
      </c>
      <c r="I2130" t="str">
        <f>_xlfn.XLOOKUP(A2130, OBJETIVO!A:A, OBJETIVO!B:B)</f>
        <v>Abertura/Expansão</v>
      </c>
      <c r="J2130">
        <f t="shared" si="33"/>
        <v>0</v>
      </c>
    </row>
    <row r="2131" spans="1:10" x14ac:dyDescent="0.25">
      <c r="A2131">
        <v>11404623</v>
      </c>
      <c r="B2131" s="1">
        <v>45707.715729166666</v>
      </c>
      <c r="C2131" t="s">
        <v>0</v>
      </c>
      <c r="D2131" t="str">
        <f>VLOOKUP(A2131,MERCADO!A:B,2,0)</f>
        <v>Varejo</v>
      </c>
      <c r="E2131" t="str">
        <f>_xlfn.XLOOKUP(A2131, ORIGEM!A:A, ORIGEM!B:B)</f>
        <v>Youtube</v>
      </c>
      <c r="F2131" t="str">
        <f>_xlfn.XLOOKUP(A2131, ORIGEM!A:A, ORIGEM!C:C)</f>
        <v>youtube - cpc</v>
      </c>
      <c r="G2131" t="str">
        <f>_xlfn.XLOOKUP(A2131, LOCAL!A:A, LOCAL!B:B)</f>
        <v>Vitória da Conquista - BA</v>
      </c>
      <c r="H2131" t="str">
        <f>_xlfn.XLOOKUP(A2131, PORTE!A:A, PORTE!B:B)</f>
        <v>0</v>
      </c>
      <c r="I2131" t="str">
        <f>_xlfn.XLOOKUP(A2131, OBJETIVO!A:A, OBJETIVO!B:B)</f>
        <v>Outro</v>
      </c>
      <c r="J2131">
        <f t="shared" si="33"/>
        <v>0</v>
      </c>
    </row>
    <row r="2132" spans="1:10" x14ac:dyDescent="0.25">
      <c r="A2132">
        <v>11356313</v>
      </c>
      <c r="B2132" s="1">
        <v>45703.690150462964</v>
      </c>
      <c r="C2132" t="s">
        <v>0</v>
      </c>
      <c r="D2132" t="str">
        <f>VLOOKUP(A2132,MERCADO!A:B,2,0)</f>
        <v>Varejo</v>
      </c>
      <c r="E2132" t="str">
        <f>_xlfn.XLOOKUP(A2132, ORIGEM!A:A, ORIGEM!B:B)</f>
        <v>Youtube</v>
      </c>
      <c r="F2132" t="str">
        <f>_xlfn.XLOOKUP(A2132, ORIGEM!A:A, ORIGEM!C:C)</f>
        <v>youtube - cpc</v>
      </c>
      <c r="G2132" t="str">
        <f>_xlfn.XLOOKUP(A2132, LOCAL!A:A, LOCAL!B:B)</f>
        <v>Novo Gama - GO</v>
      </c>
      <c r="H2132" t="str">
        <f>_xlfn.XLOOKUP(A2132, PORTE!A:A, PORTE!B:B)</f>
        <v>1-10</v>
      </c>
      <c r="I2132" t="str">
        <f>_xlfn.XLOOKUP(A2132, OBJETIVO!A:A, OBJETIVO!B:B)</f>
        <v>Outro</v>
      </c>
      <c r="J2132">
        <f t="shared" si="33"/>
        <v>0</v>
      </c>
    </row>
    <row r="2133" spans="1:10" x14ac:dyDescent="0.25">
      <c r="A2133">
        <v>11376032</v>
      </c>
      <c r="B2133" s="1">
        <v>45705.516793981478</v>
      </c>
      <c r="C2133" t="s">
        <v>0</v>
      </c>
      <c r="D2133" t="str">
        <f>VLOOKUP(A2133,MERCADO!A:B,2,0)</f>
        <v>Varejo</v>
      </c>
      <c r="E2133" t="str">
        <f>_xlfn.XLOOKUP(A2133, ORIGEM!A:A, ORIGEM!B:B)</f>
        <v>Youtube</v>
      </c>
      <c r="F2133" t="str">
        <f>_xlfn.XLOOKUP(A2133, ORIGEM!A:A, ORIGEM!C:C)</f>
        <v>youtube - cpc</v>
      </c>
      <c r="G2133" t="str">
        <f>_xlfn.XLOOKUP(A2133, LOCAL!A:A, LOCAL!B:B)</f>
        <v>Sarandi - PR</v>
      </c>
      <c r="H2133" t="str">
        <f>_xlfn.XLOOKUP(A2133, PORTE!A:A, PORTE!B:B)</f>
        <v>0</v>
      </c>
      <c r="I2133" t="str">
        <f>_xlfn.XLOOKUP(A2133, OBJETIVO!A:A, OBJETIVO!B:B)</f>
        <v>Outro</v>
      </c>
      <c r="J2133">
        <f t="shared" si="33"/>
        <v>0</v>
      </c>
    </row>
    <row r="2134" spans="1:10" x14ac:dyDescent="0.25">
      <c r="A2134">
        <v>11318868</v>
      </c>
      <c r="B2134" s="1">
        <v>45699.333310185182</v>
      </c>
      <c r="C2134" t="s">
        <v>0</v>
      </c>
      <c r="D2134" t="str">
        <f>VLOOKUP(A2134,MERCADO!A:B,2,0)</f>
        <v>Varejo</v>
      </c>
      <c r="E2134" t="str">
        <f>_xlfn.XLOOKUP(A2134, ORIGEM!A:A, ORIGEM!B:B)</f>
        <v>Youtube</v>
      </c>
      <c r="F2134" t="str">
        <f>_xlfn.XLOOKUP(A2134, ORIGEM!A:A, ORIGEM!C:C)</f>
        <v>youtube - cpc</v>
      </c>
      <c r="G2134" t="str">
        <f>_xlfn.XLOOKUP(A2134, LOCAL!A:A, LOCAL!B:B)</f>
        <v>Ananindeua - PA</v>
      </c>
      <c r="H2134" t="str">
        <f>_xlfn.XLOOKUP(A2134, PORTE!A:A, PORTE!B:B)</f>
        <v>0</v>
      </c>
      <c r="I2134" t="str">
        <f>_xlfn.XLOOKUP(A2134, OBJETIVO!A:A, OBJETIVO!B:B)</f>
        <v>Outro</v>
      </c>
      <c r="J2134">
        <f t="shared" si="33"/>
        <v>0</v>
      </c>
    </row>
    <row r="2135" spans="1:10" x14ac:dyDescent="0.25">
      <c r="A2135">
        <v>11302924</v>
      </c>
      <c r="B2135" s="1">
        <v>45697.69703703704</v>
      </c>
      <c r="C2135" t="s">
        <v>0</v>
      </c>
      <c r="D2135" t="str">
        <f>VLOOKUP(A2135,MERCADO!A:B,2,0)</f>
        <v>Varejo</v>
      </c>
      <c r="E2135" t="str">
        <f>_xlfn.XLOOKUP(A2135, ORIGEM!A:A, ORIGEM!B:B)</f>
        <v>Youtube</v>
      </c>
      <c r="F2135" t="str">
        <f>_xlfn.XLOOKUP(A2135, ORIGEM!A:A, ORIGEM!C:C)</f>
        <v>youtube - cpc</v>
      </c>
      <c r="G2135" t="str">
        <f>_xlfn.XLOOKUP(A2135, LOCAL!A:A, LOCAL!B:B)</f>
        <v>Caruaru - PE</v>
      </c>
      <c r="H2135" t="str">
        <f>_xlfn.XLOOKUP(A2135, PORTE!A:A, PORTE!B:B)</f>
        <v>0</v>
      </c>
      <c r="I2135" t="str">
        <f>_xlfn.XLOOKUP(A2135, OBJETIVO!A:A, OBJETIVO!B:B)</f>
        <v>Outro</v>
      </c>
      <c r="J2135">
        <f t="shared" si="33"/>
        <v>0</v>
      </c>
    </row>
    <row r="2136" spans="1:10" x14ac:dyDescent="0.25">
      <c r="A2136">
        <v>11618817</v>
      </c>
      <c r="B2136" s="1">
        <v>45728.357858796298</v>
      </c>
      <c r="C2136" t="s">
        <v>0</v>
      </c>
      <c r="D2136" t="str">
        <f>VLOOKUP(A2136,MERCADO!A:B,2,0)</f>
        <v>Varejo</v>
      </c>
      <c r="E2136" t="str">
        <f>_xlfn.XLOOKUP(A2136, ORIGEM!A:A, ORIGEM!B:B)</f>
        <v>Youtube</v>
      </c>
      <c r="F2136" t="str">
        <f>_xlfn.XLOOKUP(A2136, ORIGEM!A:A, ORIGEM!C:C)</f>
        <v>youtube - cpc</v>
      </c>
      <c r="G2136" t="str">
        <f>_xlfn.XLOOKUP(A2136, LOCAL!A:A, LOCAL!B:B)</f>
        <v>Belém - PA</v>
      </c>
      <c r="H2136" t="str">
        <f>_xlfn.XLOOKUP(A2136, PORTE!A:A, PORTE!B:B)</f>
        <v>0</v>
      </c>
      <c r="I2136" t="str">
        <f>_xlfn.XLOOKUP(A2136, OBJETIVO!A:A, OBJETIVO!B:B)</f>
        <v>Outro</v>
      </c>
      <c r="J2136">
        <f t="shared" si="33"/>
        <v>0</v>
      </c>
    </row>
    <row r="2137" spans="1:10" x14ac:dyDescent="0.25">
      <c r="A2137">
        <v>11648017</v>
      </c>
      <c r="B2137" s="1">
        <v>45731.770335648151</v>
      </c>
      <c r="C2137" t="s">
        <v>0</v>
      </c>
      <c r="D2137" t="str">
        <f>VLOOKUP(A2137,MERCADO!A:B,2,0)</f>
        <v>Varejo</v>
      </c>
      <c r="E2137" t="str">
        <f>_xlfn.XLOOKUP(A2137, ORIGEM!A:A, ORIGEM!B:B)</f>
        <v>Youtube</v>
      </c>
      <c r="F2137" t="str">
        <f>_xlfn.XLOOKUP(A2137, ORIGEM!A:A, ORIGEM!C:C)</f>
        <v>youtube - cpc</v>
      </c>
      <c r="G2137" t="str">
        <f>_xlfn.XLOOKUP(A2137, LOCAL!A:A, LOCAL!B:B)</f>
        <v>Belém - PA</v>
      </c>
      <c r="H2137" t="str">
        <f>_xlfn.XLOOKUP(A2137, PORTE!A:A, PORTE!B:B)</f>
        <v>0</v>
      </c>
      <c r="I2137" t="str">
        <f>_xlfn.XLOOKUP(A2137, OBJETIVO!A:A, OBJETIVO!B:B)</f>
        <v>Outro</v>
      </c>
      <c r="J2137">
        <f t="shared" si="33"/>
        <v>0</v>
      </c>
    </row>
    <row r="2138" spans="1:10" x14ac:dyDescent="0.25">
      <c r="A2138">
        <v>11345196</v>
      </c>
      <c r="B2138" s="1">
        <v>45701.633229166669</v>
      </c>
      <c r="C2138" t="s">
        <v>0</v>
      </c>
      <c r="D2138" t="str">
        <f>VLOOKUP(A2138,MERCADO!A:B,2,0)</f>
        <v>Varejo</v>
      </c>
      <c r="E2138" t="str">
        <f>_xlfn.XLOOKUP(A2138, ORIGEM!A:A, ORIGEM!B:B)</f>
        <v>Youtube</v>
      </c>
      <c r="F2138" t="str">
        <f>_xlfn.XLOOKUP(A2138, ORIGEM!A:A, ORIGEM!C:C)</f>
        <v>youtube - cpc</v>
      </c>
      <c r="G2138" t="str">
        <f>_xlfn.XLOOKUP(A2138, LOCAL!A:A, LOCAL!B:B)</f>
        <v>Belo Horizonte - MG</v>
      </c>
      <c r="H2138" t="str">
        <f>_xlfn.XLOOKUP(A2138, PORTE!A:A, PORTE!B:B)</f>
        <v>0</v>
      </c>
      <c r="I2138" t="str">
        <f>_xlfn.XLOOKUP(A2138, OBJETIVO!A:A, OBJETIVO!B:B)</f>
        <v>Outro</v>
      </c>
      <c r="J2138">
        <f t="shared" si="33"/>
        <v>0</v>
      </c>
    </row>
    <row r="2139" spans="1:10" x14ac:dyDescent="0.25">
      <c r="A2139">
        <v>11425029</v>
      </c>
      <c r="B2139" s="1">
        <v>45710.75540509259</v>
      </c>
      <c r="C2139" t="s">
        <v>0</v>
      </c>
      <c r="D2139" t="str">
        <f>VLOOKUP(A2139,MERCADO!A:B,2,0)</f>
        <v>Varejo</v>
      </c>
      <c r="E2139" t="str">
        <f>_xlfn.XLOOKUP(A2139, ORIGEM!A:A, ORIGEM!B:B)</f>
        <v>Youtube</v>
      </c>
      <c r="F2139" t="str">
        <f>_xlfn.XLOOKUP(A2139, ORIGEM!A:A, ORIGEM!C:C)</f>
        <v>youtube - cpc</v>
      </c>
      <c r="G2139" t="str">
        <f>_xlfn.XLOOKUP(A2139, LOCAL!A:A, LOCAL!B:B)</f>
        <v>Santarém - PA</v>
      </c>
      <c r="H2139" t="str">
        <f>_xlfn.XLOOKUP(A2139, PORTE!A:A, PORTE!B:B)</f>
        <v>0</v>
      </c>
      <c r="I2139" t="str">
        <f>_xlfn.XLOOKUP(A2139, OBJETIVO!A:A, OBJETIVO!B:B)</f>
        <v>Outro</v>
      </c>
      <c r="J2139">
        <f t="shared" si="33"/>
        <v>0</v>
      </c>
    </row>
    <row r="2140" spans="1:10" x14ac:dyDescent="0.25">
      <c r="A2140">
        <v>11405634</v>
      </c>
      <c r="B2140" s="1">
        <v>45707.863344907404</v>
      </c>
      <c r="C2140" t="s">
        <v>0</v>
      </c>
      <c r="D2140" t="str">
        <f>VLOOKUP(A2140,MERCADO!A:B,2,0)</f>
        <v>Varejo</v>
      </c>
      <c r="E2140" t="str">
        <f>_xlfn.XLOOKUP(A2140, ORIGEM!A:A, ORIGEM!B:B)</f>
        <v>Google</v>
      </c>
      <c r="F2140" t="str">
        <f>_xlfn.XLOOKUP(A2140, ORIGEM!A:A, ORIGEM!C:C)</f>
        <v>google - cpc</v>
      </c>
      <c r="G2140" t="str">
        <f>_xlfn.XLOOKUP(A2140, LOCAL!A:A, LOCAL!B:B)</f>
        <v>Brasília - DF</v>
      </c>
      <c r="H2140" t="str">
        <f>_xlfn.XLOOKUP(A2140, PORTE!A:A, PORTE!B:B)</f>
        <v>1-10</v>
      </c>
      <c r="I2140" t="str">
        <f>_xlfn.XLOOKUP(A2140, OBJETIVO!A:A, OBJETIVO!B:B)</f>
        <v>Abertura/Expansão</v>
      </c>
      <c r="J2140">
        <f t="shared" si="33"/>
        <v>0</v>
      </c>
    </row>
    <row r="2141" spans="1:10" x14ac:dyDescent="0.25">
      <c r="A2141">
        <v>11394061</v>
      </c>
      <c r="B2141" s="1">
        <v>45706.737222222226</v>
      </c>
      <c r="C2141" t="s">
        <v>0</v>
      </c>
      <c r="D2141" t="str">
        <f>VLOOKUP(A2141,MERCADO!A:B,2,0)</f>
        <v>Varejo</v>
      </c>
      <c r="E2141" t="str">
        <f>_xlfn.XLOOKUP(A2141, ORIGEM!A:A, ORIGEM!B:B)</f>
        <v>Google</v>
      </c>
      <c r="F2141" t="str">
        <f>_xlfn.XLOOKUP(A2141, ORIGEM!A:A, ORIGEM!C:C)</f>
        <v>google - cpc</v>
      </c>
      <c r="G2141" t="str">
        <f>_xlfn.XLOOKUP(A2141, LOCAL!A:A, LOCAL!B:B)</f>
        <v>Piracicaba - SP</v>
      </c>
      <c r="H2141" t="str">
        <f>_xlfn.XLOOKUP(A2141, PORTE!A:A, PORTE!B:B)</f>
        <v>301-1000</v>
      </c>
      <c r="I2141" t="str">
        <f>_xlfn.XLOOKUP(A2141, OBJETIVO!A:A, OBJETIVO!B:B)</f>
        <v>Abertura/Expansão</v>
      </c>
      <c r="J2141">
        <f t="shared" si="33"/>
        <v>0</v>
      </c>
    </row>
    <row r="2142" spans="1:10" x14ac:dyDescent="0.25">
      <c r="A2142">
        <v>11407220</v>
      </c>
      <c r="B2142" s="1">
        <v>45708.514224537037</v>
      </c>
      <c r="C2142" t="s">
        <v>0</v>
      </c>
      <c r="D2142" t="str">
        <f>VLOOKUP(A2142,MERCADO!A:B,2,0)</f>
        <v>Varejo</v>
      </c>
      <c r="E2142" t="str">
        <f>_xlfn.XLOOKUP(A2142, ORIGEM!A:A, ORIGEM!B:B)</f>
        <v>Google</v>
      </c>
      <c r="F2142" t="str">
        <f>_xlfn.XLOOKUP(A2142, ORIGEM!A:A, ORIGEM!C:C)</f>
        <v>google - cpc</v>
      </c>
      <c r="G2142" t="str">
        <f>_xlfn.XLOOKUP(A2142, LOCAL!A:A, LOCAL!B:B)</f>
        <v>São Paulo - SP</v>
      </c>
      <c r="H2142" t="str">
        <f>_xlfn.XLOOKUP(A2142, PORTE!A:A, PORTE!B:B)</f>
        <v>1-10</v>
      </c>
      <c r="I2142" t="str">
        <f>_xlfn.XLOOKUP(A2142, OBJETIVO!A:A, OBJETIVO!B:B)</f>
        <v>Outro</v>
      </c>
      <c r="J2142">
        <f t="shared" si="33"/>
        <v>0</v>
      </c>
    </row>
    <row r="2143" spans="1:10" x14ac:dyDescent="0.25">
      <c r="A2143">
        <v>11440821</v>
      </c>
      <c r="B2143" s="1">
        <v>45711.847777777781</v>
      </c>
      <c r="C2143" t="s">
        <v>0</v>
      </c>
      <c r="D2143" t="str">
        <f>VLOOKUP(A2143,MERCADO!A:B,2,0)</f>
        <v>Varejo</v>
      </c>
      <c r="E2143" t="str">
        <f>_xlfn.XLOOKUP(A2143, ORIGEM!A:A, ORIGEM!B:B)</f>
        <v>Google</v>
      </c>
      <c r="F2143" t="str">
        <f>_xlfn.XLOOKUP(A2143, ORIGEM!A:A, ORIGEM!C:C)</f>
        <v>google - cpc</v>
      </c>
      <c r="G2143" t="str">
        <f>_xlfn.XLOOKUP(A2143, LOCAL!A:A, LOCAL!B:B)</f>
        <v>Feira de Santana - BA</v>
      </c>
      <c r="H2143" t="str">
        <f>_xlfn.XLOOKUP(A2143, PORTE!A:A, PORTE!B:B)</f>
        <v>0</v>
      </c>
      <c r="I2143" t="str">
        <f>_xlfn.XLOOKUP(A2143, OBJETIVO!A:A, OBJETIVO!B:B)</f>
        <v>Outro</v>
      </c>
      <c r="J2143">
        <f t="shared" si="33"/>
        <v>0</v>
      </c>
    </row>
    <row r="2144" spans="1:10" x14ac:dyDescent="0.25">
      <c r="A2144">
        <v>11379346</v>
      </c>
      <c r="B2144" s="1">
        <v>45705.663171296299</v>
      </c>
      <c r="C2144" t="s">
        <v>0</v>
      </c>
      <c r="D2144" t="str">
        <f>VLOOKUP(A2144,MERCADO!A:B,2,0)</f>
        <v>Varejo</v>
      </c>
      <c r="E2144" t="str">
        <f>_xlfn.XLOOKUP(A2144, ORIGEM!A:A, ORIGEM!B:B)</f>
        <v>Google</v>
      </c>
      <c r="F2144" t="str">
        <f>_xlfn.XLOOKUP(A2144, ORIGEM!A:A, ORIGEM!C:C)</f>
        <v>google - cpc</v>
      </c>
      <c r="G2144" t="str">
        <f>_xlfn.XLOOKUP(A2144, LOCAL!A:A, LOCAL!B:B)</f>
        <v>São Paulo - SP</v>
      </c>
      <c r="H2144" t="str">
        <f>_xlfn.XLOOKUP(A2144, PORTE!A:A, PORTE!B:B)</f>
        <v>301-1000</v>
      </c>
      <c r="I2144" t="str">
        <f>_xlfn.XLOOKUP(A2144, OBJETIVO!A:A, OBJETIVO!B:B)</f>
        <v>Abertura/Expansão</v>
      </c>
      <c r="J2144">
        <f t="shared" si="33"/>
        <v>0</v>
      </c>
    </row>
    <row r="2145" spans="1:10" x14ac:dyDescent="0.25">
      <c r="A2145">
        <v>11062050</v>
      </c>
      <c r="B2145" s="1">
        <v>45677.702696759261</v>
      </c>
      <c r="C2145" t="s">
        <v>0</v>
      </c>
      <c r="D2145" t="str">
        <f>VLOOKUP(A2145,MERCADO!A:B,2,0)</f>
        <v>Varejo</v>
      </c>
      <c r="E2145" t="str">
        <f>_xlfn.XLOOKUP(A2145, ORIGEM!A:A, ORIGEM!B:B)</f>
        <v>Bing</v>
      </c>
      <c r="F2145" t="str">
        <f>_xlfn.XLOOKUP(A2145, ORIGEM!A:A, ORIGEM!C:C)</f>
        <v>bing - cpc</v>
      </c>
      <c r="G2145" t="str">
        <f>_xlfn.XLOOKUP(A2145, LOCAL!A:A, LOCAL!B:B)</f>
        <v>Guarulhos - SP</v>
      </c>
      <c r="H2145" t="str">
        <f>_xlfn.XLOOKUP(A2145, PORTE!A:A, PORTE!B:B)</f>
        <v>1-10</v>
      </c>
      <c r="I2145" t="str">
        <f>_xlfn.XLOOKUP(A2145, OBJETIVO!A:A, OBJETIVO!B:B)</f>
        <v>Abertura/Expansão</v>
      </c>
      <c r="J2145">
        <f t="shared" si="33"/>
        <v>0</v>
      </c>
    </row>
    <row r="2146" spans="1:10" x14ac:dyDescent="0.25">
      <c r="A2146">
        <v>10719149</v>
      </c>
      <c r="B2146" s="1">
        <v>45640.632604166669</v>
      </c>
      <c r="C2146" t="s">
        <v>0</v>
      </c>
      <c r="D2146" t="str">
        <f>VLOOKUP(A2146,MERCADO!A:B,2,0)</f>
        <v>Varejo</v>
      </c>
      <c r="E2146" t="str">
        <f>_xlfn.XLOOKUP(A2146, ORIGEM!A:A, ORIGEM!B:B)</f>
        <v>Bing</v>
      </c>
      <c r="F2146" t="str">
        <f>_xlfn.XLOOKUP(A2146, ORIGEM!A:A, ORIGEM!C:C)</f>
        <v>bing - cpc</v>
      </c>
      <c r="G2146" t="str">
        <f>_xlfn.XLOOKUP(A2146, LOCAL!A:A, LOCAL!B:B)</f>
        <v>São Paulo - SP</v>
      </c>
      <c r="H2146" t="str">
        <f>_xlfn.XLOOKUP(A2146, PORTE!A:A, PORTE!B:B)</f>
        <v>0</v>
      </c>
      <c r="I2146" t="str">
        <f>_xlfn.XLOOKUP(A2146, OBJETIVO!A:A, OBJETIVO!B:B)</f>
        <v>Ações de marketing/vendas</v>
      </c>
      <c r="J2146">
        <f t="shared" si="33"/>
        <v>0</v>
      </c>
    </row>
    <row r="2147" spans="1:10" x14ac:dyDescent="0.25">
      <c r="A2147">
        <v>11231327</v>
      </c>
      <c r="B2147" s="1">
        <v>45691.370983796296</v>
      </c>
      <c r="C2147" t="s">
        <v>0</v>
      </c>
      <c r="D2147" t="str">
        <f>VLOOKUP(A2147,MERCADO!A:B,2,0)</f>
        <v>Varejo</v>
      </c>
      <c r="E2147" t="str">
        <f>_xlfn.XLOOKUP(A2147, ORIGEM!A:A, ORIGEM!B:B)</f>
        <v>Bing</v>
      </c>
      <c r="F2147" t="str">
        <f>_xlfn.XLOOKUP(A2147, ORIGEM!A:A, ORIGEM!C:C)</f>
        <v>bing - cpc</v>
      </c>
      <c r="G2147" t="str">
        <f>_xlfn.XLOOKUP(A2147, LOCAL!A:A, LOCAL!B:B)</f>
        <v>Caxias do Sul - RS</v>
      </c>
      <c r="H2147" t="str">
        <f>_xlfn.XLOOKUP(A2147, PORTE!A:A, PORTE!B:B)</f>
        <v>+ 1000</v>
      </c>
      <c r="I2147" t="str">
        <f>_xlfn.XLOOKUP(A2147, OBJETIVO!A:A, OBJETIVO!B:B)</f>
        <v>Planejamento estratégico</v>
      </c>
      <c r="J2147">
        <f t="shared" si="33"/>
        <v>0</v>
      </c>
    </row>
    <row r="2148" spans="1:10" x14ac:dyDescent="0.25">
      <c r="A2148">
        <v>11345584</v>
      </c>
      <c r="B2148" s="1">
        <v>45701.780914351853</v>
      </c>
      <c r="C2148" t="s">
        <v>0</v>
      </c>
      <c r="D2148" t="str">
        <f>VLOOKUP(A2148,MERCADO!A:B,2,0)</f>
        <v>Varejo</v>
      </c>
      <c r="E2148" t="str">
        <f>_xlfn.XLOOKUP(A2148, ORIGEM!A:A, ORIGEM!B:B)</f>
        <v>Bing</v>
      </c>
      <c r="F2148" t="str">
        <f>_xlfn.XLOOKUP(A2148, ORIGEM!A:A, ORIGEM!C:C)</f>
        <v>bing - cpc</v>
      </c>
      <c r="G2148" t="str">
        <f>_xlfn.XLOOKUP(A2148, LOCAL!A:A, LOCAL!B:B)</f>
        <v>Cotia - SP</v>
      </c>
      <c r="H2148" t="str">
        <f>_xlfn.XLOOKUP(A2148, PORTE!A:A, PORTE!B:B)</f>
        <v>0</v>
      </c>
      <c r="I2148" t="str">
        <f>_xlfn.XLOOKUP(A2148, OBJETIVO!A:A, OBJETIVO!B:B)</f>
        <v>Abertura/Expansão</v>
      </c>
      <c r="J2148">
        <f t="shared" si="33"/>
        <v>0</v>
      </c>
    </row>
    <row r="2149" spans="1:10" x14ac:dyDescent="0.25">
      <c r="A2149">
        <v>11857547</v>
      </c>
      <c r="B2149" s="1">
        <v>45750.513495370367</v>
      </c>
      <c r="C2149" t="s">
        <v>0</v>
      </c>
      <c r="D2149" t="str">
        <f>VLOOKUP(A2149,MERCADO!A:B,2,0)</f>
        <v>Varejo</v>
      </c>
      <c r="E2149" t="str">
        <f>_xlfn.XLOOKUP(A2149, ORIGEM!A:A, ORIGEM!B:B)</f>
        <v>Bing</v>
      </c>
      <c r="F2149" t="str">
        <f>_xlfn.XLOOKUP(A2149, ORIGEM!A:A, ORIGEM!C:C)</f>
        <v>bing - cpc</v>
      </c>
      <c r="G2149" t="str">
        <f>_xlfn.XLOOKUP(A2149, LOCAL!A:A, LOCAL!B:B)</f>
        <v>Edeia - GO</v>
      </c>
      <c r="H2149" t="str">
        <f>_xlfn.XLOOKUP(A2149, PORTE!A:A, PORTE!B:B)</f>
        <v>1-10</v>
      </c>
      <c r="I2149" t="str">
        <f>_xlfn.XLOOKUP(A2149, OBJETIVO!A:A, OBJETIVO!B:B)</f>
        <v>Geração de leads b2b</v>
      </c>
      <c r="J2149">
        <f t="shared" si="33"/>
        <v>0</v>
      </c>
    </row>
    <row r="2150" spans="1:10" x14ac:dyDescent="0.25">
      <c r="A2150">
        <v>11350108</v>
      </c>
      <c r="B2150" s="1">
        <v>45703.411157407405</v>
      </c>
      <c r="C2150" t="s">
        <v>0</v>
      </c>
      <c r="D2150" t="str">
        <f>VLOOKUP(A2150,MERCADO!A:B,2,0)</f>
        <v>Varejo</v>
      </c>
      <c r="E2150" t="str">
        <f>_xlfn.XLOOKUP(A2150, ORIGEM!A:A, ORIGEM!B:B)</f>
        <v>Instagram</v>
      </c>
      <c r="F2150" t="str">
        <f>_xlfn.XLOOKUP(A2150, ORIGEM!A:A, ORIGEM!C:C)</f>
        <v>instagram - social</v>
      </c>
      <c r="G2150" t="str">
        <f>_xlfn.XLOOKUP(A2150, LOCAL!A:A, LOCAL!B:B)</f>
        <v>Vargem Grande Paulista - SP</v>
      </c>
      <c r="H2150" t="str">
        <f>_xlfn.XLOOKUP(A2150, PORTE!A:A, PORTE!B:B)</f>
        <v>0</v>
      </c>
      <c r="I2150" t="str">
        <f>_xlfn.XLOOKUP(A2150, OBJETIVO!A:A, OBJETIVO!B:B)</f>
        <v>Outro</v>
      </c>
      <c r="J2150">
        <f t="shared" si="33"/>
        <v>0</v>
      </c>
    </row>
    <row r="2151" spans="1:10" x14ac:dyDescent="0.25">
      <c r="A2151">
        <v>11447315</v>
      </c>
      <c r="B2151" s="1">
        <v>45712.568657407406</v>
      </c>
      <c r="C2151" t="s">
        <v>0</v>
      </c>
      <c r="D2151" t="str">
        <f>VLOOKUP(A2151,MERCADO!A:B,2,0)</f>
        <v>Varejo</v>
      </c>
      <c r="E2151" t="str">
        <f>_xlfn.XLOOKUP(A2151, ORIGEM!A:A, ORIGEM!B:B)</f>
        <v>Google</v>
      </c>
      <c r="F2151" t="str">
        <f>_xlfn.XLOOKUP(A2151, ORIGEM!A:A, ORIGEM!C:C)</f>
        <v>google - cpc</v>
      </c>
      <c r="G2151" t="str">
        <f>_xlfn.XLOOKUP(A2151, LOCAL!A:A, LOCAL!B:B)</f>
        <v>Extremoz - RN</v>
      </c>
      <c r="H2151" t="str">
        <f>_xlfn.XLOOKUP(A2151, PORTE!A:A, PORTE!B:B)</f>
        <v>1-10</v>
      </c>
      <c r="I2151" t="str">
        <f>_xlfn.XLOOKUP(A2151, OBJETIVO!A:A, OBJETIVO!B:B)</f>
        <v>Ações de marketing/vendas</v>
      </c>
      <c r="J2151">
        <f t="shared" si="33"/>
        <v>0</v>
      </c>
    </row>
    <row r="2152" spans="1:10" x14ac:dyDescent="0.25">
      <c r="A2152">
        <v>11483931</v>
      </c>
      <c r="B2152" s="1">
        <v>45716.606087962966</v>
      </c>
      <c r="C2152" t="s">
        <v>0</v>
      </c>
      <c r="D2152" t="str">
        <f>VLOOKUP(A2152,MERCADO!A:B,2,0)</f>
        <v>Varejo</v>
      </c>
      <c r="E2152" t="str">
        <f>_xlfn.XLOOKUP(A2152, ORIGEM!A:A, ORIGEM!B:B)</f>
        <v>Google</v>
      </c>
      <c r="F2152" t="str">
        <f>_xlfn.XLOOKUP(A2152, ORIGEM!A:A, ORIGEM!C:C)</f>
        <v>google - cpc</v>
      </c>
      <c r="G2152" t="str">
        <f>_xlfn.XLOOKUP(A2152, LOCAL!A:A, LOCAL!B:B)</f>
        <v>Campo Grande - MS</v>
      </c>
      <c r="H2152" t="str">
        <f>_xlfn.XLOOKUP(A2152, PORTE!A:A, PORTE!B:B)</f>
        <v>1-10</v>
      </c>
      <c r="I2152" t="str">
        <f>_xlfn.XLOOKUP(A2152, OBJETIVO!A:A, OBJETIVO!B:B)</f>
        <v>Ações de marketing/vendas</v>
      </c>
      <c r="J2152">
        <f t="shared" si="33"/>
        <v>0</v>
      </c>
    </row>
    <row r="2153" spans="1:10" x14ac:dyDescent="0.25">
      <c r="A2153">
        <v>10816536</v>
      </c>
      <c r="B2153" s="1">
        <v>45651.880902777775</v>
      </c>
      <c r="C2153" t="s">
        <v>0</v>
      </c>
      <c r="D2153" t="str">
        <f>VLOOKUP(A2153,MERCADO!A:B,2,0)</f>
        <v>Varejo</v>
      </c>
      <c r="E2153" t="str">
        <f>_xlfn.XLOOKUP(A2153, ORIGEM!A:A, ORIGEM!B:B)</f>
        <v>Orgânico</v>
      </c>
      <c r="F2153">
        <f>_xlfn.XLOOKUP(A2153, ORIGEM!A:A, ORIGEM!C:C)</f>
        <v>0</v>
      </c>
      <c r="G2153" t="str">
        <f>_xlfn.XLOOKUP(A2153, LOCAL!A:A, LOCAL!B:B)</f>
        <v>Florianópolis - SC</v>
      </c>
      <c r="H2153" t="str">
        <f>_xlfn.XLOOKUP(A2153, PORTE!A:A, PORTE!B:B)</f>
        <v>0</v>
      </c>
      <c r="I2153" t="str">
        <f>_xlfn.XLOOKUP(A2153, OBJETIVO!A:A, OBJETIVO!B:B)</f>
        <v>Outro</v>
      </c>
      <c r="J2153">
        <f t="shared" si="33"/>
        <v>0</v>
      </c>
    </row>
    <row r="2154" spans="1:10" x14ac:dyDescent="0.25">
      <c r="A2154">
        <v>10868823</v>
      </c>
      <c r="B2154" s="1">
        <v>45661.766770833332</v>
      </c>
      <c r="C2154" t="s">
        <v>0</v>
      </c>
      <c r="D2154" t="str">
        <f>VLOOKUP(A2154,MERCADO!A:B,2,0)</f>
        <v>Varejo</v>
      </c>
      <c r="E2154" t="str">
        <f>_xlfn.XLOOKUP(A2154, ORIGEM!A:A, ORIGEM!B:B)</f>
        <v>Orgânico</v>
      </c>
      <c r="F2154">
        <f>_xlfn.XLOOKUP(A2154, ORIGEM!A:A, ORIGEM!C:C)</f>
        <v>0</v>
      </c>
      <c r="G2154" t="str">
        <f>_xlfn.XLOOKUP(A2154, LOCAL!A:A, LOCAL!B:B)</f>
        <v>Governador Valadares - MG</v>
      </c>
      <c r="H2154" t="str">
        <f>_xlfn.XLOOKUP(A2154, PORTE!A:A, PORTE!B:B)</f>
        <v>1-10</v>
      </c>
      <c r="I2154" t="str">
        <f>_xlfn.XLOOKUP(A2154, OBJETIVO!A:A, OBJETIVO!B:B)</f>
        <v>Abertura/Expansão</v>
      </c>
      <c r="J2154">
        <f t="shared" si="33"/>
        <v>0</v>
      </c>
    </row>
    <row r="2155" spans="1:10" x14ac:dyDescent="0.25">
      <c r="A2155">
        <v>10870501</v>
      </c>
      <c r="B2155" s="1">
        <v>45662.351180555554</v>
      </c>
      <c r="C2155" t="s">
        <v>0</v>
      </c>
      <c r="D2155" t="str">
        <f>VLOOKUP(A2155,MERCADO!A:B,2,0)</f>
        <v>Varejo</v>
      </c>
      <c r="E2155" t="str">
        <f>_xlfn.XLOOKUP(A2155, ORIGEM!A:A, ORIGEM!B:B)</f>
        <v>Orgânico</v>
      </c>
      <c r="F2155">
        <f>_xlfn.XLOOKUP(A2155, ORIGEM!A:A, ORIGEM!C:C)</f>
        <v>0</v>
      </c>
      <c r="G2155" t="str">
        <f>_xlfn.XLOOKUP(A2155, LOCAL!A:A, LOCAL!B:B)</f>
        <v>Belo Horizonte - MG</v>
      </c>
      <c r="H2155" t="str">
        <f>_xlfn.XLOOKUP(A2155, PORTE!A:A, PORTE!B:B)</f>
        <v>1-10</v>
      </c>
      <c r="I2155" t="str">
        <f>_xlfn.XLOOKUP(A2155, OBJETIVO!A:A, OBJETIVO!B:B)</f>
        <v>Outro</v>
      </c>
      <c r="J2155">
        <f t="shared" si="33"/>
        <v>0</v>
      </c>
    </row>
    <row r="2156" spans="1:10" x14ac:dyDescent="0.25">
      <c r="A2156">
        <v>10873254</v>
      </c>
      <c r="B2156" s="1">
        <v>45662.438472222224</v>
      </c>
      <c r="C2156" t="s">
        <v>0</v>
      </c>
      <c r="D2156" t="str">
        <f>VLOOKUP(A2156,MERCADO!A:B,2,0)</f>
        <v>Varejo</v>
      </c>
      <c r="E2156" t="str">
        <f>_xlfn.XLOOKUP(A2156, ORIGEM!A:A, ORIGEM!B:B)</f>
        <v>Orgânico</v>
      </c>
      <c r="F2156">
        <f>_xlfn.XLOOKUP(A2156, ORIGEM!A:A, ORIGEM!C:C)</f>
        <v>0</v>
      </c>
      <c r="G2156" t="str">
        <f>_xlfn.XLOOKUP(A2156, LOCAL!A:A, LOCAL!B:B)</f>
        <v>Campo Ere - SC</v>
      </c>
      <c r="H2156" t="str">
        <f>_xlfn.XLOOKUP(A2156, PORTE!A:A, PORTE!B:B)</f>
        <v>0</v>
      </c>
      <c r="I2156" t="str">
        <f>_xlfn.XLOOKUP(A2156, OBJETIVO!A:A, OBJETIVO!B:B)</f>
        <v>Outro</v>
      </c>
      <c r="J2156">
        <f t="shared" si="33"/>
        <v>0</v>
      </c>
    </row>
    <row r="2157" spans="1:10" x14ac:dyDescent="0.25">
      <c r="A2157">
        <v>10877455</v>
      </c>
      <c r="B2157" s="1">
        <v>45662.643055555556</v>
      </c>
      <c r="C2157" t="s">
        <v>0</v>
      </c>
      <c r="D2157" t="str">
        <f>VLOOKUP(A2157,MERCADO!A:B,2,0)</f>
        <v>Varejo</v>
      </c>
      <c r="E2157" t="str">
        <f>_xlfn.XLOOKUP(A2157, ORIGEM!A:A, ORIGEM!B:B)</f>
        <v>Orgânico</v>
      </c>
      <c r="F2157">
        <f>_xlfn.XLOOKUP(A2157, ORIGEM!A:A, ORIGEM!C:C)</f>
        <v>0</v>
      </c>
      <c r="G2157" t="str">
        <f>_xlfn.XLOOKUP(A2157, LOCAL!A:A, LOCAL!B:B)</f>
        <v>Patrocinio - MG</v>
      </c>
      <c r="H2157" t="str">
        <f>_xlfn.XLOOKUP(A2157, PORTE!A:A, PORTE!B:B)</f>
        <v>1-10</v>
      </c>
      <c r="I2157" t="str">
        <f>_xlfn.XLOOKUP(A2157, OBJETIVO!A:A, OBJETIVO!B:B)</f>
        <v>Outro</v>
      </c>
      <c r="J2157">
        <f t="shared" si="33"/>
        <v>0</v>
      </c>
    </row>
    <row r="2158" spans="1:10" x14ac:dyDescent="0.25">
      <c r="A2158">
        <v>10904333</v>
      </c>
      <c r="B2158" s="1">
        <v>45664.704756944448</v>
      </c>
      <c r="C2158" t="s">
        <v>0</v>
      </c>
      <c r="D2158" t="str">
        <f>VLOOKUP(A2158,MERCADO!A:B,2,0)</f>
        <v>Varejo</v>
      </c>
      <c r="E2158" t="str">
        <f>_xlfn.XLOOKUP(A2158, ORIGEM!A:A, ORIGEM!B:B)</f>
        <v>Orgânico</v>
      </c>
      <c r="F2158">
        <f>_xlfn.XLOOKUP(A2158, ORIGEM!A:A, ORIGEM!C:C)</f>
        <v>0</v>
      </c>
      <c r="G2158" t="str">
        <f>_xlfn.XLOOKUP(A2158, LOCAL!A:A, LOCAL!B:B)</f>
        <v>Feira de Santana - BA</v>
      </c>
      <c r="H2158" t="str">
        <f>_xlfn.XLOOKUP(A2158, PORTE!A:A, PORTE!B:B)</f>
        <v>1-10</v>
      </c>
      <c r="I2158" t="str">
        <f>_xlfn.XLOOKUP(A2158, OBJETIVO!A:A, OBJETIVO!B:B)</f>
        <v>Outro</v>
      </c>
      <c r="J2158">
        <f t="shared" si="33"/>
        <v>0</v>
      </c>
    </row>
    <row r="2159" spans="1:10" x14ac:dyDescent="0.25">
      <c r="A2159">
        <v>10704139</v>
      </c>
      <c r="B2159" s="1">
        <v>45638.861608796295</v>
      </c>
      <c r="C2159" t="s">
        <v>0</v>
      </c>
      <c r="D2159" t="str">
        <f>VLOOKUP(A2159,MERCADO!A:B,2,0)</f>
        <v>Varejo</v>
      </c>
      <c r="E2159" t="str">
        <f>_xlfn.XLOOKUP(A2159, ORIGEM!A:A, ORIGEM!B:B)</f>
        <v>Orgânico</v>
      </c>
      <c r="F2159">
        <f>_xlfn.XLOOKUP(A2159, ORIGEM!A:A, ORIGEM!C:C)</f>
        <v>0</v>
      </c>
      <c r="G2159" t="str">
        <f>_xlfn.XLOOKUP(A2159, LOCAL!A:A, LOCAL!B:B)</f>
        <v>Campinas - SP</v>
      </c>
      <c r="H2159" t="str">
        <f>_xlfn.XLOOKUP(A2159, PORTE!A:A, PORTE!B:B)</f>
        <v>0</v>
      </c>
      <c r="I2159" t="str">
        <f>_xlfn.XLOOKUP(A2159, OBJETIVO!A:A, OBJETIVO!B:B)</f>
        <v>Outro</v>
      </c>
      <c r="J2159">
        <f t="shared" si="33"/>
        <v>0</v>
      </c>
    </row>
    <row r="2160" spans="1:10" x14ac:dyDescent="0.25">
      <c r="A2160">
        <v>10894240</v>
      </c>
      <c r="B2160" s="1">
        <v>45664.094965277778</v>
      </c>
      <c r="C2160" t="s">
        <v>0</v>
      </c>
      <c r="D2160" t="str">
        <f>VLOOKUP(A2160,MERCADO!A:B,2,0)</f>
        <v>Varejo</v>
      </c>
      <c r="E2160" t="str">
        <f>_xlfn.XLOOKUP(A2160, ORIGEM!A:A, ORIGEM!B:B)</f>
        <v>Orgânico</v>
      </c>
      <c r="F2160">
        <f>_xlfn.XLOOKUP(A2160, ORIGEM!A:A, ORIGEM!C:C)</f>
        <v>0</v>
      </c>
      <c r="G2160" t="str">
        <f>_xlfn.XLOOKUP(A2160, LOCAL!A:A, LOCAL!B:B)</f>
        <v>Aracaju - SE</v>
      </c>
      <c r="H2160" t="str">
        <f>_xlfn.XLOOKUP(A2160, PORTE!A:A, PORTE!B:B)</f>
        <v>0</v>
      </c>
      <c r="I2160" t="str">
        <f>_xlfn.XLOOKUP(A2160, OBJETIVO!A:A, OBJETIVO!B:B)</f>
        <v>Outro</v>
      </c>
      <c r="J2160">
        <f t="shared" si="33"/>
        <v>0</v>
      </c>
    </row>
    <row r="2161" spans="1:10" x14ac:dyDescent="0.25">
      <c r="A2161">
        <v>10881268</v>
      </c>
      <c r="B2161" s="1">
        <v>45662.867731481485</v>
      </c>
      <c r="C2161" t="s">
        <v>0</v>
      </c>
      <c r="D2161" t="str">
        <f>VLOOKUP(A2161,MERCADO!A:B,2,0)</f>
        <v>Varejo</v>
      </c>
      <c r="E2161" t="str">
        <f>_xlfn.XLOOKUP(A2161, ORIGEM!A:A, ORIGEM!B:B)</f>
        <v>Orgânico</v>
      </c>
      <c r="F2161">
        <f>_xlfn.XLOOKUP(A2161, ORIGEM!A:A, ORIGEM!C:C)</f>
        <v>0</v>
      </c>
      <c r="G2161" t="str">
        <f>_xlfn.XLOOKUP(A2161, LOCAL!A:A, LOCAL!B:B)</f>
        <v>Tamboré - SP</v>
      </c>
      <c r="H2161" t="str">
        <f>_xlfn.XLOOKUP(A2161, PORTE!A:A, PORTE!B:B)</f>
        <v>1-10</v>
      </c>
      <c r="I2161" t="str">
        <f>_xlfn.XLOOKUP(A2161, OBJETIVO!A:A, OBJETIVO!B:B)</f>
        <v>Outro</v>
      </c>
      <c r="J2161">
        <f t="shared" si="33"/>
        <v>0</v>
      </c>
    </row>
    <row r="2162" spans="1:10" x14ac:dyDescent="0.25">
      <c r="A2162">
        <v>10825193</v>
      </c>
      <c r="B2162" s="1">
        <v>45654.685277777775</v>
      </c>
      <c r="C2162" t="s">
        <v>0</v>
      </c>
      <c r="D2162" t="str">
        <f>VLOOKUP(A2162,MERCADO!A:B,2,0)</f>
        <v>Varejo</v>
      </c>
      <c r="E2162" t="str">
        <f>_xlfn.XLOOKUP(A2162, ORIGEM!A:A, ORIGEM!B:B)</f>
        <v>Orgânico</v>
      </c>
      <c r="F2162">
        <f>_xlfn.XLOOKUP(A2162, ORIGEM!A:A, ORIGEM!C:C)</f>
        <v>0</v>
      </c>
      <c r="G2162" t="str">
        <f>_xlfn.XLOOKUP(A2162, LOCAL!A:A, LOCAL!B:B)</f>
        <v>Fortaleza - CE</v>
      </c>
      <c r="H2162" t="str">
        <f>_xlfn.XLOOKUP(A2162, PORTE!A:A, PORTE!B:B)</f>
        <v>0</v>
      </c>
      <c r="I2162" t="str">
        <f>_xlfn.XLOOKUP(A2162, OBJETIVO!A:A, OBJETIVO!B:B)</f>
        <v>Outro</v>
      </c>
      <c r="J2162">
        <f t="shared" si="33"/>
        <v>0</v>
      </c>
    </row>
    <row r="2163" spans="1:10" x14ac:dyDescent="0.25">
      <c r="A2163">
        <v>10847542</v>
      </c>
      <c r="B2163" s="1">
        <v>45657.483749999999</v>
      </c>
      <c r="C2163" t="s">
        <v>0</v>
      </c>
      <c r="D2163" t="str">
        <f>VLOOKUP(A2163,MERCADO!A:B,2,0)</f>
        <v>Varejo</v>
      </c>
      <c r="E2163" t="str">
        <f>_xlfn.XLOOKUP(A2163, ORIGEM!A:A, ORIGEM!B:B)</f>
        <v>Orgânico</v>
      </c>
      <c r="F2163">
        <f>_xlfn.XLOOKUP(A2163, ORIGEM!A:A, ORIGEM!C:C)</f>
        <v>0</v>
      </c>
      <c r="G2163" t="str">
        <f>_xlfn.XLOOKUP(A2163, LOCAL!A:A, LOCAL!B:B)</f>
        <v>Manaus - AM</v>
      </c>
      <c r="H2163" t="str">
        <f>_xlfn.XLOOKUP(A2163, PORTE!A:A, PORTE!B:B)</f>
        <v>1-10</v>
      </c>
      <c r="I2163" t="str">
        <f>_xlfn.XLOOKUP(A2163, OBJETIVO!A:A, OBJETIVO!B:B)</f>
        <v>Outro</v>
      </c>
      <c r="J2163">
        <f t="shared" si="33"/>
        <v>0</v>
      </c>
    </row>
    <row r="2164" spans="1:10" x14ac:dyDescent="0.25">
      <c r="A2164">
        <v>10613309</v>
      </c>
      <c r="B2164" s="1">
        <v>45630.425902777781</v>
      </c>
      <c r="C2164" t="s">
        <v>0</v>
      </c>
      <c r="D2164" t="str">
        <f>VLOOKUP(A2164,MERCADO!A:B,2,0)</f>
        <v>Varejo</v>
      </c>
      <c r="E2164" t="str">
        <f>_xlfn.XLOOKUP(A2164, ORIGEM!A:A, ORIGEM!B:B)</f>
        <v>Orgânico</v>
      </c>
      <c r="F2164">
        <f>_xlfn.XLOOKUP(A2164, ORIGEM!A:A, ORIGEM!C:C)</f>
        <v>0</v>
      </c>
      <c r="G2164" t="str">
        <f>_xlfn.XLOOKUP(A2164, LOCAL!A:A, LOCAL!B:B)</f>
        <v>Iguatu - CE</v>
      </c>
      <c r="H2164" t="str">
        <f>_xlfn.XLOOKUP(A2164, PORTE!A:A, PORTE!B:B)</f>
        <v>11-50</v>
      </c>
      <c r="I2164" t="str">
        <f>_xlfn.XLOOKUP(A2164, OBJETIVO!A:A, OBJETIVO!B:B)</f>
        <v>Abertura/Expansão</v>
      </c>
      <c r="J2164">
        <f t="shared" si="33"/>
        <v>0</v>
      </c>
    </row>
    <row r="2165" spans="1:10" x14ac:dyDescent="0.25">
      <c r="A2165">
        <v>10796614</v>
      </c>
      <c r="B2165" s="1">
        <v>45648.422500000001</v>
      </c>
      <c r="C2165" t="s">
        <v>0</v>
      </c>
      <c r="D2165" t="str">
        <f>VLOOKUP(A2165,MERCADO!A:B,2,0)</f>
        <v>Varejo</v>
      </c>
      <c r="E2165" t="str">
        <f>_xlfn.XLOOKUP(A2165, ORIGEM!A:A, ORIGEM!B:B)</f>
        <v>Orgânico</v>
      </c>
      <c r="F2165">
        <f>_xlfn.XLOOKUP(A2165, ORIGEM!A:A, ORIGEM!C:C)</f>
        <v>0</v>
      </c>
      <c r="G2165" t="str">
        <f>_xlfn.XLOOKUP(A2165, LOCAL!A:A, LOCAL!B:B)</f>
        <v>Aparecida de Goiania - GO</v>
      </c>
      <c r="H2165" t="str">
        <f>_xlfn.XLOOKUP(A2165, PORTE!A:A, PORTE!B:B)</f>
        <v>0</v>
      </c>
      <c r="I2165" t="str">
        <f>_xlfn.XLOOKUP(A2165, OBJETIVO!A:A, OBJETIVO!B:B)</f>
        <v>Outro</v>
      </c>
      <c r="J2165">
        <f t="shared" si="33"/>
        <v>0</v>
      </c>
    </row>
    <row r="2166" spans="1:10" x14ac:dyDescent="0.25">
      <c r="A2166">
        <v>10801540</v>
      </c>
      <c r="B2166" s="1">
        <v>45648.667013888888</v>
      </c>
      <c r="C2166" t="s">
        <v>0</v>
      </c>
      <c r="D2166" t="str">
        <f>VLOOKUP(A2166,MERCADO!A:B,2,0)</f>
        <v>Varejo</v>
      </c>
      <c r="E2166" t="str">
        <f>_xlfn.XLOOKUP(A2166, ORIGEM!A:A, ORIGEM!B:B)</f>
        <v>Orgânico</v>
      </c>
      <c r="F2166">
        <f>_xlfn.XLOOKUP(A2166, ORIGEM!A:A, ORIGEM!C:C)</f>
        <v>0</v>
      </c>
      <c r="G2166" t="str">
        <f>_xlfn.XLOOKUP(A2166, LOCAL!A:A, LOCAL!B:B)</f>
        <v>Búzios - RJ</v>
      </c>
      <c r="H2166" t="str">
        <f>_xlfn.XLOOKUP(A2166, PORTE!A:A, PORTE!B:B)</f>
        <v>0</v>
      </c>
      <c r="I2166" t="str">
        <f>_xlfn.XLOOKUP(A2166, OBJETIVO!A:A, OBJETIVO!B:B)</f>
        <v>Outro</v>
      </c>
      <c r="J2166">
        <f t="shared" si="33"/>
        <v>0</v>
      </c>
    </row>
    <row r="2167" spans="1:10" x14ac:dyDescent="0.25">
      <c r="A2167">
        <v>11461304</v>
      </c>
      <c r="B2167" s="1">
        <v>45713.599432870367</v>
      </c>
      <c r="C2167" t="s">
        <v>0</v>
      </c>
      <c r="D2167" t="str">
        <f>VLOOKUP(A2167,MERCADO!A:B,2,0)</f>
        <v>Varejo</v>
      </c>
      <c r="E2167" t="str">
        <f>_xlfn.XLOOKUP(A2167, ORIGEM!A:A, ORIGEM!B:B)</f>
        <v>Orgânico</v>
      </c>
      <c r="F2167">
        <f>_xlfn.XLOOKUP(A2167, ORIGEM!A:A, ORIGEM!C:C)</f>
        <v>0</v>
      </c>
      <c r="G2167" t="str">
        <f>_xlfn.XLOOKUP(A2167, LOCAL!A:A, LOCAL!B:B)</f>
        <v>São Paulo - SP</v>
      </c>
      <c r="H2167" t="str">
        <f>_xlfn.XLOOKUP(A2167, PORTE!A:A, PORTE!B:B)</f>
        <v>11-50</v>
      </c>
      <c r="I2167" t="str">
        <f>_xlfn.XLOOKUP(A2167, OBJETIVO!A:A, OBJETIVO!B:B)</f>
        <v>Abertura/Expansão</v>
      </c>
      <c r="J2167">
        <f t="shared" si="33"/>
        <v>0</v>
      </c>
    </row>
    <row r="2168" spans="1:10" x14ac:dyDescent="0.25">
      <c r="A2168">
        <v>11095212</v>
      </c>
      <c r="B2168" s="1">
        <v>45681.587638888886</v>
      </c>
      <c r="C2168" t="s">
        <v>0</v>
      </c>
      <c r="D2168" t="str">
        <f>VLOOKUP(A2168,MERCADO!A:B,2,0)</f>
        <v>Varejo</v>
      </c>
      <c r="E2168" t="str">
        <f>_xlfn.XLOOKUP(A2168, ORIGEM!A:A, ORIGEM!B:B)</f>
        <v>Orgânico</v>
      </c>
      <c r="F2168">
        <f>_xlfn.XLOOKUP(A2168, ORIGEM!A:A, ORIGEM!C:C)</f>
        <v>0</v>
      </c>
      <c r="G2168" t="str">
        <f>_xlfn.XLOOKUP(A2168, LOCAL!A:A, LOCAL!B:B)</f>
        <v>Teresina - PI</v>
      </c>
      <c r="H2168" t="str">
        <f>_xlfn.XLOOKUP(A2168, PORTE!A:A, PORTE!B:B)</f>
        <v>1-10</v>
      </c>
      <c r="I2168" t="str">
        <f>_xlfn.XLOOKUP(A2168, OBJETIVO!A:A, OBJETIVO!B:B)</f>
        <v>Abertura/Expansão</v>
      </c>
      <c r="J2168">
        <f t="shared" si="33"/>
        <v>0</v>
      </c>
    </row>
    <row r="2169" spans="1:10" x14ac:dyDescent="0.25">
      <c r="A2169">
        <v>11090607</v>
      </c>
      <c r="B2169" s="1">
        <v>45679.836643518516</v>
      </c>
      <c r="C2169" t="s">
        <v>0</v>
      </c>
      <c r="D2169" t="str">
        <f>VLOOKUP(A2169,MERCADO!A:B,2,0)</f>
        <v>Varejo</v>
      </c>
      <c r="E2169" t="str">
        <f>_xlfn.XLOOKUP(A2169, ORIGEM!A:A, ORIGEM!B:B)</f>
        <v>Orgânico</v>
      </c>
      <c r="F2169">
        <f>_xlfn.XLOOKUP(A2169, ORIGEM!A:A, ORIGEM!C:C)</f>
        <v>0</v>
      </c>
      <c r="G2169" t="str">
        <f>_xlfn.XLOOKUP(A2169, LOCAL!A:A, LOCAL!B:B)</f>
        <v>Goiânia - GO</v>
      </c>
      <c r="H2169" t="str">
        <f>_xlfn.XLOOKUP(A2169, PORTE!A:A, PORTE!B:B)</f>
        <v>1-10</v>
      </c>
      <c r="I2169" t="str">
        <f>_xlfn.XLOOKUP(A2169, OBJETIVO!A:A, OBJETIVO!B:B)</f>
        <v>Abertura/Expansão</v>
      </c>
      <c r="J2169">
        <f t="shared" si="33"/>
        <v>0</v>
      </c>
    </row>
    <row r="2170" spans="1:10" x14ac:dyDescent="0.25">
      <c r="A2170">
        <v>10971582</v>
      </c>
      <c r="B2170" s="1">
        <v>45671.121412037035</v>
      </c>
      <c r="C2170" t="s">
        <v>0</v>
      </c>
      <c r="D2170" t="str">
        <f>VLOOKUP(A2170,MERCADO!A:B,2,0)</f>
        <v>Varejo</v>
      </c>
      <c r="E2170" t="str">
        <f>_xlfn.XLOOKUP(A2170, ORIGEM!A:A, ORIGEM!B:B)</f>
        <v>Orgânico</v>
      </c>
      <c r="F2170">
        <f>_xlfn.XLOOKUP(A2170, ORIGEM!A:A, ORIGEM!C:C)</f>
        <v>0</v>
      </c>
      <c r="G2170" t="str">
        <f>_xlfn.XLOOKUP(A2170, LOCAL!A:A, LOCAL!B:B)</f>
        <v>Jundiaí - SP</v>
      </c>
      <c r="H2170" t="str">
        <f>_xlfn.XLOOKUP(A2170, PORTE!A:A, PORTE!B:B)</f>
        <v>0</v>
      </c>
      <c r="I2170" t="str">
        <f>_xlfn.XLOOKUP(A2170, OBJETIVO!A:A, OBJETIVO!B:B)</f>
        <v>Outro</v>
      </c>
      <c r="J2170">
        <f t="shared" si="33"/>
        <v>0</v>
      </c>
    </row>
    <row r="2171" spans="1:10" x14ac:dyDescent="0.25">
      <c r="A2171">
        <v>11072933</v>
      </c>
      <c r="B2171" s="1">
        <v>45678.65861111111</v>
      </c>
      <c r="C2171" t="s">
        <v>0</v>
      </c>
      <c r="D2171" t="str">
        <f>VLOOKUP(A2171,MERCADO!A:B,2,0)</f>
        <v>Varejo</v>
      </c>
      <c r="E2171" t="str">
        <f>_xlfn.XLOOKUP(A2171, ORIGEM!A:A, ORIGEM!B:B)</f>
        <v>Orgânico</v>
      </c>
      <c r="F2171">
        <f>_xlfn.XLOOKUP(A2171, ORIGEM!A:A, ORIGEM!C:C)</f>
        <v>0</v>
      </c>
      <c r="G2171" t="str">
        <f>_xlfn.XLOOKUP(A2171, LOCAL!A:A, LOCAL!B:B)</f>
        <v>Porto União - SC</v>
      </c>
      <c r="H2171" t="str">
        <f>_xlfn.XLOOKUP(A2171, PORTE!A:A, PORTE!B:B)</f>
        <v>1-10</v>
      </c>
      <c r="I2171" t="str">
        <f>_xlfn.XLOOKUP(A2171, OBJETIVO!A:A, OBJETIVO!B:B)</f>
        <v>Abertura/Expansão</v>
      </c>
      <c r="J2171">
        <f t="shared" si="33"/>
        <v>0</v>
      </c>
    </row>
    <row r="2172" spans="1:10" x14ac:dyDescent="0.25">
      <c r="A2172">
        <v>11038381</v>
      </c>
      <c r="B2172" s="1">
        <v>45676.580057870371</v>
      </c>
      <c r="C2172" t="s">
        <v>0</v>
      </c>
      <c r="D2172" t="str">
        <f>VLOOKUP(A2172,MERCADO!A:B,2,0)</f>
        <v>Varejo</v>
      </c>
      <c r="E2172" t="str">
        <f>_xlfn.XLOOKUP(A2172, ORIGEM!A:A, ORIGEM!B:B)</f>
        <v>Orgânico</v>
      </c>
      <c r="F2172">
        <f>_xlfn.XLOOKUP(A2172, ORIGEM!A:A, ORIGEM!C:C)</f>
        <v>0</v>
      </c>
      <c r="G2172" t="str">
        <f>_xlfn.XLOOKUP(A2172, LOCAL!A:A, LOCAL!B:B)</f>
        <v>Rio Pardo - RS</v>
      </c>
      <c r="H2172" t="str">
        <f>_xlfn.XLOOKUP(A2172, PORTE!A:A, PORTE!B:B)</f>
        <v>0</v>
      </c>
      <c r="I2172" t="str">
        <f>_xlfn.XLOOKUP(A2172, OBJETIVO!A:A, OBJETIVO!B:B)</f>
        <v>Outro</v>
      </c>
      <c r="J2172">
        <f t="shared" si="33"/>
        <v>0</v>
      </c>
    </row>
    <row r="2173" spans="1:10" x14ac:dyDescent="0.25">
      <c r="A2173">
        <v>11280537</v>
      </c>
      <c r="B2173" s="1">
        <v>45696.535034722219</v>
      </c>
      <c r="C2173" t="s">
        <v>0</v>
      </c>
      <c r="D2173" t="str">
        <f>VLOOKUP(A2173,MERCADO!A:B,2,0)</f>
        <v>Varejo</v>
      </c>
      <c r="E2173" t="str">
        <f>_xlfn.XLOOKUP(A2173, ORIGEM!A:A, ORIGEM!B:B)</f>
        <v>Orgânico</v>
      </c>
      <c r="F2173">
        <f>_xlfn.XLOOKUP(A2173, ORIGEM!A:A, ORIGEM!C:C)</f>
        <v>0</v>
      </c>
      <c r="G2173" t="str">
        <f>_xlfn.XLOOKUP(A2173, LOCAL!A:A, LOCAL!B:B)</f>
        <v>Arapiraca - AL</v>
      </c>
      <c r="H2173" t="str">
        <f>_xlfn.XLOOKUP(A2173, PORTE!A:A, PORTE!B:B)</f>
        <v>0</v>
      </c>
      <c r="I2173" t="str">
        <f>_xlfn.XLOOKUP(A2173, OBJETIVO!A:A, OBJETIVO!B:B)</f>
        <v>Outro</v>
      </c>
      <c r="J2173">
        <f t="shared" si="33"/>
        <v>0</v>
      </c>
    </row>
    <row r="2174" spans="1:10" x14ac:dyDescent="0.25">
      <c r="A2174">
        <v>11346500</v>
      </c>
      <c r="B2174" s="1">
        <v>45702.357754629629</v>
      </c>
      <c r="C2174" t="s">
        <v>0</v>
      </c>
      <c r="D2174" t="str">
        <f>VLOOKUP(A2174,MERCADO!A:B,2,0)</f>
        <v>Varejo</v>
      </c>
      <c r="E2174" t="str">
        <f>_xlfn.XLOOKUP(A2174, ORIGEM!A:A, ORIGEM!B:B)</f>
        <v>Orgânico</v>
      </c>
      <c r="F2174">
        <f>_xlfn.XLOOKUP(A2174, ORIGEM!A:A, ORIGEM!C:C)</f>
        <v>0</v>
      </c>
      <c r="G2174" t="str">
        <f>_xlfn.XLOOKUP(A2174, LOCAL!A:A, LOCAL!B:B)</f>
        <v>Rio Branco - AC</v>
      </c>
      <c r="H2174" t="str">
        <f>_xlfn.XLOOKUP(A2174, PORTE!A:A, PORTE!B:B)</f>
        <v>1-10</v>
      </c>
      <c r="I2174" t="str">
        <f>_xlfn.XLOOKUP(A2174, OBJETIVO!A:A, OBJETIVO!B:B)</f>
        <v>Abertura/Expansão</v>
      </c>
      <c r="J2174">
        <f t="shared" si="33"/>
        <v>0</v>
      </c>
    </row>
    <row r="2175" spans="1:10" x14ac:dyDescent="0.25">
      <c r="A2175">
        <v>11360269</v>
      </c>
      <c r="B2175" s="1">
        <v>45704.382337962961</v>
      </c>
      <c r="C2175" t="s">
        <v>0</v>
      </c>
      <c r="D2175" t="str">
        <f>VLOOKUP(A2175,MERCADO!A:B,2,0)</f>
        <v>Varejo</v>
      </c>
      <c r="E2175" t="str">
        <f>_xlfn.XLOOKUP(A2175, ORIGEM!A:A, ORIGEM!B:B)</f>
        <v>Orgânico</v>
      </c>
      <c r="F2175">
        <f>_xlfn.XLOOKUP(A2175, ORIGEM!A:A, ORIGEM!C:C)</f>
        <v>0</v>
      </c>
      <c r="G2175" t="str">
        <f>_xlfn.XLOOKUP(A2175, LOCAL!A:A, LOCAL!B:B)</f>
        <v>Salvador - BA</v>
      </c>
      <c r="H2175" t="str">
        <f>_xlfn.XLOOKUP(A2175, PORTE!A:A, PORTE!B:B)</f>
        <v>1-10</v>
      </c>
      <c r="I2175" t="str">
        <f>_xlfn.XLOOKUP(A2175, OBJETIVO!A:A, OBJETIVO!B:B)</f>
        <v>Abertura/Expansão</v>
      </c>
      <c r="J2175">
        <f t="shared" si="33"/>
        <v>0</v>
      </c>
    </row>
    <row r="2176" spans="1:10" x14ac:dyDescent="0.25">
      <c r="A2176">
        <v>11368045</v>
      </c>
      <c r="B2176" s="1">
        <v>45704.650856481479</v>
      </c>
      <c r="C2176" t="s">
        <v>0</v>
      </c>
      <c r="D2176" t="str">
        <f>VLOOKUP(A2176,MERCADO!A:B,2,0)</f>
        <v>Varejo</v>
      </c>
      <c r="E2176" t="str">
        <f>_xlfn.XLOOKUP(A2176, ORIGEM!A:A, ORIGEM!B:B)</f>
        <v>Orgânico</v>
      </c>
      <c r="F2176">
        <f>_xlfn.XLOOKUP(A2176, ORIGEM!A:A, ORIGEM!C:C)</f>
        <v>0</v>
      </c>
      <c r="G2176" t="str">
        <f>_xlfn.XLOOKUP(A2176, LOCAL!A:A, LOCAL!B:B)</f>
        <v>Pitangueiras - SP</v>
      </c>
      <c r="H2176" t="str">
        <f>_xlfn.XLOOKUP(A2176, PORTE!A:A, PORTE!B:B)</f>
        <v>11-50</v>
      </c>
      <c r="I2176" t="str">
        <f>_xlfn.XLOOKUP(A2176, OBJETIVO!A:A, OBJETIVO!B:B)</f>
        <v>Ações de marketing/vendas</v>
      </c>
      <c r="J2176">
        <f t="shared" si="33"/>
        <v>0</v>
      </c>
    </row>
    <row r="2177" spans="1:10" x14ac:dyDescent="0.25">
      <c r="A2177">
        <v>11380279</v>
      </c>
      <c r="B2177" s="1">
        <v>45705.698611111111</v>
      </c>
      <c r="C2177" t="s">
        <v>0</v>
      </c>
      <c r="D2177" t="str">
        <f>VLOOKUP(A2177,MERCADO!A:B,2,0)</f>
        <v>Varejo</v>
      </c>
      <c r="E2177" t="str">
        <f>_xlfn.XLOOKUP(A2177, ORIGEM!A:A, ORIGEM!B:B)</f>
        <v>Orgânico</v>
      </c>
      <c r="F2177">
        <f>_xlfn.XLOOKUP(A2177, ORIGEM!A:A, ORIGEM!C:C)</f>
        <v>0</v>
      </c>
      <c r="G2177" t="str">
        <f>_xlfn.XLOOKUP(A2177, LOCAL!A:A, LOCAL!B:B)</f>
        <v>Ribeirão Preto - SP</v>
      </c>
      <c r="H2177" t="str">
        <f>_xlfn.XLOOKUP(A2177, PORTE!A:A, PORTE!B:B)</f>
        <v>1-10</v>
      </c>
      <c r="I2177" t="str">
        <f>_xlfn.XLOOKUP(A2177, OBJETIVO!A:A, OBJETIVO!B:B)</f>
        <v>Geração de leads b2b</v>
      </c>
      <c r="J2177">
        <f t="shared" si="33"/>
        <v>0</v>
      </c>
    </row>
    <row r="2178" spans="1:10" x14ac:dyDescent="0.25">
      <c r="A2178">
        <v>11403007</v>
      </c>
      <c r="B2178" s="1">
        <v>45707.643425925926</v>
      </c>
      <c r="C2178" t="s">
        <v>0</v>
      </c>
      <c r="D2178" t="str">
        <f>VLOOKUP(A2178,MERCADO!A:B,2,0)</f>
        <v>Varejo</v>
      </c>
      <c r="E2178" t="str">
        <f>_xlfn.XLOOKUP(A2178, ORIGEM!A:A, ORIGEM!B:B)</f>
        <v>Orgânico</v>
      </c>
      <c r="F2178">
        <f>_xlfn.XLOOKUP(A2178, ORIGEM!A:A, ORIGEM!C:C)</f>
        <v>0</v>
      </c>
      <c r="G2178" t="str">
        <f>_xlfn.XLOOKUP(A2178, LOCAL!A:A, LOCAL!B:B)</f>
        <v>-</v>
      </c>
      <c r="H2178" t="str">
        <f>_xlfn.XLOOKUP(A2178, PORTE!A:A, PORTE!B:B)</f>
        <v>0</v>
      </c>
      <c r="I2178" t="str">
        <f>_xlfn.XLOOKUP(A2178, OBJETIVO!A:A, OBJETIVO!B:B)</f>
        <v>Abertura/Expansão</v>
      </c>
      <c r="J2178">
        <f t="shared" si="33"/>
        <v>0</v>
      </c>
    </row>
    <row r="2179" spans="1:10" x14ac:dyDescent="0.25">
      <c r="A2179">
        <v>11405328</v>
      </c>
      <c r="B2179" s="1">
        <v>45707.790439814817</v>
      </c>
      <c r="C2179" t="s">
        <v>0</v>
      </c>
      <c r="D2179" t="str">
        <f>VLOOKUP(A2179,MERCADO!A:B,2,0)</f>
        <v>Varejo</v>
      </c>
      <c r="E2179" t="str">
        <f>_xlfn.XLOOKUP(A2179, ORIGEM!A:A, ORIGEM!B:B)</f>
        <v>Orgânico</v>
      </c>
      <c r="F2179">
        <f>_xlfn.XLOOKUP(A2179, ORIGEM!A:A, ORIGEM!C:C)</f>
        <v>0</v>
      </c>
      <c r="G2179" t="str">
        <f>_xlfn.XLOOKUP(A2179, LOCAL!A:A, LOCAL!B:B)</f>
        <v>São Paulo - SP</v>
      </c>
      <c r="H2179" t="str">
        <f>_xlfn.XLOOKUP(A2179, PORTE!A:A, PORTE!B:B)</f>
        <v>0</v>
      </c>
      <c r="I2179" t="str">
        <f>_xlfn.XLOOKUP(A2179, OBJETIVO!A:A, OBJETIVO!B:B)</f>
        <v>Outro</v>
      </c>
      <c r="J2179">
        <f t="shared" ref="J2179:J2242" si="34">IF(C2179="SIM",1,0)</f>
        <v>0</v>
      </c>
    </row>
    <row r="2180" spans="1:10" x14ac:dyDescent="0.25">
      <c r="A2180">
        <v>11518450</v>
      </c>
      <c r="B2180" s="1">
        <v>45719.513229166667</v>
      </c>
      <c r="C2180" t="s">
        <v>0</v>
      </c>
      <c r="D2180" t="str">
        <f>VLOOKUP(A2180,MERCADO!A:B,2,0)</f>
        <v>Varejo</v>
      </c>
      <c r="E2180" t="str">
        <f>_xlfn.XLOOKUP(A2180, ORIGEM!A:A, ORIGEM!B:B)</f>
        <v>Orgânico</v>
      </c>
      <c r="F2180">
        <f>_xlfn.XLOOKUP(A2180, ORIGEM!A:A, ORIGEM!C:C)</f>
        <v>0</v>
      </c>
      <c r="G2180" t="str">
        <f>_xlfn.XLOOKUP(A2180, LOCAL!A:A, LOCAL!B:B)</f>
        <v>São Paulo - SP</v>
      </c>
      <c r="H2180" t="str">
        <f>_xlfn.XLOOKUP(A2180, PORTE!A:A, PORTE!B:B)</f>
        <v>1-10</v>
      </c>
      <c r="I2180" t="str">
        <f>_xlfn.XLOOKUP(A2180, OBJETIVO!A:A, OBJETIVO!B:B)</f>
        <v>Abertura/Expansão</v>
      </c>
      <c r="J2180">
        <f t="shared" si="34"/>
        <v>0</v>
      </c>
    </row>
    <row r="2181" spans="1:10" x14ac:dyDescent="0.25">
      <c r="A2181">
        <v>11123950</v>
      </c>
      <c r="B2181" s="1">
        <v>45683.674270833333</v>
      </c>
      <c r="C2181" t="s">
        <v>0</v>
      </c>
      <c r="D2181" t="str">
        <f>VLOOKUP(A2181,MERCADO!A:B,2,0)</f>
        <v>Varejo</v>
      </c>
      <c r="E2181" t="str">
        <f>_xlfn.XLOOKUP(A2181, ORIGEM!A:A, ORIGEM!B:B)</f>
        <v>Orgânico</v>
      </c>
      <c r="F2181">
        <f>_xlfn.XLOOKUP(A2181, ORIGEM!A:A, ORIGEM!C:C)</f>
        <v>0</v>
      </c>
      <c r="G2181" t="str">
        <f>_xlfn.XLOOKUP(A2181, LOCAL!A:A, LOCAL!B:B)</f>
        <v>São Paulo - SP</v>
      </c>
      <c r="H2181" t="str">
        <f>_xlfn.XLOOKUP(A2181, PORTE!A:A, PORTE!B:B)</f>
        <v>1-10</v>
      </c>
      <c r="I2181" t="str">
        <f>_xlfn.XLOOKUP(A2181, OBJETIVO!A:A, OBJETIVO!B:B)</f>
        <v>Abertura/Expansão</v>
      </c>
      <c r="J2181">
        <f t="shared" si="34"/>
        <v>0</v>
      </c>
    </row>
    <row r="2182" spans="1:10" x14ac:dyDescent="0.25">
      <c r="A2182">
        <v>11124460</v>
      </c>
      <c r="B2182" s="1">
        <v>45683.700810185182</v>
      </c>
      <c r="C2182" t="s">
        <v>0</v>
      </c>
      <c r="D2182" t="str">
        <f>VLOOKUP(A2182,MERCADO!A:B,2,0)</f>
        <v>Varejo</v>
      </c>
      <c r="E2182" t="str">
        <f>_xlfn.XLOOKUP(A2182, ORIGEM!A:A, ORIGEM!B:B)</f>
        <v>Orgânico</v>
      </c>
      <c r="F2182">
        <f>_xlfn.XLOOKUP(A2182, ORIGEM!A:A, ORIGEM!C:C)</f>
        <v>0</v>
      </c>
      <c r="G2182" t="str">
        <f>_xlfn.XLOOKUP(A2182, LOCAL!A:A, LOCAL!B:B)</f>
        <v>Rio de Janeiro - RJ</v>
      </c>
      <c r="H2182" t="str">
        <f>_xlfn.XLOOKUP(A2182, PORTE!A:A, PORTE!B:B)</f>
        <v>11-50</v>
      </c>
      <c r="I2182" t="str">
        <f>_xlfn.XLOOKUP(A2182, OBJETIVO!A:A, OBJETIVO!B:B)</f>
        <v>Outro</v>
      </c>
      <c r="J2182">
        <f t="shared" si="34"/>
        <v>0</v>
      </c>
    </row>
    <row r="2183" spans="1:10" x14ac:dyDescent="0.25">
      <c r="A2183">
        <v>11132858</v>
      </c>
      <c r="B2183" s="1">
        <v>45684.493032407408</v>
      </c>
      <c r="C2183" t="s">
        <v>0</v>
      </c>
      <c r="D2183" t="str">
        <f>VLOOKUP(A2183,MERCADO!A:B,2,0)</f>
        <v>Varejo</v>
      </c>
      <c r="E2183" t="str">
        <f>_xlfn.XLOOKUP(A2183, ORIGEM!A:A, ORIGEM!B:B)</f>
        <v>Orgânico</v>
      </c>
      <c r="F2183">
        <f>_xlfn.XLOOKUP(A2183, ORIGEM!A:A, ORIGEM!C:C)</f>
        <v>0</v>
      </c>
      <c r="G2183" t="str">
        <f>_xlfn.XLOOKUP(A2183, LOCAL!A:A, LOCAL!B:B)</f>
        <v>Butia - RS</v>
      </c>
      <c r="H2183" t="str">
        <f>_xlfn.XLOOKUP(A2183, PORTE!A:A, PORTE!B:B)</f>
        <v>1-10</v>
      </c>
      <c r="I2183" t="str">
        <f>_xlfn.XLOOKUP(A2183, OBJETIVO!A:A, OBJETIVO!B:B)</f>
        <v>Abertura/Expansão</v>
      </c>
      <c r="J2183">
        <f t="shared" si="34"/>
        <v>0</v>
      </c>
    </row>
    <row r="2184" spans="1:10" x14ac:dyDescent="0.25">
      <c r="A2184">
        <v>11058280</v>
      </c>
      <c r="B2184" s="1">
        <v>45677.634305555555</v>
      </c>
      <c r="C2184" t="s">
        <v>0</v>
      </c>
      <c r="D2184" t="str">
        <f>VLOOKUP(A2184,MERCADO!A:B,2,0)</f>
        <v>Varejo</v>
      </c>
      <c r="E2184" t="str">
        <f>_xlfn.XLOOKUP(A2184, ORIGEM!A:A, ORIGEM!B:B)</f>
        <v>Orgânico</v>
      </c>
      <c r="F2184">
        <f>_xlfn.XLOOKUP(A2184, ORIGEM!A:A, ORIGEM!C:C)</f>
        <v>0</v>
      </c>
      <c r="G2184" t="str">
        <f>_xlfn.XLOOKUP(A2184, LOCAL!A:A, LOCAL!B:B)</f>
        <v>Fortaleza - CE</v>
      </c>
      <c r="H2184" t="str">
        <f>_xlfn.XLOOKUP(A2184, PORTE!A:A, PORTE!B:B)</f>
        <v>1-10</v>
      </c>
      <c r="I2184" t="str">
        <f>_xlfn.XLOOKUP(A2184, OBJETIVO!A:A, OBJETIVO!B:B)</f>
        <v>Outro</v>
      </c>
      <c r="J2184">
        <f t="shared" si="34"/>
        <v>0</v>
      </c>
    </row>
    <row r="2185" spans="1:10" x14ac:dyDescent="0.25">
      <c r="A2185">
        <v>10962990</v>
      </c>
      <c r="B2185" s="1">
        <v>45670.575439814813</v>
      </c>
      <c r="C2185" t="s">
        <v>0</v>
      </c>
      <c r="D2185" t="str">
        <f>VLOOKUP(A2185,MERCADO!A:B,2,0)</f>
        <v>Varejo</v>
      </c>
      <c r="E2185" t="str">
        <f>_xlfn.XLOOKUP(A2185, ORIGEM!A:A, ORIGEM!B:B)</f>
        <v>Orgânico</v>
      </c>
      <c r="F2185">
        <f>_xlfn.XLOOKUP(A2185, ORIGEM!A:A, ORIGEM!C:C)</f>
        <v>0</v>
      </c>
      <c r="G2185" t="str">
        <f>_xlfn.XLOOKUP(A2185, LOCAL!A:A, LOCAL!B:B)</f>
        <v>Conceicao do Jacuipe - BA</v>
      </c>
      <c r="H2185" t="str">
        <f>_xlfn.XLOOKUP(A2185, PORTE!A:A, PORTE!B:B)</f>
        <v>0</v>
      </c>
      <c r="I2185" t="str">
        <f>_xlfn.XLOOKUP(A2185, OBJETIVO!A:A, OBJETIVO!B:B)</f>
        <v>Outro</v>
      </c>
      <c r="J2185">
        <f t="shared" si="34"/>
        <v>0</v>
      </c>
    </row>
    <row r="2186" spans="1:10" x14ac:dyDescent="0.25">
      <c r="A2186">
        <v>10955391</v>
      </c>
      <c r="B2186" s="1">
        <v>45670.235821759263</v>
      </c>
      <c r="C2186" t="s">
        <v>0</v>
      </c>
      <c r="D2186" t="str">
        <f>VLOOKUP(A2186,MERCADO!A:B,2,0)</f>
        <v>Varejo</v>
      </c>
      <c r="E2186" t="str">
        <f>_xlfn.XLOOKUP(A2186, ORIGEM!A:A, ORIGEM!B:B)</f>
        <v>Orgânico</v>
      </c>
      <c r="F2186">
        <f>_xlfn.XLOOKUP(A2186, ORIGEM!A:A, ORIGEM!C:C)</f>
        <v>0</v>
      </c>
      <c r="G2186" t="str">
        <f>_xlfn.XLOOKUP(A2186, LOCAL!A:A, LOCAL!B:B)</f>
        <v>Campo Belo - MG</v>
      </c>
      <c r="H2186" t="str">
        <f>_xlfn.XLOOKUP(A2186, PORTE!A:A, PORTE!B:B)</f>
        <v>1-10</v>
      </c>
      <c r="I2186" t="str">
        <f>_xlfn.XLOOKUP(A2186, OBJETIVO!A:A, OBJETIVO!B:B)</f>
        <v>Abertura/Expansão</v>
      </c>
      <c r="J2186">
        <f t="shared" si="34"/>
        <v>0</v>
      </c>
    </row>
    <row r="2187" spans="1:10" x14ac:dyDescent="0.25">
      <c r="A2187">
        <v>10954406</v>
      </c>
      <c r="B2187" s="1">
        <v>45669.805081018516</v>
      </c>
      <c r="C2187" t="s">
        <v>0</v>
      </c>
      <c r="D2187" t="str">
        <f>VLOOKUP(A2187,MERCADO!A:B,2,0)</f>
        <v>Varejo</v>
      </c>
      <c r="E2187" t="str">
        <f>_xlfn.XLOOKUP(A2187, ORIGEM!A:A, ORIGEM!B:B)</f>
        <v>Orgânico</v>
      </c>
      <c r="F2187">
        <f>_xlfn.XLOOKUP(A2187, ORIGEM!A:A, ORIGEM!C:C)</f>
        <v>0</v>
      </c>
      <c r="G2187" t="str">
        <f>_xlfn.XLOOKUP(A2187, LOCAL!A:A, LOCAL!B:B)</f>
        <v>Papagaios - MG</v>
      </c>
      <c r="H2187" t="str">
        <f>_xlfn.XLOOKUP(A2187, PORTE!A:A, PORTE!B:B)</f>
        <v>0</v>
      </c>
      <c r="I2187" t="str">
        <f>_xlfn.XLOOKUP(A2187, OBJETIVO!A:A, OBJETIVO!B:B)</f>
        <v>Outro</v>
      </c>
      <c r="J2187">
        <f t="shared" si="34"/>
        <v>0</v>
      </c>
    </row>
    <row r="2188" spans="1:10" x14ac:dyDescent="0.25">
      <c r="A2188">
        <v>11013051</v>
      </c>
      <c r="B2188" s="1">
        <v>45674.916446759256</v>
      </c>
      <c r="C2188" t="s">
        <v>0</v>
      </c>
      <c r="D2188" t="str">
        <f>VLOOKUP(A2188,MERCADO!A:B,2,0)</f>
        <v>Varejo</v>
      </c>
      <c r="E2188" t="str">
        <f>_xlfn.XLOOKUP(A2188, ORIGEM!A:A, ORIGEM!B:B)</f>
        <v>Orgânico</v>
      </c>
      <c r="F2188">
        <f>_xlfn.XLOOKUP(A2188, ORIGEM!A:A, ORIGEM!C:C)</f>
        <v>0</v>
      </c>
      <c r="G2188" t="str">
        <f>_xlfn.XLOOKUP(A2188, LOCAL!A:A, LOCAL!B:B)</f>
        <v>Manaus - AM</v>
      </c>
      <c r="H2188" t="str">
        <f>_xlfn.XLOOKUP(A2188, PORTE!A:A, PORTE!B:B)</f>
        <v>0</v>
      </c>
      <c r="I2188" t="str">
        <f>_xlfn.XLOOKUP(A2188, OBJETIVO!A:A, OBJETIVO!B:B)</f>
        <v>Consultoria</v>
      </c>
      <c r="J2188">
        <f t="shared" si="34"/>
        <v>0</v>
      </c>
    </row>
    <row r="2189" spans="1:10" x14ac:dyDescent="0.25">
      <c r="A2189">
        <v>10930723</v>
      </c>
      <c r="B2189" s="1">
        <v>45668.487025462964</v>
      </c>
      <c r="C2189" t="s">
        <v>0</v>
      </c>
      <c r="D2189" t="str">
        <f>VLOOKUP(A2189,MERCADO!A:B,2,0)</f>
        <v>Varejo</v>
      </c>
      <c r="E2189" t="str">
        <f>_xlfn.XLOOKUP(A2189, ORIGEM!A:A, ORIGEM!B:B)</f>
        <v>Orgânico</v>
      </c>
      <c r="F2189">
        <f>_xlfn.XLOOKUP(A2189, ORIGEM!A:A, ORIGEM!C:C)</f>
        <v>0</v>
      </c>
      <c r="G2189" t="str">
        <f>_xlfn.XLOOKUP(A2189, LOCAL!A:A, LOCAL!B:B)</f>
        <v>Teresina - PI</v>
      </c>
      <c r="H2189" t="str">
        <f>_xlfn.XLOOKUP(A2189, PORTE!A:A, PORTE!B:B)</f>
        <v>1-10</v>
      </c>
      <c r="I2189" t="str">
        <f>_xlfn.XLOOKUP(A2189, OBJETIVO!A:A, OBJETIVO!B:B)</f>
        <v>Abertura/Expansão</v>
      </c>
      <c r="J2189">
        <f t="shared" si="34"/>
        <v>0</v>
      </c>
    </row>
    <row r="2190" spans="1:10" x14ac:dyDescent="0.25">
      <c r="A2190">
        <v>10922736</v>
      </c>
      <c r="B2190" s="1">
        <v>45667.543217592596</v>
      </c>
      <c r="C2190" t="s">
        <v>0</v>
      </c>
      <c r="D2190" t="str">
        <f>VLOOKUP(A2190,MERCADO!A:B,2,0)</f>
        <v>Varejo</v>
      </c>
      <c r="E2190" t="str">
        <f>_xlfn.XLOOKUP(A2190, ORIGEM!A:A, ORIGEM!B:B)</f>
        <v>Orgânico</v>
      </c>
      <c r="F2190">
        <f>_xlfn.XLOOKUP(A2190, ORIGEM!A:A, ORIGEM!C:C)</f>
        <v>0</v>
      </c>
      <c r="G2190" t="str">
        <f>_xlfn.XLOOKUP(A2190, LOCAL!A:A, LOCAL!B:B)</f>
        <v>Ribeirão Preto - SP</v>
      </c>
      <c r="H2190" t="str">
        <f>_xlfn.XLOOKUP(A2190, PORTE!A:A, PORTE!B:B)</f>
        <v>51-300</v>
      </c>
      <c r="I2190" t="str">
        <f>_xlfn.XLOOKUP(A2190, OBJETIVO!A:A, OBJETIVO!B:B)</f>
        <v>Outro</v>
      </c>
      <c r="J2190">
        <f t="shared" si="34"/>
        <v>0</v>
      </c>
    </row>
    <row r="2191" spans="1:10" x14ac:dyDescent="0.25">
      <c r="A2191">
        <v>10831529</v>
      </c>
      <c r="B2191" s="1">
        <v>45655.6</v>
      </c>
      <c r="C2191" t="s">
        <v>0</v>
      </c>
      <c r="D2191" t="str">
        <f>VLOOKUP(A2191,MERCADO!A:B,2,0)</f>
        <v>Varejo</v>
      </c>
      <c r="E2191" t="str">
        <f>_xlfn.XLOOKUP(A2191, ORIGEM!A:A, ORIGEM!B:B)</f>
        <v>Google</v>
      </c>
      <c r="F2191" t="str">
        <f>_xlfn.XLOOKUP(A2191, ORIGEM!A:A, ORIGEM!C:C)</f>
        <v>google - cpc</v>
      </c>
      <c r="G2191" t="str">
        <f>_xlfn.XLOOKUP(A2191, LOCAL!A:A, LOCAL!B:B)</f>
        <v>Ibate - SP</v>
      </c>
      <c r="H2191" t="str">
        <f>_xlfn.XLOOKUP(A2191, PORTE!A:A, PORTE!B:B)</f>
        <v>1-10</v>
      </c>
      <c r="I2191" t="str">
        <f>_xlfn.XLOOKUP(A2191, OBJETIVO!A:A, OBJETIVO!B:B)</f>
        <v>Geração de leads b2b</v>
      </c>
      <c r="J2191">
        <f t="shared" si="34"/>
        <v>0</v>
      </c>
    </row>
    <row r="2192" spans="1:10" x14ac:dyDescent="0.25">
      <c r="A2192">
        <v>10849506</v>
      </c>
      <c r="B2192" s="1">
        <v>45658.844270833331</v>
      </c>
      <c r="C2192" t="s">
        <v>0</v>
      </c>
      <c r="D2192" t="str">
        <f>VLOOKUP(A2192,MERCADO!A:B,2,0)</f>
        <v>Varejo</v>
      </c>
      <c r="E2192" t="str">
        <f>_xlfn.XLOOKUP(A2192, ORIGEM!A:A, ORIGEM!B:B)</f>
        <v>Google</v>
      </c>
      <c r="F2192" t="str">
        <f>_xlfn.XLOOKUP(A2192, ORIGEM!A:A, ORIGEM!C:C)</f>
        <v>google - cpc</v>
      </c>
      <c r="G2192" t="str">
        <f>_xlfn.XLOOKUP(A2192, LOCAL!A:A, LOCAL!B:B)</f>
        <v>Rio de Janeiro - RJ</v>
      </c>
      <c r="H2192" t="str">
        <f>_xlfn.XLOOKUP(A2192, PORTE!A:A, PORTE!B:B)</f>
        <v>1-10</v>
      </c>
      <c r="I2192" t="str">
        <f>_xlfn.XLOOKUP(A2192, OBJETIVO!A:A, OBJETIVO!B:B)</f>
        <v>Abertura/Expansão</v>
      </c>
      <c r="J2192">
        <f t="shared" si="34"/>
        <v>0</v>
      </c>
    </row>
    <row r="2193" spans="1:10" x14ac:dyDescent="0.25">
      <c r="A2193">
        <v>10899716</v>
      </c>
      <c r="B2193" s="1">
        <v>45664.492395833331</v>
      </c>
      <c r="C2193" t="s">
        <v>0</v>
      </c>
      <c r="D2193" t="str">
        <f>VLOOKUP(A2193,MERCADO!A:B,2,0)</f>
        <v>Varejo</v>
      </c>
      <c r="E2193" t="str">
        <f>_xlfn.XLOOKUP(A2193, ORIGEM!A:A, ORIGEM!B:B)</f>
        <v>Google</v>
      </c>
      <c r="F2193" t="str">
        <f>_xlfn.XLOOKUP(A2193, ORIGEM!A:A, ORIGEM!C:C)</f>
        <v>google - cpc</v>
      </c>
      <c r="G2193" t="str">
        <f>_xlfn.XLOOKUP(A2193, LOCAL!A:A, LOCAL!B:B)</f>
        <v>Ipatinga - MG</v>
      </c>
      <c r="H2193" t="str">
        <f>_xlfn.XLOOKUP(A2193, PORTE!A:A, PORTE!B:B)</f>
        <v>1-10</v>
      </c>
      <c r="I2193" t="str">
        <f>_xlfn.XLOOKUP(A2193, OBJETIVO!A:A, OBJETIVO!B:B)</f>
        <v>Abertura/Expansão</v>
      </c>
      <c r="J2193">
        <f t="shared" si="34"/>
        <v>0</v>
      </c>
    </row>
    <row r="2194" spans="1:10" x14ac:dyDescent="0.25">
      <c r="A2194">
        <v>10934165</v>
      </c>
      <c r="B2194" s="1">
        <v>45668.608263888891</v>
      </c>
      <c r="C2194" t="s">
        <v>0</v>
      </c>
      <c r="D2194" t="str">
        <f>VLOOKUP(A2194,MERCADO!A:B,2,0)</f>
        <v>Varejo</v>
      </c>
      <c r="E2194" t="str">
        <f>_xlfn.XLOOKUP(A2194, ORIGEM!A:A, ORIGEM!B:B)</f>
        <v>Google</v>
      </c>
      <c r="F2194" t="str">
        <f>_xlfn.XLOOKUP(A2194, ORIGEM!A:A, ORIGEM!C:C)</f>
        <v>google - cpc</v>
      </c>
      <c r="G2194" t="str">
        <f>_xlfn.XLOOKUP(A2194, LOCAL!A:A, LOCAL!B:B)</f>
        <v>Pelotas - RS</v>
      </c>
      <c r="H2194" t="str">
        <f>_xlfn.XLOOKUP(A2194, PORTE!A:A, PORTE!B:B)</f>
        <v>+ 1000</v>
      </c>
      <c r="I2194" t="str">
        <f>_xlfn.XLOOKUP(A2194, OBJETIVO!A:A, OBJETIVO!B:B)</f>
        <v>Planejamento estratégico</v>
      </c>
      <c r="J2194">
        <f t="shared" si="34"/>
        <v>0</v>
      </c>
    </row>
    <row r="2195" spans="1:10" x14ac:dyDescent="0.25">
      <c r="A2195">
        <v>10923734</v>
      </c>
      <c r="B2195" s="1">
        <v>45667.896817129629</v>
      </c>
      <c r="C2195" t="s">
        <v>0</v>
      </c>
      <c r="D2195" t="str">
        <f>VLOOKUP(A2195,MERCADO!A:B,2,0)</f>
        <v>Varejo</v>
      </c>
      <c r="E2195" t="str">
        <f>_xlfn.XLOOKUP(A2195, ORIGEM!A:A, ORIGEM!B:B)</f>
        <v>Google</v>
      </c>
      <c r="F2195" t="str">
        <f>_xlfn.XLOOKUP(A2195, ORIGEM!A:A, ORIGEM!C:C)</f>
        <v>google - cpc</v>
      </c>
      <c r="G2195" t="str">
        <f>_xlfn.XLOOKUP(A2195, LOCAL!A:A, LOCAL!B:B)</f>
        <v>Florianópolis - SC</v>
      </c>
      <c r="H2195" t="str">
        <f>_xlfn.XLOOKUP(A2195, PORTE!A:A, PORTE!B:B)</f>
        <v>1-10</v>
      </c>
      <c r="I2195" t="str">
        <f>_xlfn.XLOOKUP(A2195, OBJETIVO!A:A, OBJETIVO!B:B)</f>
        <v>Ações de marketing/vendas</v>
      </c>
      <c r="J2195">
        <f t="shared" si="34"/>
        <v>0</v>
      </c>
    </row>
    <row r="2196" spans="1:10" x14ac:dyDescent="0.25">
      <c r="A2196">
        <v>10933472</v>
      </c>
      <c r="B2196" s="1">
        <v>45668.59165509259</v>
      </c>
      <c r="C2196" t="s">
        <v>0</v>
      </c>
      <c r="D2196" t="str">
        <f>VLOOKUP(A2196,MERCADO!A:B,2,0)</f>
        <v>Varejo</v>
      </c>
      <c r="E2196" t="str">
        <f>_xlfn.XLOOKUP(A2196, ORIGEM!A:A, ORIGEM!B:B)</f>
        <v>Google</v>
      </c>
      <c r="F2196" t="str">
        <f>_xlfn.XLOOKUP(A2196, ORIGEM!A:A, ORIGEM!C:C)</f>
        <v>google - cpc</v>
      </c>
      <c r="G2196" t="str">
        <f>_xlfn.XLOOKUP(A2196, LOCAL!A:A, LOCAL!B:B)</f>
        <v>Londrina - PR</v>
      </c>
      <c r="H2196" t="str">
        <f>_xlfn.XLOOKUP(A2196, PORTE!A:A, PORTE!B:B)</f>
        <v>0</v>
      </c>
      <c r="I2196" t="str">
        <f>_xlfn.XLOOKUP(A2196, OBJETIVO!A:A, OBJETIVO!B:B)</f>
        <v>Outro</v>
      </c>
      <c r="J2196">
        <f t="shared" si="34"/>
        <v>0</v>
      </c>
    </row>
    <row r="2197" spans="1:10" x14ac:dyDescent="0.25">
      <c r="A2197">
        <v>10915370</v>
      </c>
      <c r="B2197" s="1">
        <v>45665.598263888889</v>
      </c>
      <c r="C2197" t="s">
        <v>0</v>
      </c>
      <c r="D2197" t="str">
        <f>VLOOKUP(A2197,MERCADO!A:B,2,0)</f>
        <v>Varejo</v>
      </c>
      <c r="E2197" t="str">
        <f>_xlfn.XLOOKUP(A2197, ORIGEM!A:A, ORIGEM!B:B)</f>
        <v>Google</v>
      </c>
      <c r="F2197" t="str">
        <f>_xlfn.XLOOKUP(A2197, ORIGEM!A:A, ORIGEM!C:C)</f>
        <v>google - cpc</v>
      </c>
      <c r="G2197" t="str">
        <f>_xlfn.XLOOKUP(A2197, LOCAL!A:A, LOCAL!B:B)</f>
        <v>São Paulo - SP</v>
      </c>
      <c r="H2197" t="str">
        <f>_xlfn.XLOOKUP(A2197, PORTE!A:A, PORTE!B:B)</f>
        <v>0</v>
      </c>
      <c r="I2197" t="str">
        <f>_xlfn.XLOOKUP(A2197, OBJETIVO!A:A, OBJETIVO!B:B)</f>
        <v>Abertura/Expansão</v>
      </c>
      <c r="J2197">
        <f t="shared" si="34"/>
        <v>0</v>
      </c>
    </row>
    <row r="2198" spans="1:10" x14ac:dyDescent="0.25">
      <c r="A2198">
        <v>10903742</v>
      </c>
      <c r="B2198" s="1">
        <v>45664.673831018517</v>
      </c>
      <c r="C2198" t="s">
        <v>0</v>
      </c>
      <c r="D2198" t="str">
        <f>VLOOKUP(A2198,MERCADO!A:B,2,0)</f>
        <v>Varejo</v>
      </c>
      <c r="E2198" t="str">
        <f>_xlfn.XLOOKUP(A2198, ORIGEM!A:A, ORIGEM!B:B)</f>
        <v>Google</v>
      </c>
      <c r="F2198" t="str">
        <f>_xlfn.XLOOKUP(A2198, ORIGEM!A:A, ORIGEM!C:C)</f>
        <v>google - cpc</v>
      </c>
      <c r="G2198" t="str">
        <f>_xlfn.XLOOKUP(A2198, LOCAL!A:A, LOCAL!B:B)</f>
        <v>Feira de Santana - BA</v>
      </c>
      <c r="H2198" t="str">
        <f>_xlfn.XLOOKUP(A2198, PORTE!A:A, PORTE!B:B)</f>
        <v>1-10</v>
      </c>
      <c r="I2198" t="str">
        <f>_xlfn.XLOOKUP(A2198, OBJETIVO!A:A, OBJETIVO!B:B)</f>
        <v>Abertura/Expansão</v>
      </c>
      <c r="J2198">
        <f t="shared" si="34"/>
        <v>0</v>
      </c>
    </row>
    <row r="2199" spans="1:10" x14ac:dyDescent="0.25">
      <c r="A2199">
        <v>10912162</v>
      </c>
      <c r="B2199" s="1">
        <v>45665.497546296298</v>
      </c>
      <c r="C2199" t="s">
        <v>0</v>
      </c>
      <c r="D2199" t="str">
        <f>VLOOKUP(A2199,MERCADO!A:B,2,0)</f>
        <v>Varejo</v>
      </c>
      <c r="E2199" t="str">
        <f>_xlfn.XLOOKUP(A2199, ORIGEM!A:A, ORIGEM!B:B)</f>
        <v>Google</v>
      </c>
      <c r="F2199" t="str">
        <f>_xlfn.XLOOKUP(A2199, ORIGEM!A:A, ORIGEM!C:C)</f>
        <v>google - cpc</v>
      </c>
      <c r="G2199" t="str">
        <f>_xlfn.XLOOKUP(A2199, LOCAL!A:A, LOCAL!B:B)</f>
        <v>Sabara - MG</v>
      </c>
      <c r="H2199" t="str">
        <f>_xlfn.XLOOKUP(A2199, PORTE!A:A, PORTE!B:B)</f>
        <v>1-10</v>
      </c>
      <c r="I2199" t="str">
        <f>_xlfn.XLOOKUP(A2199, OBJETIVO!A:A, OBJETIVO!B:B)</f>
        <v>Ações de marketing/vendas</v>
      </c>
      <c r="J2199">
        <f t="shared" si="34"/>
        <v>0</v>
      </c>
    </row>
    <row r="2200" spans="1:10" x14ac:dyDescent="0.25">
      <c r="A2200">
        <v>10912241</v>
      </c>
      <c r="B2200" s="1">
        <v>45665.500775462962</v>
      </c>
      <c r="C2200" t="s">
        <v>0</v>
      </c>
      <c r="D2200" t="str">
        <f>VLOOKUP(A2200,MERCADO!A:B,2,0)</f>
        <v>Varejo</v>
      </c>
      <c r="E2200" t="str">
        <f>_xlfn.XLOOKUP(A2200, ORIGEM!A:A, ORIGEM!B:B)</f>
        <v>Google</v>
      </c>
      <c r="F2200" t="str">
        <f>_xlfn.XLOOKUP(A2200, ORIGEM!A:A, ORIGEM!C:C)</f>
        <v>google - cpc</v>
      </c>
      <c r="G2200" t="str">
        <f>_xlfn.XLOOKUP(A2200, LOCAL!A:A, LOCAL!B:B)</f>
        <v>Sabara - MG</v>
      </c>
      <c r="H2200" t="str">
        <f>_xlfn.XLOOKUP(A2200, PORTE!A:A, PORTE!B:B)</f>
        <v>1-10</v>
      </c>
      <c r="I2200" t="str">
        <f>_xlfn.XLOOKUP(A2200, OBJETIVO!A:A, OBJETIVO!B:B)</f>
        <v>Ações de marketing/vendas</v>
      </c>
      <c r="J2200">
        <f t="shared" si="34"/>
        <v>0</v>
      </c>
    </row>
    <row r="2201" spans="1:10" x14ac:dyDescent="0.25">
      <c r="A2201">
        <v>11719927</v>
      </c>
      <c r="B2201" s="1">
        <v>45738.619872685187</v>
      </c>
      <c r="C2201" t="s">
        <v>0</v>
      </c>
      <c r="D2201" t="str">
        <f>VLOOKUP(A2201,MERCADO!A:B,2,0)</f>
        <v>Varejo</v>
      </c>
      <c r="E2201" t="str">
        <f>_xlfn.XLOOKUP(A2201, ORIGEM!A:A, ORIGEM!B:B)</f>
        <v>Orgânico</v>
      </c>
      <c r="F2201">
        <f>_xlfn.XLOOKUP(A2201, ORIGEM!A:A, ORIGEM!C:C)</f>
        <v>0</v>
      </c>
      <c r="G2201" t="str">
        <f>_xlfn.XLOOKUP(A2201, LOCAL!A:A, LOCAL!B:B)</f>
        <v>Belém - PA</v>
      </c>
      <c r="H2201" t="str">
        <f>_xlfn.XLOOKUP(A2201, PORTE!A:A, PORTE!B:B)</f>
        <v>1-10</v>
      </c>
      <c r="I2201" t="str">
        <f>_xlfn.XLOOKUP(A2201, OBJETIVO!A:A, OBJETIVO!B:B)</f>
        <v>Planejamento estratégico</v>
      </c>
      <c r="J2201">
        <f t="shared" si="34"/>
        <v>0</v>
      </c>
    </row>
    <row r="2202" spans="1:10" x14ac:dyDescent="0.25">
      <c r="A2202">
        <v>11746608</v>
      </c>
      <c r="B2202" s="1">
        <v>45740.597511574073</v>
      </c>
      <c r="C2202" t="s">
        <v>0</v>
      </c>
      <c r="D2202" t="str">
        <f>VLOOKUP(A2202,MERCADO!A:B,2,0)</f>
        <v>Varejo</v>
      </c>
      <c r="E2202" t="str">
        <f>_xlfn.XLOOKUP(A2202, ORIGEM!A:A, ORIGEM!B:B)</f>
        <v>Orgânico</v>
      </c>
      <c r="F2202">
        <f>_xlfn.XLOOKUP(A2202, ORIGEM!A:A, ORIGEM!C:C)</f>
        <v>0</v>
      </c>
      <c r="G2202" t="str">
        <f>_xlfn.XLOOKUP(A2202, LOCAL!A:A, LOCAL!B:B)</f>
        <v>Nova Iguaçu - RJ</v>
      </c>
      <c r="H2202" t="str">
        <f>_xlfn.XLOOKUP(A2202, PORTE!A:A, PORTE!B:B)</f>
        <v>0</v>
      </c>
      <c r="I2202" t="str">
        <f>_xlfn.XLOOKUP(A2202, OBJETIVO!A:A, OBJETIVO!B:B)</f>
        <v>Outro</v>
      </c>
      <c r="J2202">
        <f t="shared" si="34"/>
        <v>0</v>
      </c>
    </row>
    <row r="2203" spans="1:10" x14ac:dyDescent="0.25">
      <c r="A2203">
        <v>11587874</v>
      </c>
      <c r="B2203" s="1">
        <v>45725.633240740739</v>
      </c>
      <c r="C2203" t="s">
        <v>0</v>
      </c>
      <c r="D2203" t="str">
        <f>VLOOKUP(A2203,MERCADO!A:B,2,0)</f>
        <v>Varejo</v>
      </c>
      <c r="E2203" t="str">
        <f>_xlfn.XLOOKUP(A2203, ORIGEM!A:A, ORIGEM!B:B)</f>
        <v>Orgânico</v>
      </c>
      <c r="F2203">
        <f>_xlfn.XLOOKUP(A2203, ORIGEM!A:A, ORIGEM!C:C)</f>
        <v>0</v>
      </c>
      <c r="G2203" t="str">
        <f>_xlfn.XLOOKUP(A2203, LOCAL!A:A, LOCAL!B:B)</f>
        <v>Nova Iguaçu - RJ</v>
      </c>
      <c r="H2203" t="str">
        <f>_xlfn.XLOOKUP(A2203, PORTE!A:A, PORTE!B:B)</f>
        <v>0</v>
      </c>
      <c r="I2203" t="str">
        <f>_xlfn.XLOOKUP(A2203, OBJETIVO!A:A, OBJETIVO!B:B)</f>
        <v>Outro</v>
      </c>
      <c r="J2203">
        <f t="shared" si="34"/>
        <v>0</v>
      </c>
    </row>
    <row r="2204" spans="1:10" x14ac:dyDescent="0.25">
      <c r="A2204">
        <v>11686506</v>
      </c>
      <c r="B2204" s="1">
        <v>45734.494143518517</v>
      </c>
      <c r="C2204" t="s">
        <v>0</v>
      </c>
      <c r="D2204" t="str">
        <f>VLOOKUP(A2204,MERCADO!A:B,2,0)</f>
        <v>Varejo</v>
      </c>
      <c r="E2204" t="str">
        <f>_xlfn.XLOOKUP(A2204, ORIGEM!A:A, ORIGEM!B:B)</f>
        <v>Orgânico</v>
      </c>
      <c r="F2204">
        <f>_xlfn.XLOOKUP(A2204, ORIGEM!A:A, ORIGEM!C:C)</f>
        <v>0</v>
      </c>
      <c r="G2204" t="str">
        <f>_xlfn.XLOOKUP(A2204, LOCAL!A:A, LOCAL!B:B)</f>
        <v>Niterói - RJ</v>
      </c>
      <c r="H2204" t="str">
        <f>_xlfn.XLOOKUP(A2204, PORTE!A:A, PORTE!B:B)</f>
        <v>0</v>
      </c>
      <c r="I2204" t="str">
        <f>_xlfn.XLOOKUP(A2204, OBJETIVO!A:A, OBJETIVO!B:B)</f>
        <v>Outro</v>
      </c>
      <c r="J2204">
        <f t="shared" si="34"/>
        <v>0</v>
      </c>
    </row>
    <row r="2205" spans="1:10" x14ac:dyDescent="0.25">
      <c r="A2205">
        <v>11702239</v>
      </c>
      <c r="B2205" s="1">
        <v>45735.68377314815</v>
      </c>
      <c r="C2205" t="s">
        <v>0</v>
      </c>
      <c r="D2205" t="str">
        <f>VLOOKUP(A2205,MERCADO!A:B,2,0)</f>
        <v>Varejo</v>
      </c>
      <c r="E2205" t="str">
        <f>_xlfn.XLOOKUP(A2205, ORIGEM!A:A, ORIGEM!B:B)</f>
        <v>Orgânico</v>
      </c>
      <c r="F2205">
        <f>_xlfn.XLOOKUP(A2205, ORIGEM!A:A, ORIGEM!C:C)</f>
        <v>0</v>
      </c>
      <c r="G2205" t="str">
        <f>_xlfn.XLOOKUP(A2205, LOCAL!A:A, LOCAL!B:B)</f>
        <v>Cuiabá - MT</v>
      </c>
      <c r="H2205" t="str">
        <f>_xlfn.XLOOKUP(A2205, PORTE!A:A, PORTE!B:B)</f>
        <v>0</v>
      </c>
      <c r="I2205" t="str">
        <f>_xlfn.XLOOKUP(A2205, OBJETIVO!A:A, OBJETIVO!B:B)</f>
        <v>Outro</v>
      </c>
      <c r="J2205">
        <f t="shared" si="34"/>
        <v>0</v>
      </c>
    </row>
    <row r="2206" spans="1:10" x14ac:dyDescent="0.25">
      <c r="A2206">
        <v>11675305</v>
      </c>
      <c r="B2206" s="1">
        <v>45733.640162037038</v>
      </c>
      <c r="C2206" t="s">
        <v>0</v>
      </c>
      <c r="D2206" t="str">
        <f>VLOOKUP(A2206,MERCADO!A:B,2,0)</f>
        <v>Varejo</v>
      </c>
      <c r="E2206" t="str">
        <f>_xlfn.XLOOKUP(A2206, ORIGEM!A:A, ORIGEM!B:B)</f>
        <v>Orgânico</v>
      </c>
      <c r="F2206">
        <f>_xlfn.XLOOKUP(A2206, ORIGEM!A:A, ORIGEM!C:C)</f>
        <v>0</v>
      </c>
      <c r="G2206" t="str">
        <f>_xlfn.XLOOKUP(A2206, LOCAL!A:A, LOCAL!B:B)</f>
        <v>Criciúma - SC</v>
      </c>
      <c r="H2206" t="str">
        <f>_xlfn.XLOOKUP(A2206, PORTE!A:A, PORTE!B:B)</f>
        <v>1-10</v>
      </c>
      <c r="I2206" t="str">
        <f>_xlfn.XLOOKUP(A2206, OBJETIVO!A:A, OBJETIVO!B:B)</f>
        <v>Abertura/Expansão</v>
      </c>
      <c r="J2206">
        <f t="shared" si="34"/>
        <v>0</v>
      </c>
    </row>
    <row r="2207" spans="1:10" x14ac:dyDescent="0.25">
      <c r="A2207">
        <v>11857034</v>
      </c>
      <c r="B2207" s="1">
        <v>45750.403854166667</v>
      </c>
      <c r="C2207" t="s">
        <v>0</v>
      </c>
      <c r="D2207" t="str">
        <f>VLOOKUP(A2207,MERCADO!A:B,2,0)</f>
        <v>Varejo</v>
      </c>
      <c r="E2207" t="str">
        <f>_xlfn.XLOOKUP(A2207, ORIGEM!A:A, ORIGEM!B:B)</f>
        <v>Orgânico</v>
      </c>
      <c r="F2207">
        <f>_xlfn.XLOOKUP(A2207, ORIGEM!A:A, ORIGEM!C:C)</f>
        <v>0</v>
      </c>
      <c r="G2207" t="str">
        <f>_xlfn.XLOOKUP(A2207, LOCAL!A:A, LOCAL!B:B)</f>
        <v>Campo Limpo Paulista - SP</v>
      </c>
      <c r="H2207" t="str">
        <f>_xlfn.XLOOKUP(A2207, PORTE!A:A, PORTE!B:B)</f>
        <v>1-10</v>
      </c>
      <c r="I2207" t="str">
        <f>_xlfn.XLOOKUP(A2207, OBJETIVO!A:A, OBJETIVO!B:B)</f>
        <v>Abertura/Expansão</v>
      </c>
      <c r="J2207">
        <f t="shared" si="34"/>
        <v>0</v>
      </c>
    </row>
    <row r="2208" spans="1:10" x14ac:dyDescent="0.25">
      <c r="A2208">
        <v>11948139</v>
      </c>
      <c r="B2208" s="1">
        <v>45759.475706018522</v>
      </c>
      <c r="C2208" t="s">
        <v>0</v>
      </c>
      <c r="D2208" t="str">
        <f>VLOOKUP(A2208,MERCADO!A:B,2,0)</f>
        <v>Varejo</v>
      </c>
      <c r="E2208" t="str">
        <f>_xlfn.XLOOKUP(A2208, ORIGEM!A:A, ORIGEM!B:B)</f>
        <v>Orgânico</v>
      </c>
      <c r="F2208">
        <f>_xlfn.XLOOKUP(A2208, ORIGEM!A:A, ORIGEM!C:C)</f>
        <v>0</v>
      </c>
      <c r="G2208" t="str">
        <f>_xlfn.XLOOKUP(A2208, LOCAL!A:A, LOCAL!B:B)</f>
        <v>Goiânia - GO</v>
      </c>
      <c r="H2208" t="str">
        <f>_xlfn.XLOOKUP(A2208, PORTE!A:A, PORTE!B:B)</f>
        <v>1-10</v>
      </c>
      <c r="I2208" t="str">
        <f>_xlfn.XLOOKUP(A2208, OBJETIVO!A:A, OBJETIVO!B:B)</f>
        <v>Abertura/Expansão</v>
      </c>
      <c r="J2208">
        <f t="shared" si="34"/>
        <v>0</v>
      </c>
    </row>
    <row r="2209" spans="1:10" x14ac:dyDescent="0.25">
      <c r="A2209">
        <v>10952763</v>
      </c>
      <c r="B2209" s="1">
        <v>45669.708449074074</v>
      </c>
      <c r="C2209" t="s">
        <v>0</v>
      </c>
      <c r="D2209" t="str">
        <f>VLOOKUP(A2209,MERCADO!A:B,2,0)</f>
        <v>Varejo</v>
      </c>
      <c r="E2209" t="str">
        <f>_xlfn.XLOOKUP(A2209, ORIGEM!A:A, ORIGEM!B:B)</f>
        <v>Google</v>
      </c>
      <c r="F2209" t="str">
        <f>_xlfn.XLOOKUP(A2209, ORIGEM!A:A, ORIGEM!C:C)</f>
        <v>google - cpc</v>
      </c>
      <c r="G2209" t="str">
        <f>_xlfn.XLOOKUP(A2209, LOCAL!A:A, LOCAL!B:B)</f>
        <v>Tamboré - SP</v>
      </c>
      <c r="H2209" t="str">
        <f>_xlfn.XLOOKUP(A2209, PORTE!A:A, PORTE!B:B)</f>
        <v>+ 1000</v>
      </c>
      <c r="I2209" t="str">
        <f>_xlfn.XLOOKUP(A2209, OBJETIVO!A:A, OBJETIVO!B:B)</f>
        <v>Abertura/Expansão</v>
      </c>
      <c r="J2209">
        <f t="shared" si="34"/>
        <v>0</v>
      </c>
    </row>
    <row r="2210" spans="1:10" x14ac:dyDescent="0.25">
      <c r="A2210">
        <v>11290631</v>
      </c>
      <c r="B2210" s="1">
        <v>45696.821736111109</v>
      </c>
      <c r="C2210" t="s">
        <v>0</v>
      </c>
      <c r="D2210" t="str">
        <f>VLOOKUP(A2210,MERCADO!A:B,2,0)</f>
        <v>Varejo</v>
      </c>
      <c r="E2210" t="str">
        <f>_xlfn.XLOOKUP(A2210, ORIGEM!A:A, ORIGEM!B:B)</f>
        <v>Google</v>
      </c>
      <c r="F2210" t="str">
        <f>_xlfn.XLOOKUP(A2210, ORIGEM!A:A, ORIGEM!C:C)</f>
        <v>google - cpc</v>
      </c>
      <c r="G2210" t="str">
        <f>_xlfn.XLOOKUP(A2210, LOCAL!A:A, LOCAL!B:B)</f>
        <v>Mogi das Cruzes - SP</v>
      </c>
      <c r="H2210" t="str">
        <f>_xlfn.XLOOKUP(A2210, PORTE!A:A, PORTE!B:B)</f>
        <v>1-10</v>
      </c>
      <c r="I2210" t="str">
        <f>_xlfn.XLOOKUP(A2210, OBJETIVO!A:A, OBJETIVO!B:B)</f>
        <v>Abertura/Expansão</v>
      </c>
      <c r="J2210">
        <f t="shared" si="34"/>
        <v>0</v>
      </c>
    </row>
    <row r="2211" spans="1:10" x14ac:dyDescent="0.25">
      <c r="A2211">
        <v>11290658</v>
      </c>
      <c r="B2211" s="1">
        <v>45696.827094907407</v>
      </c>
      <c r="C2211" t="s">
        <v>0</v>
      </c>
      <c r="D2211" t="str">
        <f>VLOOKUP(A2211,MERCADO!A:B,2,0)</f>
        <v>Varejo</v>
      </c>
      <c r="E2211" t="str">
        <f>_xlfn.XLOOKUP(A2211, ORIGEM!A:A, ORIGEM!B:B)</f>
        <v>Google</v>
      </c>
      <c r="F2211" t="str">
        <f>_xlfn.XLOOKUP(A2211, ORIGEM!A:A, ORIGEM!C:C)</f>
        <v>google - cpc</v>
      </c>
      <c r="G2211" t="str">
        <f>_xlfn.XLOOKUP(A2211, LOCAL!A:A, LOCAL!B:B)</f>
        <v>Mogi das Cruzes - SP</v>
      </c>
      <c r="H2211" t="str">
        <f>_xlfn.XLOOKUP(A2211, PORTE!A:A, PORTE!B:B)</f>
        <v>1-10</v>
      </c>
      <c r="I2211" t="str">
        <f>_xlfn.XLOOKUP(A2211, OBJETIVO!A:A, OBJETIVO!B:B)</f>
        <v>Abertura/Expansão</v>
      </c>
      <c r="J2211">
        <f t="shared" si="34"/>
        <v>0</v>
      </c>
    </row>
    <row r="2212" spans="1:10" x14ac:dyDescent="0.25">
      <c r="A2212">
        <v>11276200</v>
      </c>
      <c r="B2212" s="1">
        <v>45696.407719907409</v>
      </c>
      <c r="C2212" t="s">
        <v>0</v>
      </c>
      <c r="D2212" t="str">
        <f>VLOOKUP(A2212,MERCADO!A:B,2,0)</f>
        <v>Varejo</v>
      </c>
      <c r="E2212" t="str">
        <f>_xlfn.XLOOKUP(A2212, ORIGEM!A:A, ORIGEM!B:B)</f>
        <v>Google</v>
      </c>
      <c r="F2212" t="str">
        <f>_xlfn.XLOOKUP(A2212, ORIGEM!A:A, ORIGEM!C:C)</f>
        <v>google - cpc</v>
      </c>
      <c r="G2212" t="str">
        <f>_xlfn.XLOOKUP(A2212, LOCAL!A:A, LOCAL!B:B)</f>
        <v>São Paulo - SP</v>
      </c>
      <c r="H2212" t="str">
        <f>_xlfn.XLOOKUP(A2212, PORTE!A:A, PORTE!B:B)</f>
        <v>11-50</v>
      </c>
      <c r="I2212" t="str">
        <f>_xlfn.XLOOKUP(A2212, OBJETIVO!A:A, OBJETIVO!B:B)</f>
        <v>Geração de leads b2b</v>
      </c>
      <c r="J2212">
        <f t="shared" si="34"/>
        <v>0</v>
      </c>
    </row>
    <row r="2213" spans="1:10" x14ac:dyDescent="0.25">
      <c r="A2213">
        <v>11280408</v>
      </c>
      <c r="B2213" s="1">
        <v>45696.525358796294</v>
      </c>
      <c r="C2213" t="s">
        <v>0</v>
      </c>
      <c r="D2213" t="str">
        <f>VLOOKUP(A2213,MERCADO!A:B,2,0)</f>
        <v>Varejo</v>
      </c>
      <c r="E2213" t="str">
        <f>_xlfn.XLOOKUP(A2213, ORIGEM!A:A, ORIGEM!B:B)</f>
        <v>Google</v>
      </c>
      <c r="F2213" t="str">
        <f>_xlfn.XLOOKUP(A2213, ORIGEM!A:A, ORIGEM!C:C)</f>
        <v>google - cpc</v>
      </c>
      <c r="G2213" t="str">
        <f>_xlfn.XLOOKUP(A2213, LOCAL!A:A, LOCAL!B:B)</f>
        <v>Porto Real do Colegio - AL</v>
      </c>
      <c r="H2213" t="str">
        <f>_xlfn.XLOOKUP(A2213, PORTE!A:A, PORTE!B:B)</f>
        <v>1-10</v>
      </c>
      <c r="I2213" t="str">
        <f>_xlfn.XLOOKUP(A2213, OBJETIVO!A:A, OBJETIVO!B:B)</f>
        <v>Abertura/Expansão</v>
      </c>
      <c r="J2213">
        <f t="shared" si="34"/>
        <v>0</v>
      </c>
    </row>
    <row r="2214" spans="1:10" x14ac:dyDescent="0.25">
      <c r="A2214">
        <v>11348385</v>
      </c>
      <c r="B2214" s="1">
        <v>45703.029143518521</v>
      </c>
      <c r="C2214" t="s">
        <v>0</v>
      </c>
      <c r="D2214" t="str">
        <f>VLOOKUP(A2214,MERCADO!A:B,2,0)</f>
        <v>Varejo</v>
      </c>
      <c r="E2214" t="str">
        <f>_xlfn.XLOOKUP(A2214, ORIGEM!A:A, ORIGEM!B:B)</f>
        <v>Google</v>
      </c>
      <c r="F2214" t="str">
        <f>_xlfn.XLOOKUP(A2214, ORIGEM!A:A, ORIGEM!C:C)</f>
        <v>google - cpc</v>
      </c>
      <c r="G2214" t="str">
        <f>_xlfn.XLOOKUP(A2214, LOCAL!A:A, LOCAL!B:B)</f>
        <v>Fortaleza - CE</v>
      </c>
      <c r="H2214" t="str">
        <f>_xlfn.XLOOKUP(A2214, PORTE!A:A, PORTE!B:B)</f>
        <v>301-1000</v>
      </c>
      <c r="I2214" t="str">
        <f>_xlfn.XLOOKUP(A2214, OBJETIVO!A:A, OBJETIVO!B:B)</f>
        <v>Geração de leads b2b</v>
      </c>
      <c r="J2214">
        <f t="shared" si="34"/>
        <v>0</v>
      </c>
    </row>
    <row r="2215" spans="1:10" x14ac:dyDescent="0.25">
      <c r="A2215">
        <v>11348065</v>
      </c>
      <c r="B2215" s="1">
        <v>45702.901932870373</v>
      </c>
      <c r="C2215" t="s">
        <v>0</v>
      </c>
      <c r="D2215" t="str">
        <f>VLOOKUP(A2215,MERCADO!A:B,2,0)</f>
        <v>Varejo</v>
      </c>
      <c r="E2215" t="str">
        <f>_xlfn.XLOOKUP(A2215, ORIGEM!A:A, ORIGEM!B:B)</f>
        <v>Google</v>
      </c>
      <c r="F2215" t="str">
        <f>_xlfn.XLOOKUP(A2215, ORIGEM!A:A, ORIGEM!C:C)</f>
        <v>google - cpc</v>
      </c>
      <c r="G2215" t="str">
        <f>_xlfn.XLOOKUP(A2215, LOCAL!A:A, LOCAL!B:B)</f>
        <v>São Paulo - SP</v>
      </c>
      <c r="H2215" t="str">
        <f>_xlfn.XLOOKUP(A2215, PORTE!A:A, PORTE!B:B)</f>
        <v>0</v>
      </c>
      <c r="I2215" t="str">
        <f>_xlfn.XLOOKUP(A2215, OBJETIVO!A:A, OBJETIVO!B:B)</f>
        <v>Abertura/Expansão</v>
      </c>
      <c r="J2215">
        <f t="shared" si="34"/>
        <v>0</v>
      </c>
    </row>
    <row r="2216" spans="1:10" x14ac:dyDescent="0.25">
      <c r="A2216">
        <v>11331617</v>
      </c>
      <c r="B2216" s="1">
        <v>45699.907488425924</v>
      </c>
      <c r="C2216" t="s">
        <v>0</v>
      </c>
      <c r="D2216" t="str">
        <f>VLOOKUP(A2216,MERCADO!A:B,2,0)</f>
        <v>Varejo</v>
      </c>
      <c r="E2216" t="str">
        <f>_xlfn.XLOOKUP(A2216, ORIGEM!A:A, ORIGEM!B:B)</f>
        <v>Google</v>
      </c>
      <c r="F2216" t="str">
        <f>_xlfn.XLOOKUP(A2216, ORIGEM!A:A, ORIGEM!C:C)</f>
        <v>google - cpc</v>
      </c>
      <c r="G2216" t="str">
        <f>_xlfn.XLOOKUP(A2216, LOCAL!A:A, LOCAL!B:B)</f>
        <v>São Paulo - SP</v>
      </c>
      <c r="H2216" t="str">
        <f>_xlfn.XLOOKUP(A2216, PORTE!A:A, PORTE!B:B)</f>
        <v>11-50</v>
      </c>
      <c r="I2216" t="str">
        <f>_xlfn.XLOOKUP(A2216, OBJETIVO!A:A, OBJETIVO!B:B)</f>
        <v>Geração de leads b2b</v>
      </c>
      <c r="J2216">
        <f t="shared" si="34"/>
        <v>0</v>
      </c>
    </row>
    <row r="2217" spans="1:10" x14ac:dyDescent="0.25">
      <c r="A2217">
        <v>11333325</v>
      </c>
      <c r="B2217" s="1">
        <v>45700.393634259257</v>
      </c>
      <c r="C2217" t="s">
        <v>0</v>
      </c>
      <c r="D2217" t="str">
        <f>VLOOKUP(A2217,MERCADO!A:B,2,0)</f>
        <v>Varejo</v>
      </c>
      <c r="E2217" t="str">
        <f>_xlfn.XLOOKUP(A2217, ORIGEM!A:A, ORIGEM!B:B)</f>
        <v>Google</v>
      </c>
      <c r="F2217" t="str">
        <f>_xlfn.XLOOKUP(A2217, ORIGEM!A:A, ORIGEM!C:C)</f>
        <v>google - cpc</v>
      </c>
      <c r="G2217" t="str">
        <f>_xlfn.XLOOKUP(A2217, LOCAL!A:A, LOCAL!B:B)</f>
        <v>Sapiranga - RS</v>
      </c>
      <c r="H2217" t="str">
        <f>_xlfn.XLOOKUP(A2217, PORTE!A:A, PORTE!B:B)</f>
        <v>1-10</v>
      </c>
      <c r="I2217" t="str">
        <f>_xlfn.XLOOKUP(A2217, OBJETIVO!A:A, OBJETIVO!B:B)</f>
        <v>Abertura/Expansão</v>
      </c>
      <c r="J2217">
        <f t="shared" si="34"/>
        <v>0</v>
      </c>
    </row>
    <row r="2218" spans="1:10" x14ac:dyDescent="0.25">
      <c r="A2218">
        <v>11346556</v>
      </c>
      <c r="B2218" s="1">
        <v>45702.388657407406</v>
      </c>
      <c r="C2218" t="s">
        <v>0</v>
      </c>
      <c r="D2218" t="str">
        <f>VLOOKUP(A2218,MERCADO!A:B,2,0)</f>
        <v>Varejo</v>
      </c>
      <c r="E2218" t="str">
        <f>_xlfn.XLOOKUP(A2218, ORIGEM!A:A, ORIGEM!B:B)</f>
        <v>Google</v>
      </c>
      <c r="F2218" t="str">
        <f>_xlfn.XLOOKUP(A2218, ORIGEM!A:A, ORIGEM!C:C)</f>
        <v>google - cpc</v>
      </c>
      <c r="G2218" t="str">
        <f>_xlfn.XLOOKUP(A2218, LOCAL!A:A, LOCAL!B:B)</f>
        <v>Sabara - MG</v>
      </c>
      <c r="H2218" t="str">
        <f>_xlfn.XLOOKUP(A2218, PORTE!A:A, PORTE!B:B)</f>
        <v>1-10</v>
      </c>
      <c r="I2218" t="str">
        <f>_xlfn.XLOOKUP(A2218, OBJETIVO!A:A, OBJETIVO!B:B)</f>
        <v>Planejamento estratégico</v>
      </c>
      <c r="J2218">
        <f t="shared" si="34"/>
        <v>0</v>
      </c>
    </row>
    <row r="2219" spans="1:10" x14ac:dyDescent="0.25">
      <c r="A2219">
        <v>11344565</v>
      </c>
      <c r="B2219" s="1">
        <v>45701.520162037035</v>
      </c>
      <c r="C2219" t="s">
        <v>0</v>
      </c>
      <c r="D2219" t="str">
        <f>VLOOKUP(A2219,MERCADO!A:B,2,0)</f>
        <v>Varejo</v>
      </c>
      <c r="E2219" t="str">
        <f>_xlfn.XLOOKUP(A2219, ORIGEM!A:A, ORIGEM!B:B)</f>
        <v>Google</v>
      </c>
      <c r="F2219" t="str">
        <f>_xlfn.XLOOKUP(A2219, ORIGEM!A:A, ORIGEM!C:C)</f>
        <v>google - cpc</v>
      </c>
      <c r="G2219" t="str">
        <f>_xlfn.XLOOKUP(A2219, LOCAL!A:A, LOCAL!B:B)</f>
        <v>Humaitá - AM</v>
      </c>
      <c r="H2219" t="str">
        <f>_xlfn.XLOOKUP(A2219, PORTE!A:A, PORTE!B:B)</f>
        <v>1-10</v>
      </c>
      <c r="I2219" t="str">
        <f>_xlfn.XLOOKUP(A2219, OBJETIVO!A:A, OBJETIVO!B:B)</f>
        <v>Planejamento estratégico</v>
      </c>
      <c r="J2219">
        <f t="shared" si="34"/>
        <v>0</v>
      </c>
    </row>
    <row r="2220" spans="1:10" x14ac:dyDescent="0.25">
      <c r="A2220">
        <v>11301260</v>
      </c>
      <c r="B2220" s="1">
        <v>45697.64570601852</v>
      </c>
      <c r="C2220" t="s">
        <v>0</v>
      </c>
      <c r="D2220" t="str">
        <f>VLOOKUP(A2220,MERCADO!A:B,2,0)</f>
        <v>Varejo</v>
      </c>
      <c r="E2220" t="str">
        <f>_xlfn.XLOOKUP(A2220, ORIGEM!A:A, ORIGEM!B:B)</f>
        <v>Google</v>
      </c>
      <c r="F2220" t="str">
        <f>_xlfn.XLOOKUP(A2220, ORIGEM!A:A, ORIGEM!C:C)</f>
        <v>google - cpc</v>
      </c>
      <c r="G2220" t="str">
        <f>_xlfn.XLOOKUP(A2220, LOCAL!A:A, LOCAL!B:B)</f>
        <v>Balneário Camboriú - SC</v>
      </c>
      <c r="H2220" t="str">
        <f>_xlfn.XLOOKUP(A2220, PORTE!A:A, PORTE!B:B)</f>
        <v>1-10</v>
      </c>
      <c r="I2220" t="str">
        <f>_xlfn.XLOOKUP(A2220, OBJETIVO!A:A, OBJETIVO!B:B)</f>
        <v>Abertura/Expansão</v>
      </c>
      <c r="J2220">
        <f t="shared" si="34"/>
        <v>0</v>
      </c>
    </row>
    <row r="2221" spans="1:10" x14ac:dyDescent="0.25">
      <c r="A2221">
        <v>10751375</v>
      </c>
      <c r="B2221" s="1">
        <v>45643.367569444446</v>
      </c>
      <c r="C2221" t="s">
        <v>0</v>
      </c>
      <c r="D2221" t="str">
        <f>VLOOKUP(A2221,MERCADO!A:B,2,0)</f>
        <v>Varejo</v>
      </c>
      <c r="E2221" t="str">
        <f>_xlfn.XLOOKUP(A2221, ORIGEM!A:A, ORIGEM!B:B)</f>
        <v>Google</v>
      </c>
      <c r="F2221" t="str">
        <f>_xlfn.XLOOKUP(A2221, ORIGEM!A:A, ORIGEM!C:C)</f>
        <v>google - cpc</v>
      </c>
      <c r="G2221" t="str">
        <f>_xlfn.XLOOKUP(A2221, LOCAL!A:A, LOCAL!B:B)</f>
        <v>V Redonda - RJ</v>
      </c>
      <c r="H2221" t="str">
        <f>_xlfn.XLOOKUP(A2221, PORTE!A:A, PORTE!B:B)</f>
        <v>1-10</v>
      </c>
      <c r="I2221" t="str">
        <f>_xlfn.XLOOKUP(A2221, OBJETIVO!A:A, OBJETIVO!B:B)</f>
        <v>Ações de marketing/vendas</v>
      </c>
      <c r="J2221">
        <f t="shared" si="34"/>
        <v>0</v>
      </c>
    </row>
    <row r="2222" spans="1:10" x14ac:dyDescent="0.25">
      <c r="A2222">
        <v>10782630</v>
      </c>
      <c r="B2222" s="1">
        <v>45646.941122685188</v>
      </c>
      <c r="C2222" t="s">
        <v>0</v>
      </c>
      <c r="D2222" t="str">
        <f>VLOOKUP(A2222,MERCADO!A:B,2,0)</f>
        <v>Varejo</v>
      </c>
      <c r="E2222" t="str">
        <f>_xlfn.XLOOKUP(A2222, ORIGEM!A:A, ORIGEM!B:B)</f>
        <v>Google</v>
      </c>
      <c r="F2222" t="str">
        <f>_xlfn.XLOOKUP(A2222, ORIGEM!A:A, ORIGEM!C:C)</f>
        <v>google - cpc</v>
      </c>
      <c r="G2222" t="str">
        <f>_xlfn.XLOOKUP(A2222, LOCAL!A:A, LOCAL!B:B)</f>
        <v>Sumaré - SP</v>
      </c>
      <c r="H2222" t="str">
        <f>_xlfn.XLOOKUP(A2222, PORTE!A:A, PORTE!B:B)</f>
        <v>1-10</v>
      </c>
      <c r="I2222" t="str">
        <f>_xlfn.XLOOKUP(A2222, OBJETIVO!A:A, OBJETIVO!B:B)</f>
        <v>Abertura/Expansão</v>
      </c>
      <c r="J2222">
        <f t="shared" si="34"/>
        <v>0</v>
      </c>
    </row>
    <row r="2223" spans="1:10" x14ac:dyDescent="0.25">
      <c r="A2223">
        <v>10687926</v>
      </c>
      <c r="B2223" s="1">
        <v>45636.65556712963</v>
      </c>
      <c r="C2223" t="s">
        <v>0</v>
      </c>
      <c r="D2223" t="str">
        <f>VLOOKUP(A2223,MERCADO!A:B,2,0)</f>
        <v>Varejo</v>
      </c>
      <c r="E2223" t="str">
        <f>_xlfn.XLOOKUP(A2223, ORIGEM!A:A, ORIGEM!B:B)</f>
        <v>Google</v>
      </c>
      <c r="F2223" t="str">
        <f>_xlfn.XLOOKUP(A2223, ORIGEM!A:A, ORIGEM!C:C)</f>
        <v>google - cpc</v>
      </c>
      <c r="G2223" t="str">
        <f>_xlfn.XLOOKUP(A2223, LOCAL!A:A, LOCAL!B:B)</f>
        <v>Brasília - DF</v>
      </c>
      <c r="H2223" t="str">
        <f>_xlfn.XLOOKUP(A2223, PORTE!A:A, PORTE!B:B)</f>
        <v>0</v>
      </c>
      <c r="I2223" t="str">
        <f>_xlfn.XLOOKUP(A2223, OBJETIVO!A:A, OBJETIVO!B:B)</f>
        <v>Planejamento estratégico</v>
      </c>
      <c r="J2223">
        <f t="shared" si="34"/>
        <v>0</v>
      </c>
    </row>
    <row r="2224" spans="1:10" x14ac:dyDescent="0.25">
      <c r="A2224">
        <v>10691487</v>
      </c>
      <c r="B2224" s="1">
        <v>45636.959791666668</v>
      </c>
      <c r="C2224" t="s">
        <v>0</v>
      </c>
      <c r="D2224" t="str">
        <f>VLOOKUP(A2224,MERCADO!A:B,2,0)</f>
        <v>Varejo</v>
      </c>
      <c r="E2224" t="str">
        <f>_xlfn.XLOOKUP(A2224, ORIGEM!A:A, ORIGEM!B:B)</f>
        <v>Google</v>
      </c>
      <c r="F2224" t="str">
        <f>_xlfn.XLOOKUP(A2224, ORIGEM!A:A, ORIGEM!C:C)</f>
        <v>google - cpc</v>
      </c>
      <c r="G2224" t="str">
        <f>_xlfn.XLOOKUP(A2224, LOCAL!A:A, LOCAL!B:B)</f>
        <v>Sorocaba - SP</v>
      </c>
      <c r="H2224" t="str">
        <f>_xlfn.XLOOKUP(A2224, PORTE!A:A, PORTE!B:B)</f>
        <v>1-10</v>
      </c>
      <c r="I2224" t="str">
        <f>_xlfn.XLOOKUP(A2224, OBJETIVO!A:A, OBJETIVO!B:B)</f>
        <v>Ações de marketing/vendas</v>
      </c>
      <c r="J2224">
        <f t="shared" si="34"/>
        <v>0</v>
      </c>
    </row>
    <row r="2225" spans="1:10" x14ac:dyDescent="0.25">
      <c r="A2225">
        <v>10719851</v>
      </c>
      <c r="B2225" s="1">
        <v>45640.663287037038</v>
      </c>
      <c r="C2225" t="s">
        <v>0</v>
      </c>
      <c r="D2225" t="str">
        <f>VLOOKUP(A2225,MERCADO!A:B,2,0)</f>
        <v>Varejo</v>
      </c>
      <c r="E2225" t="str">
        <f>_xlfn.XLOOKUP(A2225, ORIGEM!A:A, ORIGEM!B:B)</f>
        <v>Google</v>
      </c>
      <c r="F2225" t="str">
        <f>_xlfn.XLOOKUP(A2225, ORIGEM!A:A, ORIGEM!C:C)</f>
        <v>google - cpc</v>
      </c>
      <c r="G2225" t="str">
        <f>_xlfn.XLOOKUP(A2225, LOCAL!A:A, LOCAL!B:B)</f>
        <v>Cianorte - PR</v>
      </c>
      <c r="H2225" t="str">
        <f>_xlfn.XLOOKUP(A2225, PORTE!A:A, PORTE!B:B)</f>
        <v>1-10</v>
      </c>
      <c r="I2225" t="str">
        <f>_xlfn.XLOOKUP(A2225, OBJETIVO!A:A, OBJETIVO!B:B)</f>
        <v>Outro</v>
      </c>
      <c r="J2225">
        <f t="shared" si="34"/>
        <v>0</v>
      </c>
    </row>
    <row r="2226" spans="1:10" x14ac:dyDescent="0.25">
      <c r="A2226">
        <v>11002797</v>
      </c>
      <c r="B2226" s="1">
        <v>45672.661493055559</v>
      </c>
      <c r="C2226" t="s">
        <v>0</v>
      </c>
      <c r="D2226" t="str">
        <f>VLOOKUP(A2226,MERCADO!A:B,2,0)</f>
        <v>Varejo</v>
      </c>
      <c r="E2226" t="str">
        <f>_xlfn.XLOOKUP(A2226, ORIGEM!A:A, ORIGEM!B:B)</f>
        <v>Google</v>
      </c>
      <c r="F2226" t="str">
        <f>_xlfn.XLOOKUP(A2226, ORIGEM!A:A, ORIGEM!C:C)</f>
        <v>google - cpc</v>
      </c>
      <c r="G2226" t="str">
        <f>_xlfn.XLOOKUP(A2226, LOCAL!A:A, LOCAL!B:B)</f>
        <v>Itajaí - SC</v>
      </c>
      <c r="H2226" t="str">
        <f>_xlfn.XLOOKUP(A2226, PORTE!A:A, PORTE!B:B)</f>
        <v>51-300</v>
      </c>
      <c r="I2226" t="str">
        <f>_xlfn.XLOOKUP(A2226, OBJETIVO!A:A, OBJETIVO!B:B)</f>
        <v>Abertura/Expansão</v>
      </c>
      <c r="J2226">
        <f t="shared" si="34"/>
        <v>0</v>
      </c>
    </row>
    <row r="2227" spans="1:10" x14ac:dyDescent="0.25">
      <c r="A2227">
        <v>10968443</v>
      </c>
      <c r="B2227" s="1">
        <v>45670.710335648146</v>
      </c>
      <c r="C2227" t="s">
        <v>0</v>
      </c>
      <c r="D2227" t="str">
        <f>VLOOKUP(A2227,MERCADO!A:B,2,0)</f>
        <v>Varejo</v>
      </c>
      <c r="E2227" t="str">
        <f>_xlfn.XLOOKUP(A2227, ORIGEM!A:A, ORIGEM!B:B)</f>
        <v>Google</v>
      </c>
      <c r="F2227" t="str">
        <f>_xlfn.XLOOKUP(A2227, ORIGEM!A:A, ORIGEM!C:C)</f>
        <v>google - cpc</v>
      </c>
      <c r="G2227" t="str">
        <f>_xlfn.XLOOKUP(A2227, LOCAL!A:A, LOCAL!B:B)</f>
        <v>Guaratuba - PR</v>
      </c>
      <c r="H2227" t="str">
        <f>_xlfn.XLOOKUP(A2227, PORTE!A:A, PORTE!B:B)</f>
        <v>1-10</v>
      </c>
      <c r="I2227" t="str">
        <f>_xlfn.XLOOKUP(A2227, OBJETIVO!A:A, OBJETIVO!B:B)</f>
        <v>Abertura/Expansão</v>
      </c>
      <c r="J2227">
        <f t="shared" si="34"/>
        <v>0</v>
      </c>
    </row>
    <row r="2228" spans="1:10" x14ac:dyDescent="0.25">
      <c r="A2228">
        <v>10987728</v>
      </c>
      <c r="B2228" s="1">
        <v>45671.727789351855</v>
      </c>
      <c r="C2228" t="s">
        <v>0</v>
      </c>
      <c r="D2228" t="str">
        <f>VLOOKUP(A2228,MERCADO!A:B,2,0)</f>
        <v>Varejo</v>
      </c>
      <c r="E2228" t="str">
        <f>_xlfn.XLOOKUP(A2228, ORIGEM!A:A, ORIGEM!B:B)</f>
        <v>Google</v>
      </c>
      <c r="F2228" t="str">
        <f>_xlfn.XLOOKUP(A2228, ORIGEM!A:A, ORIGEM!C:C)</f>
        <v>google - cpc</v>
      </c>
      <c r="G2228" t="str">
        <f>_xlfn.XLOOKUP(A2228, LOCAL!A:A, LOCAL!B:B)</f>
        <v>Curitiba - PR</v>
      </c>
      <c r="H2228" t="str">
        <f>_xlfn.XLOOKUP(A2228, PORTE!A:A, PORTE!B:B)</f>
        <v>+ 1000</v>
      </c>
      <c r="I2228" t="str">
        <f>_xlfn.XLOOKUP(A2228, OBJETIVO!A:A, OBJETIVO!B:B)</f>
        <v>Consultoria</v>
      </c>
      <c r="J2228">
        <f t="shared" si="34"/>
        <v>0</v>
      </c>
    </row>
    <row r="2229" spans="1:10" x14ac:dyDescent="0.25">
      <c r="A2229">
        <v>10992120</v>
      </c>
      <c r="B2229" s="1">
        <v>45671.950949074075</v>
      </c>
      <c r="C2229" t="s">
        <v>0</v>
      </c>
      <c r="D2229" t="str">
        <f>VLOOKUP(A2229,MERCADO!A:B,2,0)</f>
        <v>Varejo</v>
      </c>
      <c r="E2229" t="str">
        <f>_xlfn.XLOOKUP(A2229, ORIGEM!A:A, ORIGEM!B:B)</f>
        <v>Google</v>
      </c>
      <c r="F2229" t="str">
        <f>_xlfn.XLOOKUP(A2229, ORIGEM!A:A, ORIGEM!C:C)</f>
        <v>google - cpc</v>
      </c>
      <c r="G2229" t="str">
        <f>_xlfn.XLOOKUP(A2229, LOCAL!A:A, LOCAL!B:B)</f>
        <v>Belo Horizonte - MG</v>
      </c>
      <c r="H2229" t="str">
        <f>_xlfn.XLOOKUP(A2229, PORTE!A:A, PORTE!B:B)</f>
        <v>1-10</v>
      </c>
      <c r="I2229" t="str">
        <f>_xlfn.XLOOKUP(A2229, OBJETIVO!A:A, OBJETIVO!B:B)</f>
        <v>Abertura/Expansão</v>
      </c>
      <c r="J2229">
        <f t="shared" si="34"/>
        <v>0</v>
      </c>
    </row>
    <row r="2230" spans="1:10" x14ac:dyDescent="0.25">
      <c r="A2230">
        <v>10961468</v>
      </c>
      <c r="B2230" s="1">
        <v>45670.496111111112</v>
      </c>
      <c r="C2230" t="s">
        <v>0</v>
      </c>
      <c r="D2230" t="str">
        <f>VLOOKUP(A2230,MERCADO!A:B,2,0)</f>
        <v>Varejo</v>
      </c>
      <c r="E2230" t="str">
        <f>_xlfn.XLOOKUP(A2230, ORIGEM!A:A, ORIGEM!B:B)</f>
        <v>Google</v>
      </c>
      <c r="F2230" t="str">
        <f>_xlfn.XLOOKUP(A2230, ORIGEM!A:A, ORIGEM!C:C)</f>
        <v>google - cpc</v>
      </c>
      <c r="G2230" t="str">
        <f>_xlfn.XLOOKUP(A2230, LOCAL!A:A, LOCAL!B:B)</f>
        <v>Sao Goncalo - RJ</v>
      </c>
      <c r="H2230" t="str">
        <f>_xlfn.XLOOKUP(A2230, PORTE!A:A, PORTE!B:B)</f>
        <v>11-50</v>
      </c>
      <c r="I2230" t="str">
        <f>_xlfn.XLOOKUP(A2230, OBJETIVO!A:A, OBJETIVO!B:B)</f>
        <v>Geração de leads b2b</v>
      </c>
      <c r="J2230">
        <f t="shared" si="34"/>
        <v>0</v>
      </c>
    </row>
    <row r="2231" spans="1:10" x14ac:dyDescent="0.25">
      <c r="A2231">
        <v>10947994</v>
      </c>
      <c r="B2231" s="1">
        <v>45669.548807870371</v>
      </c>
      <c r="C2231" t="s">
        <v>0</v>
      </c>
      <c r="D2231" t="str">
        <f>VLOOKUP(A2231,MERCADO!A:B,2,0)</f>
        <v>Varejo</v>
      </c>
      <c r="E2231" t="str">
        <f>_xlfn.XLOOKUP(A2231, ORIGEM!A:A, ORIGEM!B:B)</f>
        <v>Google</v>
      </c>
      <c r="F2231" t="str">
        <f>_xlfn.XLOOKUP(A2231, ORIGEM!A:A, ORIGEM!C:C)</f>
        <v>google - cpc</v>
      </c>
      <c r="G2231" t="str">
        <f>_xlfn.XLOOKUP(A2231, LOCAL!A:A, LOCAL!B:B)</f>
        <v>Recife - PE</v>
      </c>
      <c r="H2231" t="str">
        <f>_xlfn.XLOOKUP(A2231, PORTE!A:A, PORTE!B:B)</f>
        <v>0</v>
      </c>
      <c r="I2231" t="str">
        <f>_xlfn.XLOOKUP(A2231, OBJETIVO!A:A, OBJETIVO!B:B)</f>
        <v>Abertura/Expansão</v>
      </c>
      <c r="J2231">
        <f t="shared" si="34"/>
        <v>0</v>
      </c>
    </row>
    <row r="2232" spans="1:10" x14ac:dyDescent="0.25">
      <c r="A2232">
        <v>11385999</v>
      </c>
      <c r="B2232" s="1">
        <v>45706.455821759257</v>
      </c>
      <c r="C2232" t="s">
        <v>0</v>
      </c>
      <c r="D2232" t="str">
        <f>VLOOKUP(A2232,MERCADO!A:B,2,0)</f>
        <v>Varejo</v>
      </c>
      <c r="E2232" t="str">
        <f>_xlfn.XLOOKUP(A2232, ORIGEM!A:A, ORIGEM!B:B)</f>
        <v>rep</v>
      </c>
      <c r="F2232" t="str">
        <f>_xlfn.XLOOKUP(A2232, ORIGEM!A:A, ORIGEM!C:C)</f>
        <v>rep - ximena-cubillos</v>
      </c>
      <c r="G2232" t="str">
        <f>_xlfn.XLOOKUP(A2232, LOCAL!A:A, LOCAL!B:B)</f>
        <v>São Paulo - SP</v>
      </c>
      <c r="H2232" t="str">
        <f>_xlfn.XLOOKUP(A2232, PORTE!A:A, PORTE!B:B)</f>
        <v>0</v>
      </c>
      <c r="I2232" t="str">
        <f>_xlfn.XLOOKUP(A2232, OBJETIVO!A:A, OBJETIVO!B:B)</f>
        <v>Consultoria</v>
      </c>
      <c r="J2232">
        <f t="shared" si="34"/>
        <v>0</v>
      </c>
    </row>
    <row r="2233" spans="1:10" x14ac:dyDescent="0.25">
      <c r="A2233">
        <v>11812374</v>
      </c>
      <c r="B2233" s="1">
        <v>45745.749236111114</v>
      </c>
      <c r="C2233" t="s">
        <v>0</v>
      </c>
      <c r="D2233" t="str">
        <f>VLOOKUP(A2233,MERCADO!A:B,2,0)</f>
        <v>Varejo</v>
      </c>
      <c r="E2233" t="str">
        <f>_xlfn.XLOOKUP(A2233, ORIGEM!A:A, ORIGEM!B:B)</f>
        <v>Google</v>
      </c>
      <c r="F2233" t="str">
        <f>_xlfn.XLOOKUP(A2233, ORIGEM!A:A, ORIGEM!C:C)</f>
        <v>google - cpc</v>
      </c>
      <c r="G2233" t="str">
        <f>_xlfn.XLOOKUP(A2233, LOCAL!A:A, LOCAL!B:B)</f>
        <v>Niterói - RJ</v>
      </c>
      <c r="H2233" t="str">
        <f>_xlfn.XLOOKUP(A2233, PORTE!A:A, PORTE!B:B)</f>
        <v>0</v>
      </c>
      <c r="I2233" t="str">
        <f>_xlfn.XLOOKUP(A2233, OBJETIVO!A:A, OBJETIVO!B:B)</f>
        <v>Planejamento estratégico</v>
      </c>
      <c r="J2233">
        <f t="shared" si="34"/>
        <v>0</v>
      </c>
    </row>
    <row r="2234" spans="1:10" x14ac:dyDescent="0.25">
      <c r="A2234">
        <v>11803303</v>
      </c>
      <c r="B2234" s="1">
        <v>45745.489664351851</v>
      </c>
      <c r="C2234" t="s">
        <v>0</v>
      </c>
      <c r="D2234" t="str">
        <f>VLOOKUP(A2234,MERCADO!A:B,2,0)</f>
        <v>Varejo</v>
      </c>
      <c r="E2234" t="str">
        <f>_xlfn.XLOOKUP(A2234, ORIGEM!A:A, ORIGEM!B:B)</f>
        <v>Google</v>
      </c>
      <c r="F2234" t="str">
        <f>_xlfn.XLOOKUP(A2234, ORIGEM!A:A, ORIGEM!C:C)</f>
        <v>google - cpc</v>
      </c>
      <c r="G2234" t="str">
        <f>_xlfn.XLOOKUP(A2234, LOCAL!A:A, LOCAL!B:B)</f>
        <v>São Paulo - SP</v>
      </c>
      <c r="H2234" t="str">
        <f>_xlfn.XLOOKUP(A2234, PORTE!A:A, PORTE!B:B)</f>
        <v>0</v>
      </c>
      <c r="I2234" t="str">
        <f>_xlfn.XLOOKUP(A2234, OBJETIVO!A:A, OBJETIVO!B:B)</f>
        <v>Abertura/Expansão</v>
      </c>
      <c r="J2234">
        <f t="shared" si="34"/>
        <v>0</v>
      </c>
    </row>
    <row r="2235" spans="1:10" x14ac:dyDescent="0.25">
      <c r="A2235">
        <v>11806684</v>
      </c>
      <c r="B2235" s="1">
        <v>45745.561909722222</v>
      </c>
      <c r="C2235" t="s">
        <v>0</v>
      </c>
      <c r="D2235" t="str">
        <f>VLOOKUP(A2235,MERCADO!A:B,2,0)</f>
        <v>Varejo</v>
      </c>
      <c r="E2235" t="str">
        <f>_xlfn.XLOOKUP(A2235, ORIGEM!A:A, ORIGEM!B:B)</f>
        <v>Google</v>
      </c>
      <c r="F2235" t="str">
        <f>_xlfn.XLOOKUP(A2235, ORIGEM!A:A, ORIGEM!C:C)</f>
        <v>google - cpc</v>
      </c>
      <c r="G2235" t="str">
        <f>_xlfn.XLOOKUP(A2235, LOCAL!A:A, LOCAL!B:B)</f>
        <v>Uberlândia - MG</v>
      </c>
      <c r="H2235" t="str">
        <f>_xlfn.XLOOKUP(A2235, PORTE!A:A, PORTE!B:B)</f>
        <v>11-50</v>
      </c>
      <c r="I2235" t="str">
        <f>_xlfn.XLOOKUP(A2235, OBJETIVO!A:A, OBJETIVO!B:B)</f>
        <v>Outro</v>
      </c>
      <c r="J2235">
        <f t="shared" si="34"/>
        <v>0</v>
      </c>
    </row>
    <row r="2236" spans="1:10" x14ac:dyDescent="0.25">
      <c r="A2236">
        <v>11743456</v>
      </c>
      <c r="B2236" s="1">
        <v>45740.519675925927</v>
      </c>
      <c r="C2236" t="s">
        <v>0</v>
      </c>
      <c r="D2236" t="str">
        <f>VLOOKUP(A2236,MERCADO!A:B,2,0)</f>
        <v>Varejo</v>
      </c>
      <c r="E2236" t="str">
        <f>_xlfn.XLOOKUP(A2236, ORIGEM!A:A, ORIGEM!B:B)</f>
        <v>Google</v>
      </c>
      <c r="F2236" t="str">
        <f>_xlfn.XLOOKUP(A2236, ORIGEM!A:A, ORIGEM!C:C)</f>
        <v>google - cpc</v>
      </c>
      <c r="G2236" t="str">
        <f>_xlfn.XLOOKUP(A2236, LOCAL!A:A, LOCAL!B:B)</f>
        <v>São Paulo - SP</v>
      </c>
      <c r="H2236" t="str">
        <f>_xlfn.XLOOKUP(A2236, PORTE!A:A, PORTE!B:B)</f>
        <v>0</v>
      </c>
      <c r="I2236" t="str">
        <f>_xlfn.XLOOKUP(A2236, OBJETIVO!A:A, OBJETIVO!B:B)</f>
        <v>Abertura/Expansão</v>
      </c>
      <c r="J2236">
        <f t="shared" si="34"/>
        <v>0</v>
      </c>
    </row>
    <row r="2237" spans="1:10" x14ac:dyDescent="0.25">
      <c r="A2237">
        <v>11496644</v>
      </c>
      <c r="B2237" s="1">
        <v>45717.70758101852</v>
      </c>
      <c r="C2237" t="s">
        <v>0</v>
      </c>
      <c r="D2237" t="str">
        <f>VLOOKUP(A2237,MERCADO!A:B,2,0)</f>
        <v>Varejo</v>
      </c>
      <c r="E2237" t="str">
        <f>_xlfn.XLOOKUP(A2237, ORIGEM!A:A, ORIGEM!B:B)</f>
        <v>Google</v>
      </c>
      <c r="F2237" t="str">
        <f>_xlfn.XLOOKUP(A2237, ORIGEM!A:A, ORIGEM!C:C)</f>
        <v>google - cpc</v>
      </c>
      <c r="G2237" t="str">
        <f>_xlfn.XLOOKUP(A2237, LOCAL!A:A, LOCAL!B:B)</f>
        <v>Brasília - DF</v>
      </c>
      <c r="H2237" t="str">
        <f>_xlfn.XLOOKUP(A2237, PORTE!A:A, PORTE!B:B)</f>
        <v>1-10</v>
      </c>
      <c r="I2237" t="str">
        <f>_xlfn.XLOOKUP(A2237, OBJETIVO!A:A, OBJETIVO!B:B)</f>
        <v>Geração de leads b2b</v>
      </c>
      <c r="J2237">
        <f t="shared" si="34"/>
        <v>0</v>
      </c>
    </row>
    <row r="2238" spans="1:10" x14ac:dyDescent="0.25">
      <c r="A2238">
        <v>11611126</v>
      </c>
      <c r="B2238" s="1">
        <v>45727.476203703707</v>
      </c>
      <c r="C2238" t="s">
        <v>0</v>
      </c>
      <c r="D2238" t="str">
        <f>VLOOKUP(A2238,MERCADO!A:B,2,0)</f>
        <v>Varejo</v>
      </c>
      <c r="E2238" t="str">
        <f>_xlfn.XLOOKUP(A2238, ORIGEM!A:A, ORIGEM!B:B)</f>
        <v>Google</v>
      </c>
      <c r="F2238" t="str">
        <f>_xlfn.XLOOKUP(A2238, ORIGEM!A:A, ORIGEM!C:C)</f>
        <v>google - cpc</v>
      </c>
      <c r="G2238" t="str">
        <f>_xlfn.XLOOKUP(A2238, LOCAL!A:A, LOCAL!B:B)</f>
        <v>Rio de Janeiro - RJ</v>
      </c>
      <c r="H2238" t="str">
        <f>_xlfn.XLOOKUP(A2238, PORTE!A:A, PORTE!B:B)</f>
        <v>1-10</v>
      </c>
      <c r="I2238" t="str">
        <f>_xlfn.XLOOKUP(A2238, OBJETIVO!A:A, OBJETIVO!B:B)</f>
        <v>Abertura/Expansão</v>
      </c>
      <c r="J2238">
        <f t="shared" si="34"/>
        <v>0</v>
      </c>
    </row>
    <row r="2239" spans="1:10" x14ac:dyDescent="0.25">
      <c r="A2239">
        <v>11607209</v>
      </c>
      <c r="B2239" s="1">
        <v>45726.944374999999</v>
      </c>
      <c r="C2239" t="s">
        <v>0</v>
      </c>
      <c r="D2239" t="str">
        <f>VLOOKUP(A2239,MERCADO!A:B,2,0)</f>
        <v>Varejo</v>
      </c>
      <c r="E2239" t="str">
        <f>_xlfn.XLOOKUP(A2239, ORIGEM!A:A, ORIGEM!B:B)</f>
        <v>Google</v>
      </c>
      <c r="F2239" t="str">
        <f>_xlfn.XLOOKUP(A2239, ORIGEM!A:A, ORIGEM!C:C)</f>
        <v>google - cpc</v>
      </c>
      <c r="G2239" t="str">
        <f>_xlfn.XLOOKUP(A2239, LOCAL!A:A, LOCAL!B:B)</f>
        <v>São Paulo - SP</v>
      </c>
      <c r="H2239" t="str">
        <f>_xlfn.XLOOKUP(A2239, PORTE!A:A, PORTE!B:B)</f>
        <v>1-10</v>
      </c>
      <c r="I2239" t="str">
        <f>_xlfn.XLOOKUP(A2239, OBJETIVO!A:A, OBJETIVO!B:B)</f>
        <v>Abertura/Expansão</v>
      </c>
      <c r="J2239">
        <f t="shared" si="34"/>
        <v>0</v>
      </c>
    </row>
    <row r="2240" spans="1:10" x14ac:dyDescent="0.25">
      <c r="A2240">
        <v>11597932</v>
      </c>
      <c r="B2240" s="1">
        <v>45726.439710648148</v>
      </c>
      <c r="C2240" t="s">
        <v>0</v>
      </c>
      <c r="D2240" t="str">
        <f>VLOOKUP(A2240,MERCADO!A:B,2,0)</f>
        <v>Varejo</v>
      </c>
      <c r="E2240" t="str">
        <f>_xlfn.XLOOKUP(A2240, ORIGEM!A:A, ORIGEM!B:B)</f>
        <v>Google</v>
      </c>
      <c r="F2240" t="str">
        <f>_xlfn.XLOOKUP(A2240, ORIGEM!A:A, ORIGEM!C:C)</f>
        <v>google - cpc</v>
      </c>
      <c r="G2240" t="str">
        <f>_xlfn.XLOOKUP(A2240, LOCAL!A:A, LOCAL!B:B)</f>
        <v>Sao Jose de Mipibu - RN</v>
      </c>
      <c r="H2240" t="str">
        <f>_xlfn.XLOOKUP(A2240, PORTE!A:A, PORTE!B:B)</f>
        <v>0</v>
      </c>
      <c r="I2240" t="str">
        <f>_xlfn.XLOOKUP(A2240, OBJETIVO!A:A, OBJETIVO!B:B)</f>
        <v>Consultoria</v>
      </c>
      <c r="J2240">
        <f t="shared" si="34"/>
        <v>0</v>
      </c>
    </row>
    <row r="2241" spans="1:10" x14ac:dyDescent="0.25">
      <c r="A2241">
        <v>11599540</v>
      </c>
      <c r="B2241" s="1">
        <v>45726.495983796296</v>
      </c>
      <c r="C2241" t="s">
        <v>0</v>
      </c>
      <c r="D2241" t="str">
        <f>VLOOKUP(A2241,MERCADO!A:B,2,0)</f>
        <v>Varejo</v>
      </c>
      <c r="E2241" t="str">
        <f>_xlfn.XLOOKUP(A2241, ORIGEM!A:A, ORIGEM!B:B)</f>
        <v>Google</v>
      </c>
      <c r="F2241" t="str">
        <f>_xlfn.XLOOKUP(A2241, ORIGEM!A:A, ORIGEM!C:C)</f>
        <v>google - cpc</v>
      </c>
      <c r="G2241" t="str">
        <f>_xlfn.XLOOKUP(A2241, LOCAL!A:A, LOCAL!B:B)</f>
        <v>Jequié - BA</v>
      </c>
      <c r="H2241" t="str">
        <f>_xlfn.XLOOKUP(A2241, PORTE!A:A, PORTE!B:B)</f>
        <v>0</v>
      </c>
      <c r="I2241" t="str">
        <f>_xlfn.XLOOKUP(A2241, OBJETIVO!A:A, OBJETIVO!B:B)</f>
        <v>Abertura/Expansão</v>
      </c>
      <c r="J2241">
        <f t="shared" si="34"/>
        <v>0</v>
      </c>
    </row>
    <row r="2242" spans="1:10" x14ac:dyDescent="0.25">
      <c r="A2242">
        <v>11664703</v>
      </c>
      <c r="B2242" s="1">
        <v>45732.917673611111</v>
      </c>
      <c r="C2242" t="s">
        <v>0</v>
      </c>
      <c r="D2242" t="str">
        <f>VLOOKUP(A2242,MERCADO!A:B,2,0)</f>
        <v>Varejo</v>
      </c>
      <c r="E2242" t="str">
        <f>_xlfn.XLOOKUP(A2242, ORIGEM!A:A, ORIGEM!B:B)</f>
        <v>Google</v>
      </c>
      <c r="F2242" t="str">
        <f>_xlfn.XLOOKUP(A2242, ORIGEM!A:A, ORIGEM!C:C)</f>
        <v>google - cpc</v>
      </c>
      <c r="G2242" t="str">
        <f>_xlfn.XLOOKUP(A2242, LOCAL!A:A, LOCAL!B:B)</f>
        <v>Diadema - SP</v>
      </c>
      <c r="H2242" t="str">
        <f>_xlfn.XLOOKUP(A2242, PORTE!A:A, PORTE!B:B)</f>
        <v>1-10</v>
      </c>
      <c r="I2242" t="str">
        <f>_xlfn.XLOOKUP(A2242, OBJETIVO!A:A, OBJETIVO!B:B)</f>
        <v>Abertura/Expansão</v>
      </c>
      <c r="J2242">
        <f t="shared" si="34"/>
        <v>0</v>
      </c>
    </row>
    <row r="2243" spans="1:10" x14ac:dyDescent="0.25">
      <c r="A2243">
        <v>10852883</v>
      </c>
      <c r="B2243" s="1">
        <v>45660.67900462963</v>
      </c>
      <c r="C2243" t="s">
        <v>0</v>
      </c>
      <c r="D2243" t="str">
        <f>VLOOKUP(A2243,MERCADO!A:B,2,0)</f>
        <v>Varejo</v>
      </c>
      <c r="E2243" t="str">
        <f>_xlfn.XLOOKUP(A2243, ORIGEM!A:A, ORIGEM!B:B)</f>
        <v>rep</v>
      </c>
      <c r="F2243" t="str">
        <f>_xlfn.XLOOKUP(A2243, ORIGEM!A:A, ORIGEM!C:C)</f>
        <v>rep - ximena-cubillos</v>
      </c>
      <c r="G2243" t="str">
        <f>_xlfn.XLOOKUP(A2243, LOCAL!A:A, LOCAL!B:B)</f>
        <v>Campo Largo - PR</v>
      </c>
      <c r="H2243" t="str">
        <f>_xlfn.XLOOKUP(A2243, PORTE!A:A, PORTE!B:B)</f>
        <v>1-10</v>
      </c>
      <c r="I2243" t="str">
        <f>_xlfn.XLOOKUP(A2243, OBJETIVO!A:A, OBJETIVO!B:B)</f>
        <v>Ações de marketing/vendas</v>
      </c>
      <c r="J2243">
        <f t="shared" ref="J2243:J2272" si="35">IF(C2243="SIM",1,0)</f>
        <v>0</v>
      </c>
    </row>
    <row r="2244" spans="1:10" x14ac:dyDescent="0.25">
      <c r="A2244">
        <v>11398532</v>
      </c>
      <c r="B2244" s="1">
        <v>45707.444328703707</v>
      </c>
      <c r="C2244" t="s">
        <v>0</v>
      </c>
      <c r="D2244" t="str">
        <f>VLOOKUP(A2244,MERCADO!A:B,2,0)</f>
        <v>Varejo</v>
      </c>
      <c r="E2244" t="str">
        <f>_xlfn.XLOOKUP(A2244, ORIGEM!A:A, ORIGEM!B:B)</f>
        <v>Facebook</v>
      </c>
      <c r="F2244" t="str">
        <f>_xlfn.XLOOKUP(A2244, ORIGEM!A:A, ORIGEM!C:C)</f>
        <v>facebook - cpc</v>
      </c>
      <c r="G2244" t="str">
        <f>_xlfn.XLOOKUP(A2244, LOCAL!A:A, LOCAL!B:B)</f>
        <v>Cotia - SP</v>
      </c>
      <c r="H2244" t="str">
        <f>_xlfn.XLOOKUP(A2244, PORTE!A:A, PORTE!B:B)</f>
        <v>1-10</v>
      </c>
      <c r="I2244" t="str">
        <f>_xlfn.XLOOKUP(A2244, OBJETIVO!A:A, OBJETIVO!B:B)</f>
        <v>Abertura/Expansão</v>
      </c>
      <c r="J2244">
        <f t="shared" si="35"/>
        <v>0</v>
      </c>
    </row>
    <row r="2245" spans="1:10" x14ac:dyDescent="0.25">
      <c r="A2245">
        <v>11370666</v>
      </c>
      <c r="B2245" s="1">
        <v>45704.843622685185</v>
      </c>
      <c r="C2245" t="s">
        <v>0</v>
      </c>
      <c r="D2245" t="str">
        <f>VLOOKUP(A2245,MERCADO!A:B,2,0)</f>
        <v>Varejo</v>
      </c>
      <c r="E2245" t="str">
        <f>_xlfn.XLOOKUP(A2245, ORIGEM!A:A, ORIGEM!B:B)</f>
        <v>Facebook</v>
      </c>
      <c r="F2245" t="str">
        <f>_xlfn.XLOOKUP(A2245, ORIGEM!A:A, ORIGEM!C:C)</f>
        <v>facebook - cpc</v>
      </c>
      <c r="G2245" t="str">
        <f>_xlfn.XLOOKUP(A2245, LOCAL!A:A, LOCAL!B:B)</f>
        <v>-</v>
      </c>
      <c r="H2245" t="str">
        <f>_xlfn.XLOOKUP(A2245, PORTE!A:A, PORTE!B:B)</f>
        <v>11-50</v>
      </c>
      <c r="I2245" t="str">
        <f>_xlfn.XLOOKUP(A2245, OBJETIVO!A:A, OBJETIVO!B:B)</f>
        <v>Ações de marketing/vendas</v>
      </c>
      <c r="J2245">
        <f t="shared" si="35"/>
        <v>0</v>
      </c>
    </row>
    <row r="2246" spans="1:10" x14ac:dyDescent="0.25">
      <c r="A2246">
        <v>11363382</v>
      </c>
      <c r="B2246" s="1">
        <v>45704.532777777778</v>
      </c>
      <c r="C2246" t="s">
        <v>0</v>
      </c>
      <c r="D2246" t="str">
        <f>VLOOKUP(A2246,MERCADO!A:B,2,0)</f>
        <v>Varejo</v>
      </c>
      <c r="E2246" t="str">
        <f>_xlfn.XLOOKUP(A2246, ORIGEM!A:A, ORIGEM!B:B)</f>
        <v>Facebook</v>
      </c>
      <c r="F2246" t="str">
        <f>_xlfn.XLOOKUP(A2246, ORIGEM!A:A, ORIGEM!C:C)</f>
        <v>facebook - cpc</v>
      </c>
      <c r="G2246" t="str">
        <f>_xlfn.XLOOKUP(A2246, LOCAL!A:A, LOCAL!B:B)</f>
        <v>Sitio Novo - RN</v>
      </c>
      <c r="H2246" t="str">
        <f>_xlfn.XLOOKUP(A2246, PORTE!A:A, PORTE!B:B)</f>
        <v>0</v>
      </c>
      <c r="I2246" t="str">
        <f>_xlfn.XLOOKUP(A2246, OBJETIVO!A:A, OBJETIVO!B:B)</f>
        <v>Abertura/Expansão</v>
      </c>
      <c r="J2246">
        <f t="shared" si="35"/>
        <v>0</v>
      </c>
    </row>
    <row r="2247" spans="1:10" x14ac:dyDescent="0.25">
      <c r="A2247">
        <v>11371137</v>
      </c>
      <c r="B2247" s="1">
        <v>45704.973113425927</v>
      </c>
      <c r="C2247" t="s">
        <v>0</v>
      </c>
      <c r="D2247" t="str">
        <f>VLOOKUP(A2247,MERCADO!A:B,2,0)</f>
        <v>Varejo</v>
      </c>
      <c r="E2247" t="str">
        <f>_xlfn.XLOOKUP(A2247, ORIGEM!A:A, ORIGEM!B:B)</f>
        <v>Facebook</v>
      </c>
      <c r="F2247" t="str">
        <f>_xlfn.XLOOKUP(A2247, ORIGEM!A:A, ORIGEM!C:C)</f>
        <v>facebook - cpc</v>
      </c>
      <c r="G2247" t="str">
        <f>_xlfn.XLOOKUP(A2247, LOCAL!A:A, LOCAL!B:B)</f>
        <v>Feira de Santana - BA</v>
      </c>
      <c r="H2247" t="str">
        <f>_xlfn.XLOOKUP(A2247, PORTE!A:A, PORTE!B:B)</f>
        <v>51-300</v>
      </c>
      <c r="I2247" t="str">
        <f>_xlfn.XLOOKUP(A2247, OBJETIVO!A:A, OBJETIVO!B:B)</f>
        <v>Ações de marketing/vendas</v>
      </c>
      <c r="J2247">
        <f t="shared" si="35"/>
        <v>0</v>
      </c>
    </row>
    <row r="2248" spans="1:10" x14ac:dyDescent="0.25">
      <c r="A2248">
        <v>11949340</v>
      </c>
      <c r="B2248" s="1">
        <v>45759.508692129632</v>
      </c>
      <c r="C2248" t="s">
        <v>0</v>
      </c>
      <c r="D2248" t="str">
        <f>VLOOKUP(A2248,MERCADO!A:B,2,0)</f>
        <v>Varejo</v>
      </c>
      <c r="E2248" t="str">
        <f>_xlfn.XLOOKUP(A2248, ORIGEM!A:A, ORIGEM!B:B)</f>
        <v>Google</v>
      </c>
      <c r="F2248" t="str">
        <f>_xlfn.XLOOKUP(A2248, ORIGEM!A:A, ORIGEM!C:C)</f>
        <v>google - cpc</v>
      </c>
      <c r="G2248" t="str">
        <f>_xlfn.XLOOKUP(A2248, LOCAL!A:A, LOCAL!B:B)</f>
        <v>Guarulhos - SP</v>
      </c>
      <c r="H2248" t="str">
        <f>_xlfn.XLOOKUP(A2248, PORTE!A:A, PORTE!B:B)</f>
        <v>1-10</v>
      </c>
      <c r="I2248" t="str">
        <f>_xlfn.XLOOKUP(A2248, OBJETIVO!A:A, OBJETIVO!B:B)</f>
        <v>Ações de marketing/vendas</v>
      </c>
      <c r="J2248">
        <f t="shared" si="35"/>
        <v>0</v>
      </c>
    </row>
    <row r="2249" spans="1:10" x14ac:dyDescent="0.25">
      <c r="A2249">
        <v>11976456</v>
      </c>
      <c r="B2249" s="1">
        <v>45760.855023148149</v>
      </c>
      <c r="C2249" t="s">
        <v>0</v>
      </c>
      <c r="D2249" t="str">
        <f>VLOOKUP(A2249,MERCADO!A:B,2,0)</f>
        <v>Varejo</v>
      </c>
      <c r="E2249" t="str">
        <f>_xlfn.XLOOKUP(A2249, ORIGEM!A:A, ORIGEM!B:B)</f>
        <v>Google</v>
      </c>
      <c r="F2249" t="str">
        <f>_xlfn.XLOOKUP(A2249, ORIGEM!A:A, ORIGEM!C:C)</f>
        <v>google - cpc</v>
      </c>
      <c r="G2249" t="str">
        <f>_xlfn.XLOOKUP(A2249, LOCAL!A:A, LOCAL!B:B)</f>
        <v>Rio de Janeiro - RJ</v>
      </c>
      <c r="H2249" t="str">
        <f>_xlfn.XLOOKUP(A2249, PORTE!A:A, PORTE!B:B)</f>
        <v>0</v>
      </c>
      <c r="I2249" t="str">
        <f>_xlfn.XLOOKUP(A2249, OBJETIVO!A:A, OBJETIVO!B:B)</f>
        <v>Abertura/Expansão</v>
      </c>
      <c r="J2249">
        <f t="shared" si="35"/>
        <v>0</v>
      </c>
    </row>
    <row r="2250" spans="1:10" x14ac:dyDescent="0.25">
      <c r="A2250">
        <v>11978275</v>
      </c>
      <c r="B2250" s="1">
        <v>45761.029398148145</v>
      </c>
      <c r="C2250" t="s">
        <v>0</v>
      </c>
      <c r="D2250" t="str">
        <f>VLOOKUP(A2250,MERCADO!A:B,2,0)</f>
        <v>Varejo</v>
      </c>
      <c r="E2250" t="str">
        <f>_xlfn.XLOOKUP(A2250, ORIGEM!A:A, ORIGEM!B:B)</f>
        <v>Google</v>
      </c>
      <c r="F2250" t="str">
        <f>_xlfn.XLOOKUP(A2250, ORIGEM!A:A, ORIGEM!C:C)</f>
        <v>google - cpc</v>
      </c>
      <c r="G2250" t="str">
        <f>_xlfn.XLOOKUP(A2250, LOCAL!A:A, LOCAL!B:B)</f>
        <v>Rio de Janeiro - RJ</v>
      </c>
      <c r="H2250" t="str">
        <f>_xlfn.XLOOKUP(A2250, PORTE!A:A, PORTE!B:B)</f>
        <v>1-10</v>
      </c>
      <c r="I2250" t="str">
        <f>_xlfn.XLOOKUP(A2250, OBJETIVO!A:A, OBJETIVO!B:B)</f>
        <v>Ações de marketing/vendas</v>
      </c>
      <c r="J2250">
        <f t="shared" si="35"/>
        <v>0</v>
      </c>
    </row>
    <row r="2251" spans="1:10" x14ac:dyDescent="0.25">
      <c r="A2251">
        <v>12012532</v>
      </c>
      <c r="B2251" s="1">
        <v>45763.480451388888</v>
      </c>
      <c r="C2251" t="s">
        <v>0</v>
      </c>
      <c r="D2251" t="str">
        <f>VLOOKUP(A2251,MERCADO!A:B,2,0)</f>
        <v>Varejo</v>
      </c>
      <c r="E2251" t="str">
        <f>_xlfn.XLOOKUP(A2251, ORIGEM!A:A, ORIGEM!B:B)</f>
        <v>Google</v>
      </c>
      <c r="F2251" t="str">
        <f>_xlfn.XLOOKUP(A2251, ORIGEM!A:A, ORIGEM!C:C)</f>
        <v>google - cpc</v>
      </c>
      <c r="G2251" t="str">
        <f>_xlfn.XLOOKUP(A2251, LOCAL!A:A, LOCAL!B:B)</f>
        <v>Seabra - BA</v>
      </c>
      <c r="H2251" t="str">
        <f>_xlfn.XLOOKUP(A2251, PORTE!A:A, PORTE!B:B)</f>
        <v>1-10</v>
      </c>
      <c r="I2251" t="str">
        <f>_xlfn.XLOOKUP(A2251, OBJETIVO!A:A, OBJETIVO!B:B)</f>
        <v>Abertura/Expansão</v>
      </c>
      <c r="J2251">
        <f t="shared" si="35"/>
        <v>0</v>
      </c>
    </row>
    <row r="2252" spans="1:10" x14ac:dyDescent="0.25">
      <c r="A2252">
        <v>12007108</v>
      </c>
      <c r="B2252" s="1">
        <v>45762.842314814814</v>
      </c>
      <c r="C2252" t="s">
        <v>0</v>
      </c>
      <c r="D2252" t="str">
        <f>VLOOKUP(A2252,MERCADO!A:B,2,0)</f>
        <v>Varejo</v>
      </c>
      <c r="E2252" t="str">
        <f>_xlfn.XLOOKUP(A2252, ORIGEM!A:A, ORIGEM!B:B)</f>
        <v>Google</v>
      </c>
      <c r="F2252" t="str">
        <f>_xlfn.XLOOKUP(A2252, ORIGEM!A:A, ORIGEM!C:C)</f>
        <v>google - cpc</v>
      </c>
      <c r="G2252" t="str">
        <f>_xlfn.XLOOKUP(A2252, LOCAL!A:A, LOCAL!B:B)</f>
        <v>Macaé - RJ</v>
      </c>
      <c r="H2252" t="str">
        <f>_xlfn.XLOOKUP(A2252, PORTE!A:A, PORTE!B:B)</f>
        <v>1-10</v>
      </c>
      <c r="I2252" t="str">
        <f>_xlfn.XLOOKUP(A2252, OBJETIVO!A:A, OBJETIVO!B:B)</f>
        <v>Abertura/Expansão</v>
      </c>
      <c r="J2252">
        <f t="shared" si="35"/>
        <v>0</v>
      </c>
    </row>
    <row r="2253" spans="1:10" x14ac:dyDescent="0.25">
      <c r="A2253">
        <v>12002261</v>
      </c>
      <c r="B2253" s="1">
        <v>45762.612581018519</v>
      </c>
      <c r="C2253" t="s">
        <v>0</v>
      </c>
      <c r="D2253" t="str">
        <f>VLOOKUP(A2253,MERCADO!A:B,2,0)</f>
        <v>Varejo</v>
      </c>
      <c r="E2253" t="str">
        <f>_xlfn.XLOOKUP(A2253, ORIGEM!A:A, ORIGEM!B:B)</f>
        <v>Google</v>
      </c>
      <c r="F2253" t="str">
        <f>_xlfn.XLOOKUP(A2253, ORIGEM!A:A, ORIGEM!C:C)</f>
        <v>google - cpc</v>
      </c>
      <c r="G2253" t="str">
        <f>_xlfn.XLOOKUP(A2253, LOCAL!A:A, LOCAL!B:B)</f>
        <v>São Paulo - SP</v>
      </c>
      <c r="H2253" t="str">
        <f>_xlfn.XLOOKUP(A2253, PORTE!A:A, PORTE!B:B)</f>
        <v>51-300</v>
      </c>
      <c r="I2253" t="str">
        <f>_xlfn.XLOOKUP(A2253, OBJETIVO!A:A, OBJETIVO!B:B)</f>
        <v>Ações de marketing/vendas</v>
      </c>
      <c r="J2253">
        <f t="shared" si="35"/>
        <v>0</v>
      </c>
    </row>
    <row r="2254" spans="1:10" x14ac:dyDescent="0.25">
      <c r="A2254">
        <v>12023868</v>
      </c>
      <c r="B2254" s="1">
        <v>45765.40115740741</v>
      </c>
      <c r="C2254" t="s">
        <v>0</v>
      </c>
      <c r="D2254" t="str">
        <f>VLOOKUP(A2254,MERCADO!A:B,2,0)</f>
        <v>Varejo</v>
      </c>
      <c r="E2254" t="str">
        <f>_xlfn.XLOOKUP(A2254, ORIGEM!A:A, ORIGEM!B:B)</f>
        <v>Google</v>
      </c>
      <c r="F2254" t="str">
        <f>_xlfn.XLOOKUP(A2254, ORIGEM!A:A, ORIGEM!C:C)</f>
        <v>google - cpc</v>
      </c>
      <c r="G2254" t="str">
        <f>_xlfn.XLOOKUP(A2254, LOCAL!A:A, LOCAL!B:B)</f>
        <v>Brasília - DF</v>
      </c>
      <c r="H2254" t="str">
        <f>_xlfn.XLOOKUP(A2254, PORTE!A:A, PORTE!B:B)</f>
        <v>1-10</v>
      </c>
      <c r="I2254" t="str">
        <f>_xlfn.XLOOKUP(A2254, OBJETIVO!A:A, OBJETIVO!B:B)</f>
        <v>Abertura/Expansão</v>
      </c>
      <c r="J2254">
        <f t="shared" si="35"/>
        <v>0</v>
      </c>
    </row>
    <row r="2255" spans="1:10" x14ac:dyDescent="0.25">
      <c r="A2255">
        <v>12023976</v>
      </c>
      <c r="B2255" s="1">
        <v>45765.439479166664</v>
      </c>
      <c r="C2255" t="s">
        <v>0</v>
      </c>
      <c r="D2255" t="str">
        <f>VLOOKUP(A2255,MERCADO!A:B,2,0)</f>
        <v>Varejo</v>
      </c>
      <c r="E2255" t="str">
        <f>_xlfn.XLOOKUP(A2255, ORIGEM!A:A, ORIGEM!B:B)</f>
        <v>Google</v>
      </c>
      <c r="F2255" t="str">
        <f>_xlfn.XLOOKUP(A2255, ORIGEM!A:A, ORIGEM!C:C)</f>
        <v>google - cpc</v>
      </c>
      <c r="G2255" t="str">
        <f>_xlfn.XLOOKUP(A2255, LOCAL!A:A, LOCAL!B:B)</f>
        <v>São Paulo - SP</v>
      </c>
      <c r="H2255" t="str">
        <f>_xlfn.XLOOKUP(A2255, PORTE!A:A, PORTE!B:B)</f>
        <v>1-10</v>
      </c>
      <c r="I2255" t="str">
        <f>_xlfn.XLOOKUP(A2255, OBJETIVO!A:A, OBJETIVO!B:B)</f>
        <v>Abertura/Expansão</v>
      </c>
      <c r="J2255">
        <f t="shared" si="35"/>
        <v>0</v>
      </c>
    </row>
    <row r="2256" spans="1:10" x14ac:dyDescent="0.25">
      <c r="A2256">
        <v>12024031</v>
      </c>
      <c r="B2256" s="1">
        <v>45765.45758101852</v>
      </c>
      <c r="C2256" t="s">
        <v>0</v>
      </c>
      <c r="D2256" t="str">
        <f>VLOOKUP(A2256,MERCADO!A:B,2,0)</f>
        <v>Varejo</v>
      </c>
      <c r="E2256" t="str">
        <f>_xlfn.XLOOKUP(A2256, ORIGEM!A:A, ORIGEM!B:B)</f>
        <v>Google</v>
      </c>
      <c r="F2256" t="str">
        <f>_xlfn.XLOOKUP(A2256, ORIGEM!A:A, ORIGEM!C:C)</f>
        <v>google - cpc</v>
      </c>
      <c r="G2256" t="str">
        <f>_xlfn.XLOOKUP(A2256, LOCAL!A:A, LOCAL!B:B)</f>
        <v>Brasília - DF</v>
      </c>
      <c r="H2256" t="str">
        <f>_xlfn.XLOOKUP(A2256, PORTE!A:A, PORTE!B:B)</f>
        <v>51-300</v>
      </c>
      <c r="I2256" t="str">
        <f>_xlfn.XLOOKUP(A2256, OBJETIVO!A:A, OBJETIVO!B:B)</f>
        <v>Planejamento estratégico</v>
      </c>
      <c r="J2256">
        <f t="shared" si="35"/>
        <v>0</v>
      </c>
    </row>
    <row r="2257" spans="1:10" x14ac:dyDescent="0.25">
      <c r="A2257">
        <v>11395433</v>
      </c>
      <c r="B2257" s="1">
        <v>45706.988113425927</v>
      </c>
      <c r="C2257" t="s">
        <v>0</v>
      </c>
      <c r="D2257" t="str">
        <f>VLOOKUP(A2257,MERCADO!A:B,2,0)</f>
        <v>Varejo</v>
      </c>
      <c r="E2257" t="str">
        <f>_xlfn.XLOOKUP(A2257, ORIGEM!A:A, ORIGEM!B:B)</f>
        <v>Facebook</v>
      </c>
      <c r="F2257" t="str">
        <f>_xlfn.XLOOKUP(A2257, ORIGEM!A:A, ORIGEM!C:C)</f>
        <v>facebook - cpc</v>
      </c>
      <c r="G2257" t="str">
        <f>_xlfn.XLOOKUP(A2257, LOCAL!A:A, LOCAL!B:B)</f>
        <v>Paulista - PE</v>
      </c>
      <c r="H2257" t="str">
        <f>_xlfn.XLOOKUP(A2257, PORTE!A:A, PORTE!B:B)</f>
        <v>0</v>
      </c>
      <c r="I2257" t="str">
        <f>_xlfn.XLOOKUP(A2257, OBJETIVO!A:A, OBJETIVO!B:B)</f>
        <v>Consultoria</v>
      </c>
      <c r="J2257">
        <f t="shared" si="35"/>
        <v>0</v>
      </c>
    </row>
    <row r="2258" spans="1:10" x14ac:dyDescent="0.25">
      <c r="A2258">
        <v>11382010</v>
      </c>
      <c r="B2258" s="1">
        <v>45705.859317129631</v>
      </c>
      <c r="C2258" t="s">
        <v>0</v>
      </c>
      <c r="D2258" t="str">
        <f>VLOOKUP(A2258,MERCADO!A:B,2,0)</f>
        <v>Varejo</v>
      </c>
      <c r="E2258" t="str">
        <f>_xlfn.XLOOKUP(A2258, ORIGEM!A:A, ORIGEM!B:B)</f>
        <v>Facebook</v>
      </c>
      <c r="F2258" t="str">
        <f>_xlfn.XLOOKUP(A2258, ORIGEM!A:A, ORIGEM!C:C)</f>
        <v>facebook - cpc</v>
      </c>
      <c r="G2258" t="str">
        <f>_xlfn.XLOOKUP(A2258, LOCAL!A:A, LOCAL!B:B)</f>
        <v>Sorocaba - SP</v>
      </c>
      <c r="H2258" t="str">
        <f>_xlfn.XLOOKUP(A2258, PORTE!A:A, PORTE!B:B)</f>
        <v>0</v>
      </c>
      <c r="I2258" t="str">
        <f>_xlfn.XLOOKUP(A2258, OBJETIVO!A:A, OBJETIVO!B:B)</f>
        <v>Ações de marketing/vendas</v>
      </c>
      <c r="J2258">
        <f t="shared" si="35"/>
        <v>0</v>
      </c>
    </row>
    <row r="2259" spans="1:10" x14ac:dyDescent="0.25">
      <c r="A2259">
        <v>12021648</v>
      </c>
      <c r="B2259" s="1">
        <v>45764.488530092596</v>
      </c>
      <c r="C2259" t="s">
        <v>0</v>
      </c>
      <c r="D2259" t="str">
        <f>VLOOKUP(A2259,MERCADO!A:B,2,0)</f>
        <v>Varejo</v>
      </c>
      <c r="E2259" t="str">
        <f>_xlfn.XLOOKUP(A2259, ORIGEM!A:A, ORIGEM!B:B)</f>
        <v>Google</v>
      </c>
      <c r="F2259" t="str">
        <f>_xlfn.XLOOKUP(A2259, ORIGEM!A:A, ORIGEM!C:C)</f>
        <v>google - cpc</v>
      </c>
      <c r="G2259" t="str">
        <f>_xlfn.XLOOKUP(A2259, LOCAL!A:A, LOCAL!B:B)</f>
        <v>Maravilha - SC</v>
      </c>
      <c r="H2259" t="str">
        <f>_xlfn.XLOOKUP(A2259, PORTE!A:A, PORTE!B:B)</f>
        <v>1-10</v>
      </c>
      <c r="I2259" t="str">
        <f>_xlfn.XLOOKUP(A2259, OBJETIVO!A:A, OBJETIVO!B:B)</f>
        <v>Abertura/Expansão</v>
      </c>
      <c r="J2259">
        <f t="shared" si="35"/>
        <v>0</v>
      </c>
    </row>
    <row r="2260" spans="1:10" x14ac:dyDescent="0.25">
      <c r="A2260">
        <v>11875914</v>
      </c>
      <c r="B2260" s="1">
        <v>45753.374085648145</v>
      </c>
      <c r="C2260" t="s">
        <v>0</v>
      </c>
      <c r="D2260" t="str">
        <f>VLOOKUP(A2260,MERCADO!A:B,2,0)</f>
        <v>Varejo</v>
      </c>
      <c r="E2260" t="str">
        <f>_xlfn.XLOOKUP(A2260, ORIGEM!A:A, ORIGEM!B:B)</f>
        <v>Google</v>
      </c>
      <c r="F2260" t="str">
        <f>_xlfn.XLOOKUP(A2260, ORIGEM!A:A, ORIGEM!C:C)</f>
        <v>google - cpc</v>
      </c>
      <c r="G2260" t="str">
        <f>_xlfn.XLOOKUP(A2260, LOCAL!A:A, LOCAL!B:B)</f>
        <v>Rio de Janeiro - RJ</v>
      </c>
      <c r="H2260" t="str">
        <f>_xlfn.XLOOKUP(A2260, PORTE!A:A, PORTE!B:B)</f>
        <v>0</v>
      </c>
      <c r="I2260" t="str">
        <f>_xlfn.XLOOKUP(A2260, OBJETIVO!A:A, OBJETIVO!B:B)</f>
        <v>Outro</v>
      </c>
      <c r="J2260">
        <f t="shared" si="35"/>
        <v>0</v>
      </c>
    </row>
    <row r="2261" spans="1:10" x14ac:dyDescent="0.25">
      <c r="A2261">
        <v>11871590</v>
      </c>
      <c r="B2261" s="1">
        <v>45752.712037037039</v>
      </c>
      <c r="C2261" t="s">
        <v>0</v>
      </c>
      <c r="D2261" t="str">
        <f>VLOOKUP(A2261,MERCADO!A:B,2,0)</f>
        <v>Varejo</v>
      </c>
      <c r="E2261" t="str">
        <f>_xlfn.XLOOKUP(A2261, ORIGEM!A:A, ORIGEM!B:B)</f>
        <v>Google</v>
      </c>
      <c r="F2261" t="str">
        <f>_xlfn.XLOOKUP(A2261, ORIGEM!A:A, ORIGEM!C:C)</f>
        <v>google - cpc</v>
      </c>
      <c r="G2261" t="str">
        <f>_xlfn.XLOOKUP(A2261, LOCAL!A:A, LOCAL!B:B)</f>
        <v>São Paulo - SP</v>
      </c>
      <c r="H2261" t="str">
        <f>_xlfn.XLOOKUP(A2261, PORTE!A:A, PORTE!B:B)</f>
        <v>0</v>
      </c>
      <c r="I2261" t="str">
        <f>_xlfn.XLOOKUP(A2261, OBJETIVO!A:A, OBJETIVO!B:B)</f>
        <v>Abertura/Expansão</v>
      </c>
      <c r="J2261">
        <f t="shared" si="35"/>
        <v>0</v>
      </c>
    </row>
    <row r="2262" spans="1:10" x14ac:dyDescent="0.25">
      <c r="A2262">
        <v>11858022</v>
      </c>
      <c r="B2262" s="1">
        <v>45750.664409722223</v>
      </c>
      <c r="C2262" t="s">
        <v>0</v>
      </c>
      <c r="D2262" t="str">
        <f>VLOOKUP(A2262,MERCADO!A:B,2,0)</f>
        <v>Varejo</v>
      </c>
      <c r="E2262" t="str">
        <f>_xlfn.XLOOKUP(A2262, ORIGEM!A:A, ORIGEM!B:B)</f>
        <v>Google</v>
      </c>
      <c r="F2262" t="str">
        <f>_xlfn.XLOOKUP(A2262, ORIGEM!A:A, ORIGEM!C:C)</f>
        <v>google - cpc</v>
      </c>
      <c r="G2262" t="str">
        <f>_xlfn.XLOOKUP(A2262, LOCAL!A:A, LOCAL!B:B)</f>
        <v>Rio de Janeiro - RJ</v>
      </c>
      <c r="H2262" t="str">
        <f>_xlfn.XLOOKUP(A2262, PORTE!A:A, PORTE!B:B)</f>
        <v>+ 1000</v>
      </c>
      <c r="I2262" t="str">
        <f>_xlfn.XLOOKUP(A2262, OBJETIVO!A:A, OBJETIVO!B:B)</f>
        <v>Abertura/Expansão</v>
      </c>
      <c r="J2262">
        <f t="shared" si="35"/>
        <v>0</v>
      </c>
    </row>
    <row r="2263" spans="1:10" x14ac:dyDescent="0.25">
      <c r="A2263">
        <v>11789649</v>
      </c>
      <c r="B2263" s="1">
        <v>45744.066805555558</v>
      </c>
      <c r="C2263" t="s">
        <v>0</v>
      </c>
      <c r="D2263" t="str">
        <f>VLOOKUP(A2263,MERCADO!A:B,2,0)</f>
        <v>Varejo</v>
      </c>
      <c r="E2263" t="str">
        <f>_xlfn.XLOOKUP(A2263, ORIGEM!A:A, ORIGEM!B:B)</f>
        <v>Google</v>
      </c>
      <c r="F2263" t="str">
        <f>_xlfn.XLOOKUP(A2263, ORIGEM!A:A, ORIGEM!C:C)</f>
        <v>google - cpc</v>
      </c>
      <c r="G2263" t="str">
        <f>_xlfn.XLOOKUP(A2263, LOCAL!A:A, LOCAL!B:B)</f>
        <v>Douradina - PR</v>
      </c>
      <c r="H2263" t="str">
        <f>_xlfn.XLOOKUP(A2263, PORTE!A:A, PORTE!B:B)</f>
        <v>11-50</v>
      </c>
      <c r="I2263" t="str">
        <f>_xlfn.XLOOKUP(A2263, OBJETIVO!A:A, OBJETIVO!B:B)</f>
        <v>Consultoria</v>
      </c>
      <c r="J2263">
        <f t="shared" si="35"/>
        <v>0</v>
      </c>
    </row>
    <row r="2264" spans="1:10" x14ac:dyDescent="0.25">
      <c r="A2264">
        <v>11738122</v>
      </c>
      <c r="B2264" s="1">
        <v>45739.966249999998</v>
      </c>
      <c r="C2264" t="s">
        <v>0</v>
      </c>
      <c r="D2264" t="str">
        <f>VLOOKUP(A2264,MERCADO!A:B,2,0)</f>
        <v>Varejo</v>
      </c>
      <c r="E2264" t="str">
        <f>_xlfn.XLOOKUP(A2264, ORIGEM!A:A, ORIGEM!B:B)</f>
        <v>Google</v>
      </c>
      <c r="F2264" t="str">
        <f>_xlfn.XLOOKUP(A2264, ORIGEM!A:A, ORIGEM!C:C)</f>
        <v>google - cpc</v>
      </c>
      <c r="G2264" t="str">
        <f>_xlfn.XLOOKUP(A2264, LOCAL!A:A, LOCAL!B:B)</f>
        <v>João Pessoa - PB</v>
      </c>
      <c r="H2264" t="str">
        <f>_xlfn.XLOOKUP(A2264, PORTE!A:A, PORTE!B:B)</f>
        <v>1-10</v>
      </c>
      <c r="I2264" t="str">
        <f>_xlfn.XLOOKUP(A2264, OBJETIVO!A:A, OBJETIVO!B:B)</f>
        <v>Abertura/Expansão</v>
      </c>
      <c r="J2264">
        <f t="shared" si="35"/>
        <v>0</v>
      </c>
    </row>
    <row r="2265" spans="1:10" x14ac:dyDescent="0.25">
      <c r="A2265">
        <v>11680530</v>
      </c>
      <c r="B2265" s="1">
        <v>45733.858483796299</v>
      </c>
      <c r="C2265" t="s">
        <v>0</v>
      </c>
      <c r="D2265" t="str">
        <f>VLOOKUP(A2265,MERCADO!A:B,2,0)</f>
        <v>Varejo</v>
      </c>
      <c r="E2265" t="str">
        <f>_xlfn.XLOOKUP(A2265, ORIGEM!A:A, ORIGEM!B:B)</f>
        <v>Google</v>
      </c>
      <c r="F2265" t="str">
        <f>_xlfn.XLOOKUP(A2265, ORIGEM!A:A, ORIGEM!C:C)</f>
        <v>google - cpc</v>
      </c>
      <c r="G2265" t="str">
        <f>_xlfn.XLOOKUP(A2265, LOCAL!A:A, LOCAL!B:B)</f>
        <v>Embu das Artes - SP</v>
      </c>
      <c r="H2265" t="str">
        <f>_xlfn.XLOOKUP(A2265, PORTE!A:A, PORTE!B:B)</f>
        <v>0</v>
      </c>
      <c r="I2265" t="str">
        <f>_xlfn.XLOOKUP(A2265, OBJETIVO!A:A, OBJETIVO!B:B)</f>
        <v>Planejamento estratégico</v>
      </c>
      <c r="J2265">
        <f t="shared" si="35"/>
        <v>0</v>
      </c>
    </row>
    <row r="2266" spans="1:10" x14ac:dyDescent="0.25">
      <c r="A2266">
        <v>11708785</v>
      </c>
      <c r="B2266" s="1">
        <v>45736.805983796294</v>
      </c>
      <c r="C2266" t="s">
        <v>0</v>
      </c>
      <c r="D2266" t="str">
        <f>VLOOKUP(A2266,MERCADO!A:B,2,0)</f>
        <v>Varejo</v>
      </c>
      <c r="E2266" t="str">
        <f>_xlfn.XLOOKUP(A2266, ORIGEM!A:A, ORIGEM!B:B)</f>
        <v>Google</v>
      </c>
      <c r="F2266" t="str">
        <f>_xlfn.XLOOKUP(A2266, ORIGEM!A:A, ORIGEM!C:C)</f>
        <v>google - cpc</v>
      </c>
      <c r="G2266" t="str">
        <f>_xlfn.XLOOKUP(A2266, LOCAL!A:A, LOCAL!B:B)</f>
        <v>Itaperuna - RJ</v>
      </c>
      <c r="H2266" t="str">
        <f>_xlfn.XLOOKUP(A2266, PORTE!A:A, PORTE!B:B)</f>
        <v>1-10</v>
      </c>
      <c r="I2266" t="str">
        <f>_xlfn.XLOOKUP(A2266, OBJETIVO!A:A, OBJETIVO!B:B)</f>
        <v>Ações de marketing/vendas</v>
      </c>
      <c r="J2266">
        <f t="shared" si="35"/>
        <v>0</v>
      </c>
    </row>
    <row r="2267" spans="1:10" x14ac:dyDescent="0.25">
      <c r="A2267">
        <v>11297983</v>
      </c>
      <c r="B2267" s="1">
        <v>45697.543379629627</v>
      </c>
      <c r="C2267" t="s">
        <v>0</v>
      </c>
      <c r="D2267" t="str">
        <f>VLOOKUP(A2267,MERCADO!A:B,2,0)</f>
        <v>Varejo</v>
      </c>
      <c r="E2267" t="str">
        <f>_xlfn.XLOOKUP(A2267, ORIGEM!A:A, ORIGEM!B:B)</f>
        <v>Facebook</v>
      </c>
      <c r="F2267" t="str">
        <f>_xlfn.XLOOKUP(A2267, ORIGEM!A:A, ORIGEM!C:C)</f>
        <v>facebook - cpc</v>
      </c>
      <c r="G2267" t="str">
        <f>_xlfn.XLOOKUP(A2267, LOCAL!A:A, LOCAL!B:B)</f>
        <v>Belo Horizonte - MG</v>
      </c>
      <c r="H2267" t="str">
        <f>_xlfn.XLOOKUP(A2267, PORTE!A:A, PORTE!B:B)</f>
        <v>0</v>
      </c>
      <c r="I2267" t="str">
        <f>_xlfn.XLOOKUP(A2267, OBJETIVO!A:A, OBJETIVO!B:B)</f>
        <v>Outro</v>
      </c>
      <c r="J2267">
        <f t="shared" si="35"/>
        <v>0</v>
      </c>
    </row>
    <row r="2268" spans="1:10" x14ac:dyDescent="0.25">
      <c r="A2268">
        <v>11331813</v>
      </c>
      <c r="B2268" s="1">
        <v>45699.975115740737</v>
      </c>
      <c r="C2268" t="s">
        <v>0</v>
      </c>
      <c r="D2268" t="str">
        <f>VLOOKUP(A2268,MERCADO!A:B,2,0)</f>
        <v>Varejo</v>
      </c>
      <c r="E2268" t="str">
        <f>_xlfn.XLOOKUP(A2268, ORIGEM!A:A, ORIGEM!B:B)</f>
        <v>Facebook</v>
      </c>
      <c r="F2268" t="str">
        <f>_xlfn.XLOOKUP(A2268, ORIGEM!A:A, ORIGEM!C:C)</f>
        <v>facebook - cpc</v>
      </c>
      <c r="G2268" t="str">
        <f>_xlfn.XLOOKUP(A2268, LOCAL!A:A, LOCAL!B:B)</f>
        <v>São Paulo - SP</v>
      </c>
      <c r="H2268" t="str">
        <f>_xlfn.XLOOKUP(A2268, PORTE!A:A, PORTE!B:B)</f>
        <v>11-50</v>
      </c>
      <c r="I2268" t="str">
        <f>_xlfn.XLOOKUP(A2268, OBJETIVO!A:A, OBJETIVO!B:B)</f>
        <v>Planejamento estratégico</v>
      </c>
      <c r="J2268">
        <f t="shared" si="35"/>
        <v>0</v>
      </c>
    </row>
    <row r="2269" spans="1:10" x14ac:dyDescent="0.25">
      <c r="A2269">
        <v>10846258</v>
      </c>
      <c r="B2269" s="1">
        <v>45656.810347222221</v>
      </c>
      <c r="C2269" t="s">
        <v>0</v>
      </c>
      <c r="D2269" t="str">
        <f>VLOOKUP(A2269,MERCADO!A:B,2,0)</f>
        <v>Varejo</v>
      </c>
      <c r="E2269" t="str">
        <f>_xlfn.XLOOKUP(A2269, ORIGEM!A:A, ORIGEM!B:B)</f>
        <v>Facebook</v>
      </c>
      <c r="F2269" t="str">
        <f>_xlfn.XLOOKUP(A2269, ORIGEM!A:A, ORIGEM!C:C)</f>
        <v>facebook - cpc</v>
      </c>
      <c r="G2269" t="str">
        <f>_xlfn.XLOOKUP(A2269, LOCAL!A:A, LOCAL!B:B)</f>
        <v>Belo Horizonte - MG</v>
      </c>
      <c r="H2269" t="str">
        <f>_xlfn.XLOOKUP(A2269, PORTE!A:A, PORTE!B:B)</f>
        <v>1-10</v>
      </c>
      <c r="I2269" t="str">
        <f>_xlfn.XLOOKUP(A2269, OBJETIVO!A:A, OBJETIVO!B:B)</f>
        <v>Abertura/Expansão</v>
      </c>
      <c r="J2269">
        <f t="shared" si="35"/>
        <v>0</v>
      </c>
    </row>
    <row r="2270" spans="1:10" x14ac:dyDescent="0.25">
      <c r="A2270">
        <v>11562089</v>
      </c>
      <c r="B2270" s="1">
        <v>45723.898425925923</v>
      </c>
      <c r="C2270" t="s">
        <v>0</v>
      </c>
      <c r="D2270" t="str">
        <f>VLOOKUP(A2270,MERCADO!A:B,2,0)</f>
        <v>Varejo</v>
      </c>
      <c r="E2270" t="str">
        <f>_xlfn.XLOOKUP(A2270, ORIGEM!A:A, ORIGEM!B:B)</f>
        <v>Facebook</v>
      </c>
      <c r="F2270" t="str">
        <f>_xlfn.XLOOKUP(A2270, ORIGEM!A:A, ORIGEM!C:C)</f>
        <v>facebook - cpc</v>
      </c>
      <c r="G2270" t="str">
        <f>_xlfn.XLOOKUP(A2270, LOCAL!A:A, LOCAL!B:B)</f>
        <v>Fortaleza - CE</v>
      </c>
      <c r="H2270" t="str">
        <f>_xlfn.XLOOKUP(A2270, PORTE!A:A, PORTE!B:B)</f>
        <v>1-10</v>
      </c>
      <c r="I2270" t="str">
        <f>_xlfn.XLOOKUP(A2270, OBJETIVO!A:A, OBJETIVO!B:B)</f>
        <v>Outro</v>
      </c>
      <c r="J2270">
        <f t="shared" si="35"/>
        <v>0</v>
      </c>
    </row>
    <row r="2271" spans="1:10" x14ac:dyDescent="0.25">
      <c r="A2271">
        <v>11561275</v>
      </c>
      <c r="B2271" s="1">
        <v>45723.63826388889</v>
      </c>
      <c r="C2271" t="s">
        <v>0</v>
      </c>
      <c r="D2271" t="str">
        <f>VLOOKUP(A2271,MERCADO!A:B,2,0)</f>
        <v>Varejo</v>
      </c>
      <c r="E2271" t="str">
        <f>_xlfn.XLOOKUP(A2271, ORIGEM!A:A, ORIGEM!B:B)</f>
        <v>Facebook</v>
      </c>
      <c r="F2271" t="str">
        <f>_xlfn.XLOOKUP(A2271, ORIGEM!A:A, ORIGEM!C:C)</f>
        <v>facebook - cpc</v>
      </c>
      <c r="G2271" t="str">
        <f>_xlfn.XLOOKUP(A2271, LOCAL!A:A, LOCAL!B:B)</f>
        <v>Rio de Janeiro - RJ</v>
      </c>
      <c r="H2271" t="str">
        <f>_xlfn.XLOOKUP(A2271, PORTE!A:A, PORTE!B:B)</f>
        <v>0</v>
      </c>
      <c r="I2271" t="str">
        <f>_xlfn.XLOOKUP(A2271, OBJETIVO!A:A, OBJETIVO!B:B)</f>
        <v>Ações de marketing/vendas</v>
      </c>
      <c r="J2271">
        <f t="shared" si="35"/>
        <v>0</v>
      </c>
    </row>
    <row r="2272" spans="1:10" x14ac:dyDescent="0.25">
      <c r="A2272">
        <v>11566253</v>
      </c>
      <c r="B2272" s="1">
        <v>45724.432002314818</v>
      </c>
      <c r="C2272" t="s">
        <v>0</v>
      </c>
      <c r="D2272" t="str">
        <f>VLOOKUP(A2272,MERCADO!A:B,2,0)</f>
        <v>Varejo</v>
      </c>
      <c r="E2272" t="str">
        <f>_xlfn.XLOOKUP(A2272, ORIGEM!A:A, ORIGEM!B:B)</f>
        <v>Facebook</v>
      </c>
      <c r="F2272" t="str">
        <f>_xlfn.XLOOKUP(A2272, ORIGEM!A:A, ORIGEM!C:C)</f>
        <v>facebook - cpc</v>
      </c>
      <c r="G2272" t="str">
        <f>_xlfn.XLOOKUP(A2272, LOCAL!A:A, LOCAL!B:B)</f>
        <v>João Pessoa - PB</v>
      </c>
      <c r="H2272" t="str">
        <f>_xlfn.XLOOKUP(A2272, PORTE!A:A, PORTE!B:B)</f>
        <v>0</v>
      </c>
      <c r="I2272" t="str">
        <f>_xlfn.XLOOKUP(A2272, OBJETIVO!A:A, OBJETIVO!B:B)</f>
        <v>Abertura/Expansão</v>
      </c>
      <c r="J2272">
        <f t="shared" si="35"/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67FE-1948-4C60-96CF-5D4CC4AB4DD4}">
  <dimension ref="A1:C2274"/>
  <sheetViews>
    <sheetView workbookViewId="0">
      <selection activeCell="A2274" sqref="A2274:XFD2274"/>
    </sheetView>
  </sheetViews>
  <sheetFormatPr defaultRowHeight="15" x14ac:dyDescent="0.25"/>
  <cols>
    <col min="2" max="2" width="18.140625" bestFit="1" customWidth="1"/>
    <col min="3" max="3" width="20" bestFit="1" customWidth="1"/>
  </cols>
  <sheetData>
    <row r="1" spans="1:3" x14ac:dyDescent="0.25">
      <c r="A1" t="s">
        <v>2</v>
      </c>
      <c r="B1" t="s">
        <v>34</v>
      </c>
      <c r="C1" t="s">
        <v>33</v>
      </c>
    </row>
    <row r="2" spans="1:3" x14ac:dyDescent="0.25">
      <c r="A2">
        <v>11316042</v>
      </c>
      <c r="B2" t="s">
        <v>12</v>
      </c>
    </row>
    <row r="3" spans="1:3" x14ac:dyDescent="0.25">
      <c r="A3">
        <v>11374979</v>
      </c>
      <c r="B3" t="s">
        <v>12</v>
      </c>
    </row>
    <row r="4" spans="1:3" x14ac:dyDescent="0.25">
      <c r="A4">
        <v>11997870</v>
      </c>
      <c r="B4" t="s">
        <v>22</v>
      </c>
      <c r="C4" t="s">
        <v>21</v>
      </c>
    </row>
    <row r="5" spans="1:3" x14ac:dyDescent="0.25">
      <c r="A5">
        <v>11930537</v>
      </c>
      <c r="B5" t="s">
        <v>22</v>
      </c>
      <c r="C5" t="s">
        <v>21</v>
      </c>
    </row>
    <row r="6" spans="1:3" x14ac:dyDescent="0.25">
      <c r="A6">
        <v>11899381</v>
      </c>
      <c r="B6" t="s">
        <v>22</v>
      </c>
      <c r="C6" t="s">
        <v>21</v>
      </c>
    </row>
    <row r="7" spans="1:3" x14ac:dyDescent="0.25">
      <c r="A7">
        <v>11899592</v>
      </c>
      <c r="B7" t="s">
        <v>22</v>
      </c>
      <c r="C7" t="s">
        <v>21</v>
      </c>
    </row>
    <row r="8" spans="1:3" x14ac:dyDescent="0.25">
      <c r="A8">
        <v>11889399</v>
      </c>
      <c r="B8" t="s">
        <v>22</v>
      </c>
      <c r="C8" t="s">
        <v>21</v>
      </c>
    </row>
    <row r="9" spans="1:3" x14ac:dyDescent="0.25">
      <c r="A9">
        <v>11842866</v>
      </c>
      <c r="B9" t="s">
        <v>22</v>
      </c>
      <c r="C9" t="s">
        <v>21</v>
      </c>
    </row>
    <row r="10" spans="1:3" x14ac:dyDescent="0.25">
      <c r="A10">
        <v>11843011</v>
      </c>
      <c r="B10" t="s">
        <v>22</v>
      </c>
      <c r="C10" t="s">
        <v>21</v>
      </c>
    </row>
    <row r="11" spans="1:3" x14ac:dyDescent="0.25">
      <c r="A11">
        <v>11684556</v>
      </c>
      <c r="B11" t="s">
        <v>22</v>
      </c>
      <c r="C11" t="s">
        <v>21</v>
      </c>
    </row>
    <row r="12" spans="1:3" x14ac:dyDescent="0.25">
      <c r="A12">
        <v>11685062</v>
      </c>
      <c r="B12" t="s">
        <v>22</v>
      </c>
      <c r="C12" t="s">
        <v>21</v>
      </c>
    </row>
    <row r="13" spans="1:3" x14ac:dyDescent="0.25">
      <c r="A13">
        <v>11698167</v>
      </c>
      <c r="B13" t="s">
        <v>22</v>
      </c>
      <c r="C13" t="s">
        <v>21</v>
      </c>
    </row>
    <row r="14" spans="1:3" x14ac:dyDescent="0.25">
      <c r="A14">
        <v>11698312</v>
      </c>
      <c r="B14" t="s">
        <v>22</v>
      </c>
      <c r="C14" t="s">
        <v>21</v>
      </c>
    </row>
    <row r="15" spans="1:3" x14ac:dyDescent="0.25">
      <c r="A15">
        <v>11684204</v>
      </c>
      <c r="B15" t="s">
        <v>22</v>
      </c>
      <c r="C15" t="s">
        <v>21</v>
      </c>
    </row>
    <row r="16" spans="1:3" x14ac:dyDescent="0.25">
      <c r="A16">
        <v>11684264</v>
      </c>
      <c r="B16" t="s">
        <v>22</v>
      </c>
      <c r="C16" t="s">
        <v>21</v>
      </c>
    </row>
    <row r="17" spans="1:3" x14ac:dyDescent="0.25">
      <c r="A17">
        <v>11357814</v>
      </c>
      <c r="B17" t="s">
        <v>9</v>
      </c>
      <c r="C17" t="s">
        <v>8</v>
      </c>
    </row>
    <row r="18" spans="1:3" x14ac:dyDescent="0.25">
      <c r="A18">
        <v>11842580</v>
      </c>
      <c r="B18" t="s">
        <v>22</v>
      </c>
      <c r="C18" t="s">
        <v>21</v>
      </c>
    </row>
    <row r="19" spans="1:3" x14ac:dyDescent="0.25">
      <c r="A19">
        <v>11842668</v>
      </c>
      <c r="B19" t="s">
        <v>22</v>
      </c>
      <c r="C19" t="s">
        <v>21</v>
      </c>
    </row>
    <row r="20" spans="1:3" x14ac:dyDescent="0.25">
      <c r="A20">
        <v>11806208</v>
      </c>
      <c r="B20" t="s">
        <v>22</v>
      </c>
      <c r="C20" t="s">
        <v>21</v>
      </c>
    </row>
    <row r="21" spans="1:3" x14ac:dyDescent="0.25">
      <c r="A21">
        <v>11817123</v>
      </c>
      <c r="B21" t="s">
        <v>22</v>
      </c>
      <c r="C21" t="s">
        <v>21</v>
      </c>
    </row>
    <row r="22" spans="1:3" x14ac:dyDescent="0.25">
      <c r="A22">
        <v>11774094</v>
      </c>
      <c r="B22" t="s">
        <v>22</v>
      </c>
      <c r="C22" t="s">
        <v>21</v>
      </c>
    </row>
    <row r="23" spans="1:3" x14ac:dyDescent="0.25">
      <c r="A23">
        <v>11741460</v>
      </c>
      <c r="B23" t="s">
        <v>22</v>
      </c>
      <c r="C23" t="s">
        <v>21</v>
      </c>
    </row>
    <row r="24" spans="1:3" x14ac:dyDescent="0.25">
      <c r="A24">
        <v>11741181</v>
      </c>
      <c r="B24" t="s">
        <v>22</v>
      </c>
      <c r="C24" t="s">
        <v>21</v>
      </c>
    </row>
    <row r="25" spans="1:3" x14ac:dyDescent="0.25">
      <c r="A25">
        <v>11698497</v>
      </c>
      <c r="B25" t="s">
        <v>22</v>
      </c>
      <c r="C25" t="s">
        <v>21</v>
      </c>
    </row>
    <row r="26" spans="1:3" x14ac:dyDescent="0.25">
      <c r="A26">
        <v>11698513</v>
      </c>
      <c r="B26" t="s">
        <v>22</v>
      </c>
      <c r="C26" t="s">
        <v>21</v>
      </c>
    </row>
    <row r="27" spans="1:3" x14ac:dyDescent="0.25">
      <c r="A27">
        <v>11698524</v>
      </c>
      <c r="B27" t="s">
        <v>22</v>
      </c>
      <c r="C27" t="s">
        <v>21</v>
      </c>
    </row>
    <row r="28" spans="1:3" x14ac:dyDescent="0.25">
      <c r="A28">
        <v>11699034</v>
      </c>
      <c r="B28" t="s">
        <v>22</v>
      </c>
      <c r="C28" t="s">
        <v>21</v>
      </c>
    </row>
    <row r="29" spans="1:3" x14ac:dyDescent="0.25">
      <c r="A29">
        <v>11741070</v>
      </c>
      <c r="B29" t="s">
        <v>22</v>
      </c>
      <c r="C29" t="s">
        <v>21</v>
      </c>
    </row>
    <row r="30" spans="1:3" x14ac:dyDescent="0.25">
      <c r="A30">
        <v>10566142</v>
      </c>
      <c r="B30" t="s">
        <v>9</v>
      </c>
      <c r="C30" t="s">
        <v>8</v>
      </c>
    </row>
    <row r="31" spans="1:3" x14ac:dyDescent="0.25">
      <c r="A31">
        <v>10572176</v>
      </c>
      <c r="B31" t="s">
        <v>9</v>
      </c>
      <c r="C31" t="s">
        <v>8</v>
      </c>
    </row>
    <row r="32" spans="1:3" x14ac:dyDescent="0.25">
      <c r="A32">
        <v>10581011</v>
      </c>
      <c r="B32" t="s">
        <v>9</v>
      </c>
      <c r="C32" t="s">
        <v>8</v>
      </c>
    </row>
    <row r="33" spans="1:3" x14ac:dyDescent="0.25">
      <c r="A33">
        <v>10621157</v>
      </c>
      <c r="B33" t="s">
        <v>9</v>
      </c>
      <c r="C33" t="s">
        <v>8</v>
      </c>
    </row>
    <row r="34" spans="1:3" x14ac:dyDescent="0.25">
      <c r="A34">
        <v>10608029</v>
      </c>
      <c r="B34" t="s">
        <v>9</v>
      </c>
      <c r="C34" t="s">
        <v>8</v>
      </c>
    </row>
    <row r="35" spans="1:3" x14ac:dyDescent="0.25">
      <c r="A35">
        <v>10590212</v>
      </c>
      <c r="B35" t="s">
        <v>12</v>
      </c>
    </row>
    <row r="36" spans="1:3" x14ac:dyDescent="0.25">
      <c r="A36">
        <v>10590859</v>
      </c>
      <c r="B36" t="s">
        <v>12</v>
      </c>
    </row>
    <row r="37" spans="1:3" x14ac:dyDescent="0.25">
      <c r="A37">
        <v>11390110</v>
      </c>
      <c r="B37" t="s">
        <v>12</v>
      </c>
    </row>
    <row r="38" spans="1:3" x14ac:dyDescent="0.25">
      <c r="A38">
        <v>11899460</v>
      </c>
      <c r="B38" t="s">
        <v>22</v>
      </c>
      <c r="C38" t="s">
        <v>21</v>
      </c>
    </row>
    <row r="39" spans="1:3" x14ac:dyDescent="0.25">
      <c r="A39">
        <v>11269120</v>
      </c>
      <c r="B39" t="s">
        <v>12</v>
      </c>
    </row>
    <row r="40" spans="1:3" x14ac:dyDescent="0.25">
      <c r="A40">
        <v>11344672</v>
      </c>
      <c r="B40" t="s">
        <v>12</v>
      </c>
    </row>
    <row r="41" spans="1:3" x14ac:dyDescent="0.25">
      <c r="A41">
        <v>11269632</v>
      </c>
      <c r="B41" t="s">
        <v>9</v>
      </c>
      <c r="C41" t="s">
        <v>8</v>
      </c>
    </row>
    <row r="42" spans="1:3" x14ac:dyDescent="0.25">
      <c r="A42">
        <v>11600384</v>
      </c>
      <c r="B42" t="s">
        <v>22</v>
      </c>
      <c r="C42" t="s">
        <v>21</v>
      </c>
    </row>
    <row r="43" spans="1:3" x14ac:dyDescent="0.25">
      <c r="A43">
        <v>11600003</v>
      </c>
      <c r="B43" t="s">
        <v>22</v>
      </c>
      <c r="C43" t="s">
        <v>21</v>
      </c>
    </row>
    <row r="44" spans="1:3" x14ac:dyDescent="0.25">
      <c r="A44">
        <v>11612125</v>
      </c>
      <c r="B44" t="s">
        <v>22</v>
      </c>
      <c r="C44" t="s">
        <v>21</v>
      </c>
    </row>
    <row r="45" spans="1:3" x14ac:dyDescent="0.25">
      <c r="A45">
        <v>11612134</v>
      </c>
      <c r="B45" t="s">
        <v>22</v>
      </c>
      <c r="C45" t="s">
        <v>21</v>
      </c>
    </row>
    <row r="46" spans="1:3" x14ac:dyDescent="0.25">
      <c r="A46">
        <v>11612150</v>
      </c>
      <c r="B46" t="s">
        <v>22</v>
      </c>
      <c r="C46" t="s">
        <v>21</v>
      </c>
    </row>
    <row r="47" spans="1:3" x14ac:dyDescent="0.25">
      <c r="A47">
        <v>11684485</v>
      </c>
      <c r="B47" t="s">
        <v>22</v>
      </c>
      <c r="C47" t="s">
        <v>21</v>
      </c>
    </row>
    <row r="48" spans="1:3" x14ac:dyDescent="0.25">
      <c r="A48">
        <v>11684795</v>
      </c>
      <c r="B48" t="s">
        <v>22</v>
      </c>
      <c r="C48" t="s">
        <v>21</v>
      </c>
    </row>
    <row r="49" spans="1:3" x14ac:dyDescent="0.25">
      <c r="A49">
        <v>11684898</v>
      </c>
      <c r="B49" t="s">
        <v>22</v>
      </c>
      <c r="C49" t="s">
        <v>21</v>
      </c>
    </row>
    <row r="50" spans="1:3" x14ac:dyDescent="0.25">
      <c r="A50">
        <v>11685013</v>
      </c>
      <c r="B50" t="s">
        <v>22</v>
      </c>
      <c r="C50" t="s">
        <v>21</v>
      </c>
    </row>
    <row r="51" spans="1:3" x14ac:dyDescent="0.25">
      <c r="A51">
        <v>11714445</v>
      </c>
      <c r="B51" t="s">
        <v>22</v>
      </c>
      <c r="C51" t="s">
        <v>21</v>
      </c>
    </row>
    <row r="52" spans="1:3" x14ac:dyDescent="0.25">
      <c r="A52">
        <v>11714617</v>
      </c>
      <c r="B52" t="s">
        <v>22</v>
      </c>
      <c r="C52" t="s">
        <v>21</v>
      </c>
    </row>
    <row r="53" spans="1:3" x14ac:dyDescent="0.25">
      <c r="A53">
        <v>11714640</v>
      </c>
      <c r="B53" t="s">
        <v>22</v>
      </c>
      <c r="C53" t="s">
        <v>21</v>
      </c>
    </row>
    <row r="54" spans="1:3" x14ac:dyDescent="0.25">
      <c r="A54">
        <v>11714702</v>
      </c>
      <c r="B54" t="s">
        <v>22</v>
      </c>
      <c r="C54" t="s">
        <v>21</v>
      </c>
    </row>
    <row r="55" spans="1:3" x14ac:dyDescent="0.25">
      <c r="A55">
        <v>11717819</v>
      </c>
      <c r="B55" t="s">
        <v>22</v>
      </c>
      <c r="C55" t="s">
        <v>21</v>
      </c>
    </row>
    <row r="56" spans="1:3" x14ac:dyDescent="0.25">
      <c r="A56">
        <v>11717984</v>
      </c>
      <c r="B56" t="s">
        <v>22</v>
      </c>
      <c r="C56" t="s">
        <v>21</v>
      </c>
    </row>
    <row r="57" spans="1:3" x14ac:dyDescent="0.25">
      <c r="A57">
        <v>11718243</v>
      </c>
      <c r="B57" t="s">
        <v>22</v>
      </c>
      <c r="C57" t="s">
        <v>21</v>
      </c>
    </row>
    <row r="58" spans="1:3" x14ac:dyDescent="0.25">
      <c r="A58">
        <v>11718364</v>
      </c>
      <c r="B58" t="s">
        <v>22</v>
      </c>
      <c r="C58" t="s">
        <v>21</v>
      </c>
    </row>
    <row r="59" spans="1:3" x14ac:dyDescent="0.25">
      <c r="A59">
        <v>11718437</v>
      </c>
      <c r="B59" t="s">
        <v>22</v>
      </c>
      <c r="C59" t="s">
        <v>21</v>
      </c>
    </row>
    <row r="60" spans="1:3" x14ac:dyDescent="0.25">
      <c r="A60">
        <v>11718549</v>
      </c>
      <c r="B60" t="s">
        <v>22</v>
      </c>
      <c r="C60" t="s">
        <v>21</v>
      </c>
    </row>
    <row r="61" spans="1:3" x14ac:dyDescent="0.25">
      <c r="A61">
        <v>11740755</v>
      </c>
      <c r="B61" t="s">
        <v>22</v>
      </c>
      <c r="C61" t="s">
        <v>21</v>
      </c>
    </row>
    <row r="62" spans="1:3" x14ac:dyDescent="0.25">
      <c r="A62">
        <v>11740859</v>
      </c>
      <c r="B62" t="s">
        <v>22</v>
      </c>
      <c r="C62" t="s">
        <v>21</v>
      </c>
    </row>
    <row r="63" spans="1:3" x14ac:dyDescent="0.25">
      <c r="A63">
        <v>11698469</v>
      </c>
      <c r="B63" t="s">
        <v>22</v>
      </c>
      <c r="C63" t="s">
        <v>21</v>
      </c>
    </row>
    <row r="64" spans="1:3" x14ac:dyDescent="0.25">
      <c r="A64">
        <v>11698475</v>
      </c>
      <c r="B64" t="s">
        <v>22</v>
      </c>
      <c r="C64" t="s">
        <v>21</v>
      </c>
    </row>
    <row r="65" spans="1:3" x14ac:dyDescent="0.25">
      <c r="A65">
        <v>11773367</v>
      </c>
      <c r="B65" t="s">
        <v>22</v>
      </c>
      <c r="C65" t="s">
        <v>21</v>
      </c>
    </row>
    <row r="66" spans="1:3" x14ac:dyDescent="0.25">
      <c r="A66">
        <v>11773409</v>
      </c>
      <c r="B66" t="s">
        <v>22</v>
      </c>
      <c r="C66" t="s">
        <v>21</v>
      </c>
    </row>
    <row r="67" spans="1:3" x14ac:dyDescent="0.25">
      <c r="A67">
        <v>11757048</v>
      </c>
      <c r="B67" t="s">
        <v>22</v>
      </c>
      <c r="C67" t="s">
        <v>21</v>
      </c>
    </row>
    <row r="68" spans="1:3" x14ac:dyDescent="0.25">
      <c r="A68">
        <v>11774377</v>
      </c>
      <c r="B68" t="s">
        <v>22</v>
      </c>
      <c r="C68" t="s">
        <v>21</v>
      </c>
    </row>
    <row r="69" spans="1:3" x14ac:dyDescent="0.25">
      <c r="A69">
        <v>11798332</v>
      </c>
      <c r="B69" t="s">
        <v>22</v>
      </c>
      <c r="C69" t="s">
        <v>21</v>
      </c>
    </row>
    <row r="70" spans="1:3" x14ac:dyDescent="0.25">
      <c r="A70">
        <v>11799384</v>
      </c>
      <c r="B70" t="s">
        <v>22</v>
      </c>
      <c r="C70" t="s">
        <v>21</v>
      </c>
    </row>
    <row r="71" spans="1:3" x14ac:dyDescent="0.25">
      <c r="A71">
        <v>11800181</v>
      </c>
      <c r="B71" t="s">
        <v>22</v>
      </c>
      <c r="C71" t="s">
        <v>21</v>
      </c>
    </row>
    <row r="72" spans="1:3" x14ac:dyDescent="0.25">
      <c r="A72">
        <v>11800788</v>
      </c>
      <c r="B72" t="s">
        <v>22</v>
      </c>
      <c r="C72" t="s">
        <v>21</v>
      </c>
    </row>
    <row r="73" spans="1:3" x14ac:dyDescent="0.25">
      <c r="A73">
        <v>11806133</v>
      </c>
      <c r="B73" t="s">
        <v>22</v>
      </c>
      <c r="C73" t="s">
        <v>21</v>
      </c>
    </row>
    <row r="74" spans="1:3" x14ac:dyDescent="0.25">
      <c r="A74">
        <v>11611775</v>
      </c>
      <c r="B74" t="s">
        <v>22</v>
      </c>
      <c r="C74" t="s">
        <v>21</v>
      </c>
    </row>
    <row r="75" spans="1:3" x14ac:dyDescent="0.25">
      <c r="A75">
        <v>11832009</v>
      </c>
      <c r="B75" t="s">
        <v>22</v>
      </c>
      <c r="C75" t="s">
        <v>21</v>
      </c>
    </row>
    <row r="76" spans="1:3" x14ac:dyDescent="0.25">
      <c r="A76">
        <v>11832538</v>
      </c>
      <c r="B76" t="s">
        <v>22</v>
      </c>
      <c r="C76" t="s">
        <v>21</v>
      </c>
    </row>
    <row r="77" spans="1:3" x14ac:dyDescent="0.25">
      <c r="A77">
        <v>11842737</v>
      </c>
      <c r="B77" t="s">
        <v>22</v>
      </c>
      <c r="C77" t="s">
        <v>21</v>
      </c>
    </row>
    <row r="78" spans="1:3" x14ac:dyDescent="0.25">
      <c r="A78">
        <v>11843401</v>
      </c>
      <c r="B78" t="s">
        <v>22</v>
      </c>
      <c r="C78" t="s">
        <v>21</v>
      </c>
    </row>
    <row r="79" spans="1:3" x14ac:dyDescent="0.25">
      <c r="A79">
        <v>11888712</v>
      </c>
      <c r="B79" t="s">
        <v>22</v>
      </c>
      <c r="C79" t="s">
        <v>21</v>
      </c>
    </row>
    <row r="80" spans="1:3" x14ac:dyDescent="0.25">
      <c r="A80">
        <v>11889032</v>
      </c>
      <c r="B80" t="s">
        <v>22</v>
      </c>
      <c r="C80" t="s">
        <v>21</v>
      </c>
    </row>
    <row r="81" spans="1:3" x14ac:dyDescent="0.25">
      <c r="A81">
        <v>11890089</v>
      </c>
      <c r="B81" t="s">
        <v>22</v>
      </c>
      <c r="C81" t="s">
        <v>21</v>
      </c>
    </row>
    <row r="82" spans="1:3" x14ac:dyDescent="0.25">
      <c r="A82">
        <v>11930488</v>
      </c>
      <c r="B82" t="s">
        <v>22</v>
      </c>
      <c r="C82" t="s">
        <v>21</v>
      </c>
    </row>
    <row r="83" spans="1:3" x14ac:dyDescent="0.25">
      <c r="A83">
        <v>11899817</v>
      </c>
      <c r="B83" t="s">
        <v>22</v>
      </c>
      <c r="C83" t="s">
        <v>21</v>
      </c>
    </row>
    <row r="84" spans="1:3" x14ac:dyDescent="0.25">
      <c r="A84">
        <v>10706315</v>
      </c>
      <c r="B84" t="s">
        <v>9</v>
      </c>
      <c r="C84" t="s">
        <v>8</v>
      </c>
    </row>
    <row r="85" spans="1:3" x14ac:dyDescent="0.25">
      <c r="A85">
        <v>11296113</v>
      </c>
      <c r="B85" t="s">
        <v>9</v>
      </c>
      <c r="C85" t="s">
        <v>8</v>
      </c>
    </row>
    <row r="86" spans="1:3" x14ac:dyDescent="0.25">
      <c r="A86">
        <v>11611811</v>
      </c>
      <c r="B86" t="s">
        <v>22</v>
      </c>
    </row>
    <row r="87" spans="1:3" x14ac:dyDescent="0.25">
      <c r="A87">
        <v>11588015</v>
      </c>
      <c r="B87" t="s">
        <v>22</v>
      </c>
    </row>
    <row r="88" spans="1:3" x14ac:dyDescent="0.25">
      <c r="A88">
        <v>11599660</v>
      </c>
      <c r="B88" t="s">
        <v>22</v>
      </c>
    </row>
    <row r="89" spans="1:3" x14ac:dyDescent="0.25">
      <c r="A89">
        <v>11599672</v>
      </c>
      <c r="B89" t="s">
        <v>22</v>
      </c>
    </row>
    <row r="90" spans="1:3" x14ac:dyDescent="0.25">
      <c r="A90">
        <v>11599681</v>
      </c>
      <c r="B90" t="s">
        <v>22</v>
      </c>
    </row>
    <row r="91" spans="1:3" x14ac:dyDescent="0.25">
      <c r="A91">
        <v>11599755</v>
      </c>
      <c r="B91" t="s">
        <v>22</v>
      </c>
    </row>
    <row r="92" spans="1:3" x14ac:dyDescent="0.25">
      <c r="A92">
        <v>11600028</v>
      </c>
      <c r="B92" t="s">
        <v>22</v>
      </c>
    </row>
    <row r="93" spans="1:3" x14ac:dyDescent="0.25">
      <c r="A93">
        <v>11067193</v>
      </c>
      <c r="B93" t="s">
        <v>22</v>
      </c>
    </row>
    <row r="94" spans="1:3" x14ac:dyDescent="0.25">
      <c r="A94">
        <v>11068581</v>
      </c>
      <c r="B94" t="s">
        <v>22</v>
      </c>
    </row>
    <row r="95" spans="1:3" x14ac:dyDescent="0.25">
      <c r="A95">
        <v>11069471</v>
      </c>
      <c r="B95" t="s">
        <v>22</v>
      </c>
    </row>
    <row r="96" spans="1:3" x14ac:dyDescent="0.25">
      <c r="A96">
        <v>11069911</v>
      </c>
      <c r="B96" t="s">
        <v>22</v>
      </c>
    </row>
    <row r="97" spans="1:3" x14ac:dyDescent="0.25">
      <c r="A97">
        <v>11068167</v>
      </c>
      <c r="B97" t="s">
        <v>22</v>
      </c>
      <c r="C97" t="s">
        <v>21</v>
      </c>
    </row>
    <row r="98" spans="1:3" x14ac:dyDescent="0.25">
      <c r="A98">
        <v>11149370</v>
      </c>
      <c r="B98" t="s">
        <v>28</v>
      </c>
      <c r="C98" t="s">
        <v>30</v>
      </c>
    </row>
    <row r="99" spans="1:3" x14ac:dyDescent="0.25">
      <c r="A99">
        <v>11322951</v>
      </c>
      <c r="B99" t="s">
        <v>9</v>
      </c>
      <c r="C99" t="s">
        <v>8</v>
      </c>
    </row>
    <row r="100" spans="1:3" x14ac:dyDescent="0.25">
      <c r="A100">
        <v>10781227</v>
      </c>
      <c r="B100" t="s">
        <v>9</v>
      </c>
      <c r="C100" t="s">
        <v>8</v>
      </c>
    </row>
    <row r="101" spans="1:3" x14ac:dyDescent="0.25">
      <c r="A101">
        <v>11348488</v>
      </c>
      <c r="B101" t="s">
        <v>7</v>
      </c>
      <c r="C101" t="s">
        <v>6</v>
      </c>
    </row>
    <row r="102" spans="1:3" x14ac:dyDescent="0.25">
      <c r="A102">
        <v>11067294</v>
      </c>
      <c r="B102" t="s">
        <v>12</v>
      </c>
    </row>
    <row r="103" spans="1:3" x14ac:dyDescent="0.25">
      <c r="A103">
        <v>10817381</v>
      </c>
      <c r="B103" t="s">
        <v>12</v>
      </c>
    </row>
    <row r="104" spans="1:3" x14ac:dyDescent="0.25">
      <c r="A104">
        <v>10718989</v>
      </c>
      <c r="B104" t="s">
        <v>12</v>
      </c>
    </row>
    <row r="105" spans="1:3" x14ac:dyDescent="0.25">
      <c r="A105">
        <v>10930967</v>
      </c>
      <c r="B105" t="s">
        <v>12</v>
      </c>
    </row>
    <row r="106" spans="1:3" x14ac:dyDescent="0.25">
      <c r="A106">
        <v>11548332</v>
      </c>
      <c r="B106" t="s">
        <v>7</v>
      </c>
      <c r="C106" t="s">
        <v>6</v>
      </c>
    </row>
    <row r="107" spans="1:3" x14ac:dyDescent="0.25">
      <c r="A107">
        <v>11997721</v>
      </c>
      <c r="B107" t="s">
        <v>22</v>
      </c>
      <c r="C107" t="s">
        <v>21</v>
      </c>
    </row>
    <row r="108" spans="1:3" x14ac:dyDescent="0.25">
      <c r="A108">
        <v>11899953</v>
      </c>
      <c r="B108" t="s">
        <v>22</v>
      </c>
      <c r="C108" t="s">
        <v>21</v>
      </c>
    </row>
    <row r="109" spans="1:3" x14ac:dyDescent="0.25">
      <c r="A109">
        <v>11888689</v>
      </c>
      <c r="B109" t="s">
        <v>22</v>
      </c>
      <c r="C109" t="s">
        <v>21</v>
      </c>
    </row>
    <row r="110" spans="1:3" x14ac:dyDescent="0.25">
      <c r="A110">
        <v>11890450</v>
      </c>
      <c r="B110" t="s">
        <v>22</v>
      </c>
      <c r="C110" t="s">
        <v>21</v>
      </c>
    </row>
    <row r="111" spans="1:3" x14ac:dyDescent="0.25">
      <c r="A111">
        <v>11863838</v>
      </c>
      <c r="B111" t="s">
        <v>22</v>
      </c>
      <c r="C111" t="s">
        <v>21</v>
      </c>
    </row>
    <row r="112" spans="1:3" x14ac:dyDescent="0.25">
      <c r="A112">
        <v>11468363</v>
      </c>
      <c r="B112" t="s">
        <v>9</v>
      </c>
      <c r="C112" t="s">
        <v>8</v>
      </c>
    </row>
    <row r="113" spans="1:3" x14ac:dyDescent="0.25">
      <c r="A113">
        <v>11684394</v>
      </c>
      <c r="B113" t="s">
        <v>22</v>
      </c>
      <c r="C113" t="s">
        <v>21</v>
      </c>
    </row>
    <row r="114" spans="1:3" x14ac:dyDescent="0.25">
      <c r="A114">
        <v>11684463</v>
      </c>
      <c r="B114" t="s">
        <v>22</v>
      </c>
      <c r="C114" t="s">
        <v>21</v>
      </c>
    </row>
    <row r="115" spans="1:3" x14ac:dyDescent="0.25">
      <c r="A115">
        <v>11699049</v>
      </c>
      <c r="B115" t="s">
        <v>22</v>
      </c>
      <c r="C115" t="s">
        <v>21</v>
      </c>
    </row>
    <row r="116" spans="1:3" x14ac:dyDescent="0.25">
      <c r="A116">
        <v>11698491</v>
      </c>
      <c r="B116" t="s">
        <v>22</v>
      </c>
      <c r="C116" t="s">
        <v>21</v>
      </c>
    </row>
    <row r="117" spans="1:3" x14ac:dyDescent="0.25">
      <c r="A117">
        <v>11351151</v>
      </c>
      <c r="B117" t="s">
        <v>9</v>
      </c>
      <c r="C117" t="s">
        <v>8</v>
      </c>
    </row>
    <row r="118" spans="1:3" x14ac:dyDescent="0.25">
      <c r="A118">
        <v>11889547</v>
      </c>
      <c r="B118" t="s">
        <v>22</v>
      </c>
      <c r="C118" t="s">
        <v>21</v>
      </c>
    </row>
    <row r="119" spans="1:3" x14ac:dyDescent="0.25">
      <c r="A119">
        <v>11376296</v>
      </c>
      <c r="B119" t="s">
        <v>7</v>
      </c>
      <c r="C119" t="s">
        <v>6</v>
      </c>
    </row>
    <row r="120" spans="1:3" x14ac:dyDescent="0.25">
      <c r="A120">
        <v>11405795</v>
      </c>
      <c r="B120" t="s">
        <v>12</v>
      </c>
    </row>
    <row r="121" spans="1:3" x14ac:dyDescent="0.25">
      <c r="A121">
        <v>10729437</v>
      </c>
      <c r="B121" t="s">
        <v>9</v>
      </c>
      <c r="C121" t="s">
        <v>8</v>
      </c>
    </row>
    <row r="122" spans="1:3" x14ac:dyDescent="0.25">
      <c r="A122">
        <v>11890569</v>
      </c>
      <c r="B122" t="s">
        <v>22</v>
      </c>
      <c r="C122" t="s">
        <v>21</v>
      </c>
    </row>
    <row r="123" spans="1:3" x14ac:dyDescent="0.25">
      <c r="A123">
        <v>11930626</v>
      </c>
      <c r="B123" t="s">
        <v>22</v>
      </c>
      <c r="C123" t="s">
        <v>21</v>
      </c>
    </row>
    <row r="124" spans="1:3" x14ac:dyDescent="0.25">
      <c r="A124">
        <v>11803035</v>
      </c>
      <c r="B124" t="s">
        <v>22</v>
      </c>
      <c r="C124" t="s">
        <v>21</v>
      </c>
    </row>
    <row r="125" spans="1:3" x14ac:dyDescent="0.25">
      <c r="A125">
        <v>11773470</v>
      </c>
      <c r="B125" t="s">
        <v>22</v>
      </c>
      <c r="C125" t="s">
        <v>21</v>
      </c>
    </row>
    <row r="126" spans="1:3" x14ac:dyDescent="0.25">
      <c r="A126">
        <v>11611673</v>
      </c>
      <c r="B126" t="s">
        <v>22</v>
      </c>
      <c r="C126" t="s">
        <v>21</v>
      </c>
    </row>
    <row r="127" spans="1:3" x14ac:dyDescent="0.25">
      <c r="A127">
        <v>11997468</v>
      </c>
      <c r="B127" t="s">
        <v>22</v>
      </c>
      <c r="C127" t="s">
        <v>21</v>
      </c>
    </row>
    <row r="128" spans="1:3" x14ac:dyDescent="0.25">
      <c r="A128">
        <v>11997542</v>
      </c>
      <c r="B128" t="s">
        <v>22</v>
      </c>
      <c r="C128" t="s">
        <v>21</v>
      </c>
    </row>
    <row r="129" spans="1:3" x14ac:dyDescent="0.25">
      <c r="A129">
        <v>11899917</v>
      </c>
      <c r="B129" t="s">
        <v>22</v>
      </c>
      <c r="C129" t="s">
        <v>21</v>
      </c>
    </row>
    <row r="130" spans="1:3" x14ac:dyDescent="0.25">
      <c r="A130">
        <v>12011164</v>
      </c>
      <c r="B130" t="s">
        <v>22</v>
      </c>
      <c r="C130" t="s">
        <v>21</v>
      </c>
    </row>
    <row r="131" spans="1:3" x14ac:dyDescent="0.25">
      <c r="A131">
        <v>12011236</v>
      </c>
      <c r="B131" t="s">
        <v>22</v>
      </c>
      <c r="C131" t="s">
        <v>21</v>
      </c>
    </row>
    <row r="132" spans="1:3" x14ac:dyDescent="0.25">
      <c r="A132">
        <v>11890484</v>
      </c>
      <c r="B132" t="s">
        <v>22</v>
      </c>
      <c r="C132" t="s">
        <v>21</v>
      </c>
    </row>
    <row r="133" spans="1:3" x14ac:dyDescent="0.25">
      <c r="A133">
        <v>10715251</v>
      </c>
      <c r="B133" t="s">
        <v>9</v>
      </c>
      <c r="C133" t="s">
        <v>8</v>
      </c>
    </row>
    <row r="134" spans="1:3" x14ac:dyDescent="0.25">
      <c r="A134">
        <v>11588046</v>
      </c>
      <c r="B134" t="s">
        <v>22</v>
      </c>
    </row>
    <row r="135" spans="1:3" x14ac:dyDescent="0.25">
      <c r="A135">
        <v>11587818</v>
      </c>
      <c r="B135" t="s">
        <v>22</v>
      </c>
    </row>
    <row r="136" spans="1:3" x14ac:dyDescent="0.25">
      <c r="A136">
        <v>11587864</v>
      </c>
      <c r="B136" t="s">
        <v>22</v>
      </c>
    </row>
    <row r="137" spans="1:3" x14ac:dyDescent="0.25">
      <c r="A137">
        <v>11587883</v>
      </c>
      <c r="B137" t="s">
        <v>22</v>
      </c>
    </row>
    <row r="138" spans="1:3" x14ac:dyDescent="0.25">
      <c r="A138">
        <v>11588003</v>
      </c>
      <c r="B138" t="s">
        <v>22</v>
      </c>
    </row>
    <row r="139" spans="1:3" x14ac:dyDescent="0.25">
      <c r="A139">
        <v>11588013</v>
      </c>
      <c r="B139" t="s">
        <v>22</v>
      </c>
    </row>
    <row r="140" spans="1:3" x14ac:dyDescent="0.25">
      <c r="A140">
        <v>11364047</v>
      </c>
      <c r="B140" t="s">
        <v>7</v>
      </c>
      <c r="C140" t="s">
        <v>6</v>
      </c>
    </row>
    <row r="141" spans="1:3" x14ac:dyDescent="0.25">
      <c r="A141">
        <v>11611596</v>
      </c>
      <c r="B141" t="s">
        <v>22</v>
      </c>
    </row>
    <row r="142" spans="1:3" x14ac:dyDescent="0.25">
      <c r="A142">
        <v>11311587</v>
      </c>
      <c r="B142" t="s">
        <v>9</v>
      </c>
      <c r="C142" t="s">
        <v>8</v>
      </c>
    </row>
    <row r="143" spans="1:3" x14ac:dyDescent="0.25">
      <c r="A143">
        <v>11359265</v>
      </c>
      <c r="B143" t="s">
        <v>7</v>
      </c>
      <c r="C143" t="s">
        <v>6</v>
      </c>
    </row>
    <row r="144" spans="1:3" x14ac:dyDescent="0.25">
      <c r="A144">
        <v>11269104</v>
      </c>
      <c r="B144" t="s">
        <v>9</v>
      </c>
      <c r="C144" t="s">
        <v>8</v>
      </c>
    </row>
    <row r="145" spans="1:3" x14ac:dyDescent="0.25">
      <c r="A145">
        <v>11343103</v>
      </c>
      <c r="B145" t="s">
        <v>7</v>
      </c>
      <c r="C145" t="s">
        <v>6</v>
      </c>
    </row>
    <row r="146" spans="1:3" x14ac:dyDescent="0.25">
      <c r="A146">
        <v>11212833</v>
      </c>
      <c r="B146" t="s">
        <v>12</v>
      </c>
    </row>
    <row r="147" spans="1:3" x14ac:dyDescent="0.25">
      <c r="A147">
        <v>11259578</v>
      </c>
      <c r="B147" t="s">
        <v>9</v>
      </c>
      <c r="C147" t="s">
        <v>8</v>
      </c>
    </row>
    <row r="148" spans="1:3" x14ac:dyDescent="0.25">
      <c r="A148">
        <v>11329820</v>
      </c>
      <c r="B148" t="s">
        <v>12</v>
      </c>
    </row>
    <row r="149" spans="1:3" x14ac:dyDescent="0.25">
      <c r="A149">
        <v>11405869</v>
      </c>
      <c r="B149" t="s">
        <v>7</v>
      </c>
      <c r="C149" t="s">
        <v>6</v>
      </c>
    </row>
    <row r="150" spans="1:3" x14ac:dyDescent="0.25">
      <c r="A150">
        <v>10691773</v>
      </c>
      <c r="B150" t="s">
        <v>9</v>
      </c>
      <c r="C150" t="s">
        <v>8</v>
      </c>
    </row>
    <row r="151" spans="1:3" x14ac:dyDescent="0.25">
      <c r="A151">
        <v>11405760</v>
      </c>
      <c r="B151" t="s">
        <v>18</v>
      </c>
      <c r="C151" t="s">
        <v>17</v>
      </c>
    </row>
    <row r="152" spans="1:3" x14ac:dyDescent="0.25">
      <c r="A152">
        <v>11348251</v>
      </c>
      <c r="B152" t="s">
        <v>12</v>
      </c>
    </row>
    <row r="153" spans="1:3" x14ac:dyDescent="0.25">
      <c r="A153">
        <v>11371519</v>
      </c>
      <c r="B153" t="s">
        <v>7</v>
      </c>
      <c r="C153" t="s">
        <v>6</v>
      </c>
    </row>
    <row r="154" spans="1:3" x14ac:dyDescent="0.25">
      <c r="A154">
        <v>11311851</v>
      </c>
      <c r="B154" t="s">
        <v>16</v>
      </c>
      <c r="C154" t="s">
        <v>15</v>
      </c>
    </row>
    <row r="155" spans="1:3" x14ac:dyDescent="0.25">
      <c r="A155">
        <v>11346192</v>
      </c>
      <c r="B155" t="s">
        <v>7</v>
      </c>
      <c r="C155" t="s">
        <v>6</v>
      </c>
    </row>
    <row r="156" spans="1:3" x14ac:dyDescent="0.25">
      <c r="A156">
        <v>11368730</v>
      </c>
      <c r="B156" t="s">
        <v>14</v>
      </c>
      <c r="C156" t="s">
        <v>13</v>
      </c>
    </row>
    <row r="157" spans="1:3" x14ac:dyDescent="0.25">
      <c r="A157">
        <v>10782702</v>
      </c>
      <c r="B157" t="s">
        <v>9</v>
      </c>
      <c r="C157" t="s">
        <v>8</v>
      </c>
    </row>
    <row r="158" spans="1:3" x14ac:dyDescent="0.25">
      <c r="A158">
        <v>11394466</v>
      </c>
      <c r="B158" t="s">
        <v>9</v>
      </c>
      <c r="C158" t="s">
        <v>8</v>
      </c>
    </row>
    <row r="159" spans="1:3" x14ac:dyDescent="0.25">
      <c r="A159">
        <v>11400710</v>
      </c>
      <c r="B159" t="s">
        <v>7</v>
      </c>
      <c r="C159" t="s">
        <v>6</v>
      </c>
    </row>
    <row r="160" spans="1:3" x14ac:dyDescent="0.25">
      <c r="A160">
        <v>11104749</v>
      </c>
      <c r="B160" t="s">
        <v>12</v>
      </c>
    </row>
    <row r="161" spans="1:3" x14ac:dyDescent="0.25">
      <c r="A161">
        <v>11356166</v>
      </c>
      <c r="B161" t="s">
        <v>14</v>
      </c>
      <c r="C161" t="s">
        <v>13</v>
      </c>
    </row>
    <row r="162" spans="1:3" x14ac:dyDescent="0.25">
      <c r="A162">
        <v>11374891</v>
      </c>
      <c r="B162" t="s">
        <v>12</v>
      </c>
    </row>
    <row r="163" spans="1:3" x14ac:dyDescent="0.25">
      <c r="A163">
        <v>11328772</v>
      </c>
      <c r="B163" t="s">
        <v>12</v>
      </c>
    </row>
    <row r="164" spans="1:3" x14ac:dyDescent="0.25">
      <c r="A164">
        <v>11305170</v>
      </c>
      <c r="B164" t="s">
        <v>9</v>
      </c>
      <c r="C164" t="s">
        <v>8</v>
      </c>
    </row>
    <row r="165" spans="1:3" x14ac:dyDescent="0.25">
      <c r="A165">
        <v>11220990</v>
      </c>
      <c r="B165" t="s">
        <v>12</v>
      </c>
    </row>
    <row r="166" spans="1:3" x14ac:dyDescent="0.25">
      <c r="A166">
        <v>10586869</v>
      </c>
      <c r="B166" t="s">
        <v>16</v>
      </c>
      <c r="C166" t="s">
        <v>15</v>
      </c>
    </row>
    <row r="167" spans="1:3" x14ac:dyDescent="0.25">
      <c r="A167">
        <v>11348239</v>
      </c>
      <c r="B167" t="s">
        <v>7</v>
      </c>
      <c r="C167" t="s">
        <v>6</v>
      </c>
    </row>
    <row r="168" spans="1:3" x14ac:dyDescent="0.25">
      <c r="A168">
        <v>11367824</v>
      </c>
      <c r="B168" t="s">
        <v>7</v>
      </c>
      <c r="C168" t="s">
        <v>6</v>
      </c>
    </row>
    <row r="169" spans="1:3" x14ac:dyDescent="0.25">
      <c r="A169">
        <v>11238880</v>
      </c>
      <c r="B169" t="s">
        <v>12</v>
      </c>
    </row>
    <row r="170" spans="1:3" x14ac:dyDescent="0.25">
      <c r="A170">
        <v>11310421</v>
      </c>
      <c r="B170" t="s">
        <v>9</v>
      </c>
      <c r="C170" t="s">
        <v>8</v>
      </c>
    </row>
    <row r="171" spans="1:3" x14ac:dyDescent="0.25">
      <c r="A171">
        <v>11280178</v>
      </c>
      <c r="B171" t="s">
        <v>9</v>
      </c>
      <c r="C171" t="s">
        <v>8</v>
      </c>
    </row>
    <row r="172" spans="1:3" x14ac:dyDescent="0.25">
      <c r="A172">
        <v>11234339</v>
      </c>
      <c r="B172" t="s">
        <v>9</v>
      </c>
      <c r="C172" t="s">
        <v>8</v>
      </c>
    </row>
    <row r="173" spans="1:3" x14ac:dyDescent="0.25">
      <c r="A173">
        <v>11370493</v>
      </c>
      <c r="B173" t="s">
        <v>16</v>
      </c>
      <c r="C173" t="s">
        <v>15</v>
      </c>
    </row>
    <row r="174" spans="1:3" x14ac:dyDescent="0.25">
      <c r="A174">
        <v>11390437</v>
      </c>
      <c r="B174" t="s">
        <v>7</v>
      </c>
      <c r="C174" t="s">
        <v>6</v>
      </c>
    </row>
    <row r="175" spans="1:3" x14ac:dyDescent="0.25">
      <c r="A175">
        <v>11375164</v>
      </c>
      <c r="B175" t="s">
        <v>9</v>
      </c>
      <c r="C175" t="s">
        <v>8</v>
      </c>
    </row>
    <row r="176" spans="1:3" x14ac:dyDescent="0.25">
      <c r="A176">
        <v>11409688</v>
      </c>
      <c r="B176" t="s">
        <v>12</v>
      </c>
    </row>
    <row r="177" spans="1:3" x14ac:dyDescent="0.25">
      <c r="A177">
        <v>10857822</v>
      </c>
      <c r="B177" t="s">
        <v>12</v>
      </c>
    </row>
    <row r="178" spans="1:3" x14ac:dyDescent="0.25">
      <c r="A178">
        <v>11835112</v>
      </c>
      <c r="B178" t="s">
        <v>9</v>
      </c>
      <c r="C178" t="s">
        <v>8</v>
      </c>
    </row>
    <row r="179" spans="1:3" x14ac:dyDescent="0.25">
      <c r="A179">
        <v>10803683</v>
      </c>
      <c r="B179" t="s">
        <v>9</v>
      </c>
      <c r="C179" t="s">
        <v>8</v>
      </c>
    </row>
    <row r="180" spans="1:3" x14ac:dyDescent="0.25">
      <c r="A180">
        <v>11886254</v>
      </c>
      <c r="B180" t="s">
        <v>9</v>
      </c>
      <c r="C180" t="s">
        <v>8</v>
      </c>
    </row>
    <row r="181" spans="1:3" x14ac:dyDescent="0.25">
      <c r="A181">
        <v>10746597</v>
      </c>
      <c r="B181" t="s">
        <v>11</v>
      </c>
      <c r="C181" t="s">
        <v>10</v>
      </c>
    </row>
    <row r="182" spans="1:3" x14ac:dyDescent="0.25">
      <c r="A182">
        <v>11003387</v>
      </c>
      <c r="B182" t="s">
        <v>12</v>
      </c>
    </row>
    <row r="183" spans="1:3" x14ac:dyDescent="0.25">
      <c r="A183">
        <v>12021752</v>
      </c>
      <c r="B183" t="s">
        <v>9</v>
      </c>
      <c r="C183" t="s">
        <v>8</v>
      </c>
    </row>
    <row r="184" spans="1:3" x14ac:dyDescent="0.25">
      <c r="A184">
        <v>11014776</v>
      </c>
      <c r="B184" t="s">
        <v>12</v>
      </c>
    </row>
    <row r="185" spans="1:3" x14ac:dyDescent="0.25">
      <c r="A185">
        <v>10825345</v>
      </c>
      <c r="B185" t="s">
        <v>12</v>
      </c>
    </row>
    <row r="186" spans="1:3" x14ac:dyDescent="0.25">
      <c r="A186">
        <v>11512393</v>
      </c>
      <c r="B186" t="s">
        <v>12</v>
      </c>
    </row>
    <row r="187" spans="1:3" x14ac:dyDescent="0.25">
      <c r="A187">
        <v>11322644</v>
      </c>
      <c r="B187" t="s">
        <v>12</v>
      </c>
    </row>
    <row r="188" spans="1:3" x14ac:dyDescent="0.25">
      <c r="A188">
        <v>11490805</v>
      </c>
      <c r="B188" t="s">
        <v>12</v>
      </c>
    </row>
    <row r="189" spans="1:3" x14ac:dyDescent="0.25">
      <c r="A189">
        <v>11557554</v>
      </c>
      <c r="B189" t="s">
        <v>7</v>
      </c>
      <c r="C189" t="s">
        <v>6</v>
      </c>
    </row>
    <row r="190" spans="1:3" x14ac:dyDescent="0.25">
      <c r="A190">
        <v>10691175</v>
      </c>
      <c r="B190" t="s">
        <v>9</v>
      </c>
      <c r="C190" t="s">
        <v>8</v>
      </c>
    </row>
    <row r="191" spans="1:3" x14ac:dyDescent="0.25">
      <c r="A191">
        <v>11486805</v>
      </c>
      <c r="B191" t="s">
        <v>12</v>
      </c>
    </row>
    <row r="192" spans="1:3" x14ac:dyDescent="0.25">
      <c r="A192">
        <v>11939640</v>
      </c>
      <c r="B192" t="s">
        <v>9</v>
      </c>
      <c r="C192" t="s">
        <v>8</v>
      </c>
    </row>
    <row r="193" spans="1:3" x14ac:dyDescent="0.25">
      <c r="A193">
        <v>11538815</v>
      </c>
      <c r="B193" t="s">
        <v>12</v>
      </c>
    </row>
    <row r="194" spans="1:3" x14ac:dyDescent="0.25">
      <c r="A194">
        <v>10813486</v>
      </c>
      <c r="B194" t="s">
        <v>9</v>
      </c>
      <c r="C194" t="s">
        <v>8</v>
      </c>
    </row>
    <row r="195" spans="1:3" x14ac:dyDescent="0.25">
      <c r="A195">
        <v>11381487</v>
      </c>
      <c r="B195" t="s">
        <v>12</v>
      </c>
    </row>
    <row r="196" spans="1:3" x14ac:dyDescent="0.25">
      <c r="A196">
        <v>11561964</v>
      </c>
      <c r="B196" t="s">
        <v>7</v>
      </c>
      <c r="C196" t="s">
        <v>6</v>
      </c>
    </row>
    <row r="197" spans="1:3" x14ac:dyDescent="0.25">
      <c r="A197">
        <v>11559160</v>
      </c>
      <c r="B197" t="s">
        <v>7</v>
      </c>
      <c r="C197" t="s">
        <v>6</v>
      </c>
    </row>
    <row r="198" spans="1:3" x14ac:dyDescent="0.25">
      <c r="A198">
        <v>10710980</v>
      </c>
      <c r="B198" t="s">
        <v>12</v>
      </c>
    </row>
    <row r="199" spans="1:3" x14ac:dyDescent="0.25">
      <c r="A199">
        <v>10721997</v>
      </c>
      <c r="B199" t="s">
        <v>9</v>
      </c>
      <c r="C199" t="s">
        <v>8</v>
      </c>
    </row>
    <row r="200" spans="1:3" x14ac:dyDescent="0.25">
      <c r="A200">
        <v>10678108</v>
      </c>
      <c r="B200" t="s">
        <v>9</v>
      </c>
      <c r="C200" t="s">
        <v>8</v>
      </c>
    </row>
    <row r="201" spans="1:3" x14ac:dyDescent="0.25">
      <c r="A201">
        <v>11761727</v>
      </c>
      <c r="B201" t="s">
        <v>16</v>
      </c>
      <c r="C201" t="s">
        <v>15</v>
      </c>
    </row>
    <row r="202" spans="1:3" x14ac:dyDescent="0.25">
      <c r="A202">
        <v>10970965</v>
      </c>
      <c r="B202" t="s">
        <v>9</v>
      </c>
      <c r="C202" t="s">
        <v>8</v>
      </c>
    </row>
    <row r="203" spans="1:3" x14ac:dyDescent="0.25">
      <c r="A203">
        <v>10991466</v>
      </c>
      <c r="B203" t="s">
        <v>9</v>
      </c>
      <c r="C203" t="s">
        <v>8</v>
      </c>
    </row>
    <row r="204" spans="1:3" x14ac:dyDescent="0.25">
      <c r="A204">
        <v>10791168</v>
      </c>
      <c r="B204" t="s">
        <v>12</v>
      </c>
    </row>
    <row r="205" spans="1:3" x14ac:dyDescent="0.25">
      <c r="A205">
        <v>11900959</v>
      </c>
      <c r="B205" t="s">
        <v>9</v>
      </c>
      <c r="C205" t="s">
        <v>8</v>
      </c>
    </row>
    <row r="206" spans="1:3" x14ac:dyDescent="0.25">
      <c r="A206">
        <v>10811525</v>
      </c>
      <c r="B206" t="s">
        <v>12</v>
      </c>
    </row>
    <row r="207" spans="1:3" x14ac:dyDescent="0.25">
      <c r="A207">
        <v>10750040</v>
      </c>
      <c r="B207" t="s">
        <v>12</v>
      </c>
    </row>
    <row r="208" spans="1:3" x14ac:dyDescent="0.25">
      <c r="A208">
        <v>11735716</v>
      </c>
      <c r="B208" t="s">
        <v>12</v>
      </c>
    </row>
    <row r="209" spans="1:3" x14ac:dyDescent="0.25">
      <c r="A209">
        <v>11906760</v>
      </c>
      <c r="B209" t="s">
        <v>9</v>
      </c>
      <c r="C209" t="s">
        <v>8</v>
      </c>
    </row>
    <row r="210" spans="1:3" x14ac:dyDescent="0.25">
      <c r="A210">
        <v>10817431</v>
      </c>
      <c r="B210" t="s">
        <v>9</v>
      </c>
      <c r="C210" t="s">
        <v>8</v>
      </c>
    </row>
    <row r="211" spans="1:3" x14ac:dyDescent="0.25">
      <c r="A211">
        <v>11666943</v>
      </c>
      <c r="B211" t="s">
        <v>20</v>
      </c>
      <c r="C211" t="s">
        <v>19</v>
      </c>
    </row>
    <row r="212" spans="1:3" x14ac:dyDescent="0.25">
      <c r="A212">
        <v>11718022</v>
      </c>
      <c r="B212" t="s">
        <v>22</v>
      </c>
      <c r="C212" t="s">
        <v>21</v>
      </c>
    </row>
    <row r="213" spans="1:3" x14ac:dyDescent="0.25">
      <c r="A213">
        <v>10717713</v>
      </c>
      <c r="B213" t="s">
        <v>9</v>
      </c>
      <c r="C213" t="s">
        <v>8</v>
      </c>
    </row>
    <row r="214" spans="1:3" x14ac:dyDescent="0.25">
      <c r="A214">
        <v>10728544</v>
      </c>
      <c r="B214" t="s">
        <v>9</v>
      </c>
      <c r="C214" t="s">
        <v>8</v>
      </c>
    </row>
    <row r="215" spans="1:3" x14ac:dyDescent="0.25">
      <c r="A215">
        <v>10749046</v>
      </c>
      <c r="B215" t="s">
        <v>9</v>
      </c>
      <c r="C215" t="s">
        <v>8</v>
      </c>
    </row>
    <row r="216" spans="1:3" x14ac:dyDescent="0.25">
      <c r="A216">
        <v>11480163</v>
      </c>
      <c r="B216" t="s">
        <v>9</v>
      </c>
      <c r="C216" t="s">
        <v>8</v>
      </c>
    </row>
    <row r="217" spans="1:3" x14ac:dyDescent="0.25">
      <c r="A217">
        <v>11375179</v>
      </c>
      <c r="B217" t="s">
        <v>12</v>
      </c>
    </row>
    <row r="218" spans="1:3" x14ac:dyDescent="0.25">
      <c r="A218">
        <v>10898295</v>
      </c>
      <c r="B218" t="s">
        <v>12</v>
      </c>
    </row>
    <row r="219" spans="1:3" x14ac:dyDescent="0.25">
      <c r="A219">
        <v>10604691</v>
      </c>
      <c r="B219" t="s">
        <v>12</v>
      </c>
    </row>
    <row r="220" spans="1:3" x14ac:dyDescent="0.25">
      <c r="A220">
        <v>11077871</v>
      </c>
      <c r="B220" t="s">
        <v>12</v>
      </c>
    </row>
    <row r="221" spans="1:3" x14ac:dyDescent="0.25">
      <c r="A221">
        <v>11882520</v>
      </c>
      <c r="B221" t="s">
        <v>9</v>
      </c>
    </row>
    <row r="222" spans="1:3" x14ac:dyDescent="0.25">
      <c r="A222">
        <v>11447298</v>
      </c>
      <c r="B222" t="s">
        <v>12</v>
      </c>
    </row>
    <row r="223" spans="1:3" x14ac:dyDescent="0.25">
      <c r="A223">
        <v>10929491</v>
      </c>
      <c r="B223" t="s">
        <v>9</v>
      </c>
      <c r="C223" t="s">
        <v>8</v>
      </c>
    </row>
    <row r="224" spans="1:3" x14ac:dyDescent="0.25">
      <c r="A224">
        <v>11234085</v>
      </c>
      <c r="B224" t="s">
        <v>23</v>
      </c>
    </row>
    <row r="225" spans="1:3" x14ac:dyDescent="0.25">
      <c r="A225">
        <v>11806730</v>
      </c>
      <c r="B225" t="s">
        <v>23</v>
      </c>
    </row>
    <row r="226" spans="1:3" x14ac:dyDescent="0.25">
      <c r="A226">
        <v>11848124</v>
      </c>
      <c r="B226" t="s">
        <v>23</v>
      </c>
    </row>
    <row r="227" spans="1:3" x14ac:dyDescent="0.25">
      <c r="A227">
        <v>11935099</v>
      </c>
      <c r="B227" t="s">
        <v>23</v>
      </c>
    </row>
    <row r="228" spans="1:3" x14ac:dyDescent="0.25">
      <c r="A228">
        <v>11987935</v>
      </c>
      <c r="B228" t="s">
        <v>23</v>
      </c>
    </row>
    <row r="229" spans="1:3" x14ac:dyDescent="0.25">
      <c r="A229">
        <v>11073787</v>
      </c>
      <c r="B229" t="s">
        <v>12</v>
      </c>
    </row>
    <row r="230" spans="1:3" x14ac:dyDescent="0.25">
      <c r="A230">
        <v>11283975</v>
      </c>
      <c r="B230" t="s">
        <v>16</v>
      </c>
      <c r="C230" t="s">
        <v>15</v>
      </c>
    </row>
    <row r="231" spans="1:3" x14ac:dyDescent="0.25">
      <c r="A231">
        <v>11990546</v>
      </c>
      <c r="B231" t="s">
        <v>9</v>
      </c>
    </row>
    <row r="232" spans="1:3" x14ac:dyDescent="0.25">
      <c r="A232">
        <v>10701133</v>
      </c>
      <c r="B232" t="s">
        <v>9</v>
      </c>
      <c r="C232" t="s">
        <v>8</v>
      </c>
    </row>
    <row r="233" spans="1:3" x14ac:dyDescent="0.25">
      <c r="A233">
        <v>11559670</v>
      </c>
      <c r="B233" t="s">
        <v>7</v>
      </c>
      <c r="C233" t="s">
        <v>6</v>
      </c>
    </row>
    <row r="234" spans="1:3" x14ac:dyDescent="0.25">
      <c r="A234">
        <v>11344552</v>
      </c>
      <c r="B234" t="s">
        <v>7</v>
      </c>
      <c r="C234" t="s">
        <v>6</v>
      </c>
    </row>
    <row r="235" spans="1:3" x14ac:dyDescent="0.25">
      <c r="A235">
        <v>11420587</v>
      </c>
      <c r="B235" t="s">
        <v>12</v>
      </c>
    </row>
    <row r="236" spans="1:3" x14ac:dyDescent="0.25">
      <c r="A236">
        <v>11769401</v>
      </c>
      <c r="B236" t="s">
        <v>9</v>
      </c>
      <c r="C236" t="s">
        <v>8</v>
      </c>
    </row>
    <row r="237" spans="1:3" x14ac:dyDescent="0.25">
      <c r="A237">
        <v>11959243</v>
      </c>
      <c r="B237" t="s">
        <v>16</v>
      </c>
      <c r="C237" t="s">
        <v>15</v>
      </c>
    </row>
    <row r="238" spans="1:3" x14ac:dyDescent="0.25">
      <c r="A238">
        <v>11865927</v>
      </c>
      <c r="B238" t="s">
        <v>12</v>
      </c>
    </row>
    <row r="239" spans="1:3" x14ac:dyDescent="0.25">
      <c r="A239">
        <v>11033824</v>
      </c>
      <c r="B239" t="s">
        <v>12</v>
      </c>
    </row>
    <row r="240" spans="1:3" x14ac:dyDescent="0.25">
      <c r="A240">
        <v>11568457</v>
      </c>
      <c r="B240" t="s">
        <v>12</v>
      </c>
    </row>
    <row r="241" spans="1:3" x14ac:dyDescent="0.25">
      <c r="A241">
        <v>11745835</v>
      </c>
      <c r="B241" t="s">
        <v>9</v>
      </c>
    </row>
    <row r="242" spans="1:3" x14ac:dyDescent="0.25">
      <c r="A242">
        <v>11368232</v>
      </c>
      <c r="B242" t="s">
        <v>9</v>
      </c>
      <c r="C242" t="s">
        <v>8</v>
      </c>
    </row>
    <row r="243" spans="1:3" x14ac:dyDescent="0.25">
      <c r="A243">
        <v>11741144</v>
      </c>
      <c r="B243" t="s">
        <v>23</v>
      </c>
    </row>
    <row r="244" spans="1:3" x14ac:dyDescent="0.25">
      <c r="A244">
        <v>11558233</v>
      </c>
      <c r="B244" t="s">
        <v>7</v>
      </c>
      <c r="C244" t="s">
        <v>6</v>
      </c>
    </row>
    <row r="245" spans="1:3" x14ac:dyDescent="0.25">
      <c r="A245">
        <v>11826657</v>
      </c>
      <c r="B245" t="s">
        <v>12</v>
      </c>
    </row>
    <row r="246" spans="1:3" x14ac:dyDescent="0.25">
      <c r="A246">
        <v>11873425</v>
      </c>
      <c r="B246" t="s">
        <v>16</v>
      </c>
      <c r="C246" t="s">
        <v>15</v>
      </c>
    </row>
    <row r="247" spans="1:3" x14ac:dyDescent="0.25">
      <c r="A247">
        <v>11598371</v>
      </c>
      <c r="B247" t="s">
        <v>9</v>
      </c>
    </row>
    <row r="248" spans="1:3" x14ac:dyDescent="0.25">
      <c r="A248">
        <v>11884177</v>
      </c>
      <c r="B248" t="s">
        <v>23</v>
      </c>
    </row>
    <row r="249" spans="1:3" x14ac:dyDescent="0.25">
      <c r="A249">
        <v>12001071</v>
      </c>
      <c r="B249" t="s">
        <v>23</v>
      </c>
    </row>
    <row r="250" spans="1:3" x14ac:dyDescent="0.25">
      <c r="A250">
        <v>12007688</v>
      </c>
      <c r="B250" t="s">
        <v>9</v>
      </c>
      <c r="C250" t="s">
        <v>8</v>
      </c>
    </row>
    <row r="251" spans="1:3" x14ac:dyDescent="0.25">
      <c r="A251">
        <v>11583377</v>
      </c>
      <c r="B251" t="s">
        <v>16</v>
      </c>
      <c r="C251" t="s">
        <v>15</v>
      </c>
    </row>
    <row r="252" spans="1:3" x14ac:dyDescent="0.25">
      <c r="A252">
        <v>11928126</v>
      </c>
      <c r="B252" t="s">
        <v>9</v>
      </c>
    </row>
    <row r="253" spans="1:3" x14ac:dyDescent="0.25">
      <c r="A253">
        <v>11407842</v>
      </c>
      <c r="B253" t="s">
        <v>12</v>
      </c>
    </row>
    <row r="254" spans="1:3" x14ac:dyDescent="0.25">
      <c r="A254">
        <v>11745625</v>
      </c>
      <c r="B254" t="s">
        <v>9</v>
      </c>
      <c r="C254" t="s">
        <v>8</v>
      </c>
    </row>
    <row r="255" spans="1:3" x14ac:dyDescent="0.25">
      <c r="A255">
        <v>11969099</v>
      </c>
      <c r="B255" t="s">
        <v>12</v>
      </c>
    </row>
    <row r="256" spans="1:3" x14ac:dyDescent="0.25">
      <c r="A256">
        <v>11557524</v>
      </c>
      <c r="B256" t="s">
        <v>12</v>
      </c>
    </row>
    <row r="257" spans="1:3" x14ac:dyDescent="0.25">
      <c r="A257">
        <v>11725724</v>
      </c>
      <c r="B257" t="s">
        <v>12</v>
      </c>
    </row>
    <row r="258" spans="1:3" x14ac:dyDescent="0.25">
      <c r="A258">
        <v>11761662</v>
      </c>
      <c r="B258" t="s">
        <v>9</v>
      </c>
    </row>
    <row r="259" spans="1:3" x14ac:dyDescent="0.25">
      <c r="A259">
        <v>11564415</v>
      </c>
      <c r="B259" t="s">
        <v>28</v>
      </c>
      <c r="C259" t="s">
        <v>27</v>
      </c>
    </row>
    <row r="260" spans="1:3" x14ac:dyDescent="0.25">
      <c r="A260">
        <v>11920359</v>
      </c>
      <c r="B260" t="s">
        <v>16</v>
      </c>
      <c r="C260" t="s">
        <v>15</v>
      </c>
    </row>
    <row r="261" spans="1:3" x14ac:dyDescent="0.25">
      <c r="A261">
        <v>11391217</v>
      </c>
      <c r="B261" t="s">
        <v>12</v>
      </c>
    </row>
    <row r="262" spans="1:3" x14ac:dyDescent="0.25">
      <c r="A262">
        <v>11428491</v>
      </c>
      <c r="B262" t="s">
        <v>9</v>
      </c>
      <c r="C262" t="s">
        <v>8</v>
      </c>
    </row>
    <row r="263" spans="1:3" x14ac:dyDescent="0.25">
      <c r="A263">
        <v>11009362</v>
      </c>
      <c r="B263" t="s">
        <v>12</v>
      </c>
    </row>
    <row r="264" spans="1:3" x14ac:dyDescent="0.25">
      <c r="A264">
        <v>11920631</v>
      </c>
      <c r="B264" t="s">
        <v>12</v>
      </c>
    </row>
    <row r="265" spans="1:3" x14ac:dyDescent="0.25">
      <c r="A265">
        <v>11975237</v>
      </c>
      <c r="B265" t="s">
        <v>9</v>
      </c>
    </row>
    <row r="266" spans="1:3" x14ac:dyDescent="0.25">
      <c r="A266">
        <v>11093405</v>
      </c>
      <c r="B266" t="s">
        <v>12</v>
      </c>
    </row>
    <row r="267" spans="1:3" x14ac:dyDescent="0.25">
      <c r="A267">
        <v>11281325</v>
      </c>
      <c r="B267" t="s">
        <v>9</v>
      </c>
      <c r="C267" t="s">
        <v>8</v>
      </c>
    </row>
    <row r="268" spans="1:3" x14ac:dyDescent="0.25">
      <c r="A268">
        <v>10598364</v>
      </c>
      <c r="B268" t="s">
        <v>12</v>
      </c>
    </row>
    <row r="269" spans="1:3" x14ac:dyDescent="0.25">
      <c r="A269">
        <v>11464886</v>
      </c>
      <c r="B269" t="s">
        <v>9</v>
      </c>
      <c r="C269" t="s">
        <v>8</v>
      </c>
    </row>
    <row r="270" spans="1:3" x14ac:dyDescent="0.25">
      <c r="A270">
        <v>11303526</v>
      </c>
      <c r="B270" t="s">
        <v>12</v>
      </c>
    </row>
    <row r="271" spans="1:3" x14ac:dyDescent="0.25">
      <c r="A271">
        <v>12012715</v>
      </c>
      <c r="B271" t="s">
        <v>12</v>
      </c>
    </row>
    <row r="272" spans="1:3" x14ac:dyDescent="0.25">
      <c r="A272">
        <v>10872965</v>
      </c>
      <c r="B272" t="s">
        <v>9</v>
      </c>
      <c r="C272" t="s">
        <v>8</v>
      </c>
    </row>
    <row r="273" spans="1:3" x14ac:dyDescent="0.25">
      <c r="A273">
        <v>11111140</v>
      </c>
      <c r="B273" t="s">
        <v>12</v>
      </c>
    </row>
    <row r="274" spans="1:3" x14ac:dyDescent="0.25">
      <c r="A274">
        <v>12024483</v>
      </c>
      <c r="B274" t="s">
        <v>12</v>
      </c>
    </row>
    <row r="275" spans="1:3" x14ac:dyDescent="0.25">
      <c r="A275">
        <v>11078220</v>
      </c>
      <c r="B275" t="s">
        <v>9</v>
      </c>
      <c r="C275" t="s">
        <v>8</v>
      </c>
    </row>
    <row r="276" spans="1:3" x14ac:dyDescent="0.25">
      <c r="A276">
        <v>11890851</v>
      </c>
      <c r="B276" t="s">
        <v>9</v>
      </c>
      <c r="C276" t="s">
        <v>8</v>
      </c>
    </row>
    <row r="277" spans="1:3" x14ac:dyDescent="0.25">
      <c r="A277">
        <v>11067899</v>
      </c>
      <c r="B277" t="s">
        <v>26</v>
      </c>
    </row>
    <row r="278" spans="1:3" x14ac:dyDescent="0.25">
      <c r="A278">
        <v>10911396</v>
      </c>
      <c r="B278" t="s">
        <v>12</v>
      </c>
    </row>
    <row r="279" spans="1:3" x14ac:dyDescent="0.25">
      <c r="A279">
        <v>10915618</v>
      </c>
      <c r="B279" t="s">
        <v>12</v>
      </c>
    </row>
    <row r="280" spans="1:3" x14ac:dyDescent="0.25">
      <c r="A280">
        <v>11382329</v>
      </c>
      <c r="B280" t="s">
        <v>12</v>
      </c>
    </row>
    <row r="281" spans="1:3" x14ac:dyDescent="0.25">
      <c r="A281">
        <v>10607404</v>
      </c>
      <c r="B281" t="s">
        <v>9</v>
      </c>
      <c r="C281" t="s">
        <v>8</v>
      </c>
    </row>
    <row r="282" spans="1:3" x14ac:dyDescent="0.25">
      <c r="A282">
        <v>10911301</v>
      </c>
      <c r="B282" t="s">
        <v>9</v>
      </c>
      <c r="C282" t="s">
        <v>8</v>
      </c>
    </row>
    <row r="283" spans="1:3" x14ac:dyDescent="0.25">
      <c r="A283">
        <v>10683100</v>
      </c>
      <c r="B283" t="s">
        <v>9</v>
      </c>
      <c r="C283" t="s">
        <v>8</v>
      </c>
    </row>
    <row r="284" spans="1:3" x14ac:dyDescent="0.25">
      <c r="A284">
        <v>10573985</v>
      </c>
      <c r="B284" t="s">
        <v>9</v>
      </c>
      <c r="C284" t="s">
        <v>8</v>
      </c>
    </row>
    <row r="285" spans="1:3" x14ac:dyDescent="0.25">
      <c r="A285">
        <v>10595396</v>
      </c>
      <c r="B285" t="s">
        <v>9</v>
      </c>
      <c r="C285" t="s">
        <v>8</v>
      </c>
    </row>
    <row r="286" spans="1:3" x14ac:dyDescent="0.25">
      <c r="A286">
        <v>11754585</v>
      </c>
      <c r="B286" t="s">
        <v>23</v>
      </c>
    </row>
    <row r="287" spans="1:3" x14ac:dyDescent="0.25">
      <c r="A287">
        <v>11752990</v>
      </c>
      <c r="B287" t="s">
        <v>12</v>
      </c>
    </row>
    <row r="288" spans="1:3" x14ac:dyDescent="0.25">
      <c r="A288">
        <v>11483392</v>
      </c>
      <c r="B288" t="s">
        <v>12</v>
      </c>
    </row>
    <row r="289" spans="1:3" x14ac:dyDescent="0.25">
      <c r="A289">
        <v>10838880</v>
      </c>
      <c r="B289" t="s">
        <v>12</v>
      </c>
    </row>
    <row r="290" spans="1:3" x14ac:dyDescent="0.25">
      <c r="A290">
        <v>11564721</v>
      </c>
      <c r="B290" t="s">
        <v>12</v>
      </c>
    </row>
    <row r="291" spans="1:3" x14ac:dyDescent="0.25">
      <c r="A291">
        <v>11247875</v>
      </c>
      <c r="B291" t="s">
        <v>12</v>
      </c>
    </row>
    <row r="292" spans="1:3" x14ac:dyDescent="0.25">
      <c r="A292">
        <v>10967363</v>
      </c>
      <c r="B292" t="s">
        <v>9</v>
      </c>
      <c r="C292" t="s">
        <v>8</v>
      </c>
    </row>
    <row r="293" spans="1:3" x14ac:dyDescent="0.25">
      <c r="A293">
        <v>10967363</v>
      </c>
      <c r="B293" t="s">
        <v>9</v>
      </c>
      <c r="C293" t="s">
        <v>8</v>
      </c>
    </row>
    <row r="294" spans="1:3" x14ac:dyDescent="0.25">
      <c r="A294">
        <v>10824534</v>
      </c>
      <c r="B294" t="s">
        <v>9</v>
      </c>
      <c r="C294" t="s">
        <v>8</v>
      </c>
    </row>
    <row r="295" spans="1:3" x14ac:dyDescent="0.25">
      <c r="A295">
        <v>11733670</v>
      </c>
      <c r="B295" t="s">
        <v>9</v>
      </c>
      <c r="C295" t="s">
        <v>8</v>
      </c>
    </row>
    <row r="296" spans="1:3" x14ac:dyDescent="0.25">
      <c r="A296">
        <v>10724788</v>
      </c>
      <c r="B296" t="s">
        <v>9</v>
      </c>
      <c r="C296" t="s">
        <v>8</v>
      </c>
    </row>
    <row r="297" spans="1:3" x14ac:dyDescent="0.25">
      <c r="A297">
        <v>11560398</v>
      </c>
      <c r="B297" t="s">
        <v>16</v>
      </c>
      <c r="C297" t="s">
        <v>15</v>
      </c>
    </row>
    <row r="298" spans="1:3" x14ac:dyDescent="0.25">
      <c r="A298">
        <v>11407595</v>
      </c>
      <c r="B298" t="s">
        <v>9</v>
      </c>
      <c r="C298" t="s">
        <v>8</v>
      </c>
    </row>
    <row r="299" spans="1:3" x14ac:dyDescent="0.25">
      <c r="A299">
        <v>11902302</v>
      </c>
      <c r="B299" t="s">
        <v>12</v>
      </c>
    </row>
    <row r="300" spans="1:3" x14ac:dyDescent="0.25">
      <c r="A300">
        <v>11401562</v>
      </c>
      <c r="B300" t="s">
        <v>9</v>
      </c>
      <c r="C300" t="s">
        <v>8</v>
      </c>
    </row>
    <row r="301" spans="1:3" x14ac:dyDescent="0.25">
      <c r="A301">
        <v>11115488</v>
      </c>
      <c r="B301" t="s">
        <v>9</v>
      </c>
      <c r="C301" t="s">
        <v>8</v>
      </c>
    </row>
    <row r="302" spans="1:3" x14ac:dyDescent="0.25">
      <c r="A302">
        <v>11263911</v>
      </c>
      <c r="B302" t="s">
        <v>9</v>
      </c>
      <c r="C302" t="s">
        <v>8</v>
      </c>
    </row>
    <row r="303" spans="1:3" x14ac:dyDescent="0.25">
      <c r="A303">
        <v>11901215</v>
      </c>
      <c r="B303" t="s">
        <v>9</v>
      </c>
      <c r="C303" t="s">
        <v>8</v>
      </c>
    </row>
    <row r="304" spans="1:3" x14ac:dyDescent="0.25">
      <c r="A304">
        <v>11422021</v>
      </c>
      <c r="B304" t="s">
        <v>9</v>
      </c>
      <c r="C304" t="s">
        <v>8</v>
      </c>
    </row>
    <row r="305" spans="1:3" x14ac:dyDescent="0.25">
      <c r="A305">
        <v>10749590</v>
      </c>
      <c r="B305" t="s">
        <v>12</v>
      </c>
    </row>
    <row r="306" spans="1:3" x14ac:dyDescent="0.25">
      <c r="A306">
        <v>10795816</v>
      </c>
      <c r="B306" t="s">
        <v>12</v>
      </c>
    </row>
    <row r="307" spans="1:3" x14ac:dyDescent="0.25">
      <c r="A307">
        <v>10893294</v>
      </c>
      <c r="B307" t="s">
        <v>9</v>
      </c>
      <c r="C307" t="s">
        <v>8</v>
      </c>
    </row>
    <row r="308" spans="1:3" x14ac:dyDescent="0.25">
      <c r="A308">
        <v>11567791</v>
      </c>
      <c r="B308" t="s">
        <v>12</v>
      </c>
    </row>
    <row r="309" spans="1:3" x14ac:dyDescent="0.25">
      <c r="A309">
        <v>11406873</v>
      </c>
      <c r="B309" t="s">
        <v>9</v>
      </c>
      <c r="C309" t="s">
        <v>8</v>
      </c>
    </row>
    <row r="310" spans="1:3" x14ac:dyDescent="0.25">
      <c r="A310">
        <v>10884738</v>
      </c>
      <c r="B310" t="s">
        <v>12</v>
      </c>
    </row>
    <row r="311" spans="1:3" x14ac:dyDescent="0.25">
      <c r="A311">
        <v>10912551</v>
      </c>
      <c r="B311" t="s">
        <v>9</v>
      </c>
      <c r="C311" t="s">
        <v>8</v>
      </c>
    </row>
    <row r="312" spans="1:3" x14ac:dyDescent="0.25">
      <c r="A312">
        <v>11738816</v>
      </c>
      <c r="B312" t="s">
        <v>9</v>
      </c>
      <c r="C312" t="s">
        <v>8</v>
      </c>
    </row>
    <row r="313" spans="1:3" x14ac:dyDescent="0.25">
      <c r="A313">
        <v>11266644</v>
      </c>
      <c r="B313" t="s">
        <v>12</v>
      </c>
    </row>
    <row r="314" spans="1:3" x14ac:dyDescent="0.25">
      <c r="A314">
        <v>11678652</v>
      </c>
      <c r="B314" t="s">
        <v>9</v>
      </c>
    </row>
    <row r="315" spans="1:3" x14ac:dyDescent="0.25">
      <c r="A315">
        <v>11847945</v>
      </c>
      <c r="B315" t="s">
        <v>9</v>
      </c>
    </row>
    <row r="316" spans="1:3" x14ac:dyDescent="0.25">
      <c r="A316">
        <v>11811803</v>
      </c>
      <c r="B316" t="s">
        <v>7</v>
      </c>
      <c r="C316" t="s">
        <v>6</v>
      </c>
    </row>
    <row r="317" spans="1:3" x14ac:dyDescent="0.25">
      <c r="A317">
        <v>11790136</v>
      </c>
      <c r="B317" t="s">
        <v>12</v>
      </c>
    </row>
    <row r="318" spans="1:3" x14ac:dyDescent="0.25">
      <c r="A318">
        <v>11613619</v>
      </c>
      <c r="B318" t="s">
        <v>12</v>
      </c>
    </row>
    <row r="319" spans="1:3" x14ac:dyDescent="0.25">
      <c r="A319">
        <v>10782343</v>
      </c>
      <c r="B319" t="s">
        <v>9</v>
      </c>
      <c r="C319" t="s">
        <v>8</v>
      </c>
    </row>
    <row r="320" spans="1:3" x14ac:dyDescent="0.25">
      <c r="A320">
        <v>11832932</v>
      </c>
      <c r="B320" t="s">
        <v>9</v>
      </c>
      <c r="C320" t="s">
        <v>8</v>
      </c>
    </row>
    <row r="321" spans="1:3" x14ac:dyDescent="0.25">
      <c r="A321">
        <v>10881687</v>
      </c>
      <c r="B321" t="s">
        <v>9</v>
      </c>
      <c r="C321" t="s">
        <v>8</v>
      </c>
    </row>
    <row r="322" spans="1:3" x14ac:dyDescent="0.25">
      <c r="A322">
        <v>11072481</v>
      </c>
      <c r="B322" t="s">
        <v>12</v>
      </c>
    </row>
    <row r="323" spans="1:3" x14ac:dyDescent="0.25">
      <c r="A323">
        <v>11555809</v>
      </c>
      <c r="B323" t="s">
        <v>12</v>
      </c>
    </row>
    <row r="324" spans="1:3" x14ac:dyDescent="0.25">
      <c r="A324">
        <v>10875489</v>
      </c>
      <c r="B324" t="s">
        <v>12</v>
      </c>
    </row>
    <row r="325" spans="1:3" x14ac:dyDescent="0.25">
      <c r="A325">
        <v>11610396</v>
      </c>
      <c r="B325" t="s">
        <v>9</v>
      </c>
      <c r="C325" t="s">
        <v>8</v>
      </c>
    </row>
    <row r="326" spans="1:3" x14ac:dyDescent="0.25">
      <c r="A326">
        <v>10926403</v>
      </c>
      <c r="B326" t="s">
        <v>9</v>
      </c>
      <c r="C326" t="s">
        <v>8</v>
      </c>
    </row>
    <row r="327" spans="1:3" x14ac:dyDescent="0.25">
      <c r="A327">
        <v>11294899</v>
      </c>
      <c r="B327" t="s">
        <v>9</v>
      </c>
      <c r="C327" t="s">
        <v>8</v>
      </c>
    </row>
    <row r="328" spans="1:3" x14ac:dyDescent="0.25">
      <c r="A328">
        <v>11031338</v>
      </c>
      <c r="B328" t="s">
        <v>9</v>
      </c>
      <c r="C328" t="s">
        <v>8</v>
      </c>
    </row>
    <row r="329" spans="1:3" x14ac:dyDescent="0.25">
      <c r="A329">
        <v>11755391</v>
      </c>
      <c r="B329" t="s">
        <v>16</v>
      </c>
      <c r="C329" t="s">
        <v>15</v>
      </c>
    </row>
    <row r="330" spans="1:3" x14ac:dyDescent="0.25">
      <c r="A330">
        <v>11271376</v>
      </c>
      <c r="B330" t="s">
        <v>12</v>
      </c>
    </row>
    <row r="331" spans="1:3" x14ac:dyDescent="0.25">
      <c r="A331">
        <v>10869062</v>
      </c>
      <c r="B331" t="s">
        <v>20</v>
      </c>
      <c r="C331" t="s">
        <v>19</v>
      </c>
    </row>
    <row r="332" spans="1:3" x14ac:dyDescent="0.25">
      <c r="A332">
        <v>11679182</v>
      </c>
      <c r="B332" t="s">
        <v>12</v>
      </c>
    </row>
    <row r="333" spans="1:3" x14ac:dyDescent="0.25">
      <c r="A333">
        <v>11661528</v>
      </c>
      <c r="B333" t="s">
        <v>12</v>
      </c>
    </row>
    <row r="334" spans="1:3" x14ac:dyDescent="0.25">
      <c r="A334">
        <v>11171593</v>
      </c>
      <c r="B334" t="s">
        <v>12</v>
      </c>
    </row>
    <row r="335" spans="1:3" x14ac:dyDescent="0.25">
      <c r="A335">
        <v>10665780</v>
      </c>
      <c r="B335" t="s">
        <v>12</v>
      </c>
    </row>
    <row r="336" spans="1:3" x14ac:dyDescent="0.25">
      <c r="A336">
        <v>11129279</v>
      </c>
      <c r="B336" t="s">
        <v>12</v>
      </c>
    </row>
    <row r="337" spans="1:3" x14ac:dyDescent="0.25">
      <c r="A337">
        <v>11129279</v>
      </c>
      <c r="B337" t="s">
        <v>12</v>
      </c>
    </row>
    <row r="338" spans="1:3" x14ac:dyDescent="0.25">
      <c r="A338">
        <v>11893994</v>
      </c>
      <c r="B338" t="s">
        <v>9</v>
      </c>
      <c r="C338" t="s">
        <v>8</v>
      </c>
    </row>
    <row r="339" spans="1:3" x14ac:dyDescent="0.25">
      <c r="A339">
        <v>11372318</v>
      </c>
      <c r="B339" t="s">
        <v>12</v>
      </c>
    </row>
    <row r="340" spans="1:3" x14ac:dyDescent="0.25">
      <c r="A340">
        <v>11659772</v>
      </c>
      <c r="B340" t="s">
        <v>9</v>
      </c>
      <c r="C340" t="s">
        <v>8</v>
      </c>
    </row>
    <row r="341" spans="1:3" x14ac:dyDescent="0.25">
      <c r="A341">
        <v>10887561</v>
      </c>
      <c r="B341" t="s">
        <v>12</v>
      </c>
    </row>
    <row r="342" spans="1:3" x14ac:dyDescent="0.25">
      <c r="A342">
        <v>10754956</v>
      </c>
      <c r="B342" t="s">
        <v>12</v>
      </c>
    </row>
    <row r="343" spans="1:3" x14ac:dyDescent="0.25">
      <c r="A343">
        <v>10863129</v>
      </c>
      <c r="B343" t="s">
        <v>32</v>
      </c>
    </row>
    <row r="344" spans="1:3" x14ac:dyDescent="0.25">
      <c r="A344">
        <v>10572026</v>
      </c>
      <c r="B344" t="s">
        <v>9</v>
      </c>
      <c r="C344" t="s">
        <v>8</v>
      </c>
    </row>
    <row r="345" spans="1:3" x14ac:dyDescent="0.25">
      <c r="A345">
        <v>10620735</v>
      </c>
      <c r="B345" t="s">
        <v>9</v>
      </c>
      <c r="C345" t="s">
        <v>8</v>
      </c>
    </row>
    <row r="346" spans="1:3" x14ac:dyDescent="0.25">
      <c r="A346">
        <v>10598070</v>
      </c>
      <c r="B346" t="s">
        <v>12</v>
      </c>
    </row>
    <row r="347" spans="1:3" x14ac:dyDescent="0.25">
      <c r="A347">
        <v>12020098</v>
      </c>
      <c r="B347" t="s">
        <v>12</v>
      </c>
    </row>
    <row r="348" spans="1:3" x14ac:dyDescent="0.25">
      <c r="A348">
        <v>10695016</v>
      </c>
      <c r="B348" t="s">
        <v>9</v>
      </c>
      <c r="C348" t="s">
        <v>8</v>
      </c>
    </row>
    <row r="349" spans="1:3" x14ac:dyDescent="0.25">
      <c r="A349">
        <v>10793315</v>
      </c>
      <c r="B349" t="s">
        <v>9</v>
      </c>
      <c r="C349" t="s">
        <v>8</v>
      </c>
    </row>
    <row r="350" spans="1:3" x14ac:dyDescent="0.25">
      <c r="A350">
        <v>11906727</v>
      </c>
      <c r="B350" t="s">
        <v>9</v>
      </c>
      <c r="C350" t="s">
        <v>8</v>
      </c>
    </row>
    <row r="351" spans="1:3" x14ac:dyDescent="0.25">
      <c r="A351">
        <v>11741364</v>
      </c>
      <c r="B351" t="s">
        <v>22</v>
      </c>
      <c r="C351" t="s">
        <v>21</v>
      </c>
    </row>
    <row r="352" spans="1:3" x14ac:dyDescent="0.25">
      <c r="A352">
        <v>11817612</v>
      </c>
      <c r="B352" t="s">
        <v>22</v>
      </c>
      <c r="C352" t="s">
        <v>21</v>
      </c>
    </row>
    <row r="353" spans="1:3" x14ac:dyDescent="0.25">
      <c r="A353">
        <v>11817238</v>
      </c>
      <c r="B353" t="s">
        <v>22</v>
      </c>
      <c r="C353" t="s">
        <v>21</v>
      </c>
    </row>
    <row r="354" spans="1:3" x14ac:dyDescent="0.25">
      <c r="A354">
        <v>11817265</v>
      </c>
      <c r="B354" t="s">
        <v>22</v>
      </c>
      <c r="C354" t="s">
        <v>21</v>
      </c>
    </row>
    <row r="355" spans="1:3" x14ac:dyDescent="0.25">
      <c r="A355">
        <v>11757043</v>
      </c>
      <c r="B355" t="s">
        <v>22</v>
      </c>
      <c r="C355" t="s">
        <v>21</v>
      </c>
    </row>
    <row r="356" spans="1:3" x14ac:dyDescent="0.25">
      <c r="A356">
        <v>11684341</v>
      </c>
      <c r="B356" t="s">
        <v>22</v>
      </c>
      <c r="C356" t="s">
        <v>15</v>
      </c>
    </row>
    <row r="357" spans="1:3" x14ac:dyDescent="0.25">
      <c r="A357">
        <v>11997607</v>
      </c>
      <c r="B357" t="s">
        <v>22</v>
      </c>
      <c r="C357" t="s">
        <v>21</v>
      </c>
    </row>
    <row r="358" spans="1:3" x14ac:dyDescent="0.25">
      <c r="A358">
        <v>11773554</v>
      </c>
      <c r="B358" t="s">
        <v>22</v>
      </c>
      <c r="C358" t="s">
        <v>21</v>
      </c>
    </row>
    <row r="359" spans="1:3" x14ac:dyDescent="0.25">
      <c r="A359">
        <v>11774286</v>
      </c>
      <c r="B359" t="s">
        <v>22</v>
      </c>
      <c r="C359" t="s">
        <v>21</v>
      </c>
    </row>
    <row r="360" spans="1:3" x14ac:dyDescent="0.25">
      <c r="A360">
        <v>11741116</v>
      </c>
      <c r="B360" t="s">
        <v>22</v>
      </c>
      <c r="C360" t="s">
        <v>21</v>
      </c>
    </row>
    <row r="361" spans="1:3" x14ac:dyDescent="0.25">
      <c r="A361">
        <v>11741396</v>
      </c>
      <c r="B361" t="s">
        <v>22</v>
      </c>
      <c r="C361" t="s">
        <v>21</v>
      </c>
    </row>
    <row r="362" spans="1:3" x14ac:dyDescent="0.25">
      <c r="A362">
        <v>11741433</v>
      </c>
      <c r="B362" t="s">
        <v>22</v>
      </c>
      <c r="C362" t="s">
        <v>21</v>
      </c>
    </row>
    <row r="363" spans="1:3" x14ac:dyDescent="0.25">
      <c r="A363">
        <v>11740914</v>
      </c>
      <c r="B363" t="s">
        <v>22</v>
      </c>
      <c r="C363" t="s">
        <v>21</v>
      </c>
    </row>
    <row r="364" spans="1:3" x14ac:dyDescent="0.25">
      <c r="A364">
        <v>11740967</v>
      </c>
      <c r="B364" t="s">
        <v>22</v>
      </c>
      <c r="C364" t="s">
        <v>21</v>
      </c>
    </row>
    <row r="365" spans="1:3" x14ac:dyDescent="0.25">
      <c r="A365">
        <v>11740982</v>
      </c>
      <c r="B365" t="s">
        <v>22</v>
      </c>
      <c r="C365" t="s">
        <v>21</v>
      </c>
    </row>
    <row r="366" spans="1:3" x14ac:dyDescent="0.25">
      <c r="A366">
        <v>11600344</v>
      </c>
      <c r="B366" t="s">
        <v>22</v>
      </c>
      <c r="C366" t="s">
        <v>21</v>
      </c>
    </row>
    <row r="367" spans="1:3" x14ac:dyDescent="0.25">
      <c r="A367">
        <v>12013373</v>
      </c>
      <c r="B367" t="s">
        <v>22</v>
      </c>
      <c r="C367" t="s">
        <v>21</v>
      </c>
    </row>
    <row r="368" spans="1:3" x14ac:dyDescent="0.25">
      <c r="A368">
        <v>11889570</v>
      </c>
      <c r="B368" t="s">
        <v>22</v>
      </c>
      <c r="C368" t="s">
        <v>21</v>
      </c>
    </row>
    <row r="369" spans="1:3" x14ac:dyDescent="0.25">
      <c r="A369">
        <v>11832504</v>
      </c>
      <c r="B369" t="s">
        <v>22</v>
      </c>
      <c r="C369" t="s">
        <v>21</v>
      </c>
    </row>
    <row r="370" spans="1:3" x14ac:dyDescent="0.25">
      <c r="A370">
        <v>11817312</v>
      </c>
      <c r="B370" t="s">
        <v>22</v>
      </c>
      <c r="C370" t="s">
        <v>21</v>
      </c>
    </row>
    <row r="371" spans="1:3" x14ac:dyDescent="0.25">
      <c r="A371">
        <v>11817562</v>
      </c>
      <c r="B371" t="s">
        <v>22</v>
      </c>
      <c r="C371" t="s">
        <v>21</v>
      </c>
    </row>
    <row r="372" spans="1:3" x14ac:dyDescent="0.25">
      <c r="A372">
        <v>11817754</v>
      </c>
      <c r="B372" t="s">
        <v>22</v>
      </c>
      <c r="C372" t="s">
        <v>21</v>
      </c>
    </row>
    <row r="373" spans="1:3" x14ac:dyDescent="0.25">
      <c r="A373">
        <v>11817815</v>
      </c>
      <c r="B373" t="s">
        <v>22</v>
      </c>
      <c r="C373" t="s">
        <v>21</v>
      </c>
    </row>
    <row r="374" spans="1:3" x14ac:dyDescent="0.25">
      <c r="A374">
        <v>11831953</v>
      </c>
      <c r="B374" t="s">
        <v>22</v>
      </c>
      <c r="C374" t="s">
        <v>21</v>
      </c>
    </row>
    <row r="375" spans="1:3" x14ac:dyDescent="0.25">
      <c r="A375">
        <v>11070133</v>
      </c>
      <c r="B375" t="s">
        <v>22</v>
      </c>
    </row>
    <row r="376" spans="1:3" x14ac:dyDescent="0.25">
      <c r="A376">
        <v>11068445</v>
      </c>
      <c r="B376" t="s">
        <v>22</v>
      </c>
    </row>
    <row r="377" spans="1:3" x14ac:dyDescent="0.25">
      <c r="A377">
        <v>11068460</v>
      </c>
      <c r="B377" t="s">
        <v>22</v>
      </c>
    </row>
    <row r="378" spans="1:3" x14ac:dyDescent="0.25">
      <c r="A378">
        <v>11067285</v>
      </c>
      <c r="B378" t="s">
        <v>22</v>
      </c>
    </row>
    <row r="379" spans="1:3" x14ac:dyDescent="0.25">
      <c r="A379">
        <v>11997653</v>
      </c>
      <c r="B379" t="s">
        <v>22</v>
      </c>
      <c r="C379" t="s">
        <v>21</v>
      </c>
    </row>
    <row r="380" spans="1:3" x14ac:dyDescent="0.25">
      <c r="A380">
        <v>11832424</v>
      </c>
      <c r="B380" t="s">
        <v>22</v>
      </c>
      <c r="C380" t="s">
        <v>21</v>
      </c>
    </row>
    <row r="381" spans="1:3" x14ac:dyDescent="0.25">
      <c r="A381">
        <v>12013087</v>
      </c>
      <c r="B381" t="s">
        <v>22</v>
      </c>
      <c r="C381" t="s">
        <v>21</v>
      </c>
    </row>
    <row r="382" spans="1:3" x14ac:dyDescent="0.25">
      <c r="A382">
        <v>12013225</v>
      </c>
      <c r="B382" t="s">
        <v>22</v>
      </c>
      <c r="C382" t="s">
        <v>21</v>
      </c>
    </row>
    <row r="383" spans="1:3" x14ac:dyDescent="0.25">
      <c r="A383">
        <v>11817176</v>
      </c>
      <c r="B383" t="s">
        <v>22</v>
      </c>
      <c r="C383" t="s">
        <v>21</v>
      </c>
    </row>
    <row r="384" spans="1:3" x14ac:dyDescent="0.25">
      <c r="A384">
        <v>11817209</v>
      </c>
      <c r="B384" t="s">
        <v>22</v>
      </c>
      <c r="C384" t="s">
        <v>21</v>
      </c>
    </row>
    <row r="385" spans="1:3" x14ac:dyDescent="0.25">
      <c r="A385">
        <v>12013244</v>
      </c>
      <c r="B385" t="s">
        <v>22</v>
      </c>
      <c r="C385" t="s">
        <v>21</v>
      </c>
    </row>
    <row r="386" spans="1:3" x14ac:dyDescent="0.25">
      <c r="A386">
        <v>11890649</v>
      </c>
      <c r="B386" t="s">
        <v>22</v>
      </c>
      <c r="C386" t="s">
        <v>21</v>
      </c>
    </row>
    <row r="387" spans="1:3" x14ac:dyDescent="0.25">
      <c r="A387">
        <v>11997578</v>
      </c>
      <c r="B387" t="s">
        <v>22</v>
      </c>
      <c r="C387" t="s">
        <v>21</v>
      </c>
    </row>
    <row r="388" spans="1:3" x14ac:dyDescent="0.25">
      <c r="A388">
        <v>11899637</v>
      </c>
      <c r="B388" t="s">
        <v>22</v>
      </c>
      <c r="C388" t="s">
        <v>21</v>
      </c>
    </row>
    <row r="389" spans="1:3" x14ac:dyDescent="0.25">
      <c r="A389">
        <v>12011806</v>
      </c>
      <c r="B389" t="s">
        <v>22</v>
      </c>
      <c r="C389" t="s">
        <v>21</v>
      </c>
    </row>
    <row r="390" spans="1:3" x14ac:dyDescent="0.25">
      <c r="A390">
        <v>12012359</v>
      </c>
      <c r="B390" t="s">
        <v>22</v>
      </c>
      <c r="C390" t="s">
        <v>21</v>
      </c>
    </row>
    <row r="391" spans="1:3" x14ac:dyDescent="0.25">
      <c r="A391">
        <v>11067204</v>
      </c>
      <c r="B391" t="s">
        <v>22</v>
      </c>
    </row>
    <row r="392" spans="1:3" x14ac:dyDescent="0.25">
      <c r="A392">
        <v>12013259</v>
      </c>
      <c r="B392" t="s">
        <v>22</v>
      </c>
      <c r="C392" t="s">
        <v>21</v>
      </c>
    </row>
    <row r="393" spans="1:3" x14ac:dyDescent="0.25">
      <c r="A393">
        <v>12013280</v>
      </c>
      <c r="B393" t="s">
        <v>22</v>
      </c>
      <c r="C393" t="s">
        <v>21</v>
      </c>
    </row>
    <row r="394" spans="1:3" x14ac:dyDescent="0.25">
      <c r="A394">
        <v>11757420</v>
      </c>
      <c r="B394" t="s">
        <v>22</v>
      </c>
      <c r="C394" t="s">
        <v>21</v>
      </c>
    </row>
    <row r="395" spans="1:3" x14ac:dyDescent="0.25">
      <c r="A395">
        <v>11831938</v>
      </c>
      <c r="B395" t="s">
        <v>22</v>
      </c>
      <c r="C395" t="s">
        <v>21</v>
      </c>
    </row>
    <row r="396" spans="1:3" x14ac:dyDescent="0.25">
      <c r="A396">
        <v>11773509</v>
      </c>
      <c r="B396" t="s">
        <v>22</v>
      </c>
      <c r="C396" t="s">
        <v>21</v>
      </c>
    </row>
    <row r="397" spans="1:3" x14ac:dyDescent="0.25">
      <c r="A397">
        <v>12011842</v>
      </c>
      <c r="B397" t="s">
        <v>22</v>
      </c>
      <c r="C397" t="s">
        <v>21</v>
      </c>
    </row>
    <row r="398" spans="1:3" x14ac:dyDescent="0.25">
      <c r="A398">
        <v>11817106</v>
      </c>
      <c r="B398" t="s">
        <v>22</v>
      </c>
      <c r="C398" t="s">
        <v>21</v>
      </c>
    </row>
    <row r="399" spans="1:3" x14ac:dyDescent="0.25">
      <c r="A399">
        <v>11817284</v>
      </c>
      <c r="B399" t="s">
        <v>22</v>
      </c>
      <c r="C399" t="s">
        <v>21</v>
      </c>
    </row>
    <row r="400" spans="1:3" x14ac:dyDescent="0.25">
      <c r="A400">
        <v>11817507</v>
      </c>
      <c r="B400" t="s">
        <v>22</v>
      </c>
      <c r="C400" t="s">
        <v>21</v>
      </c>
    </row>
    <row r="401" spans="1:3" x14ac:dyDescent="0.25">
      <c r="A401">
        <v>11817540</v>
      </c>
      <c r="B401" t="s">
        <v>22</v>
      </c>
      <c r="C401" t="s">
        <v>21</v>
      </c>
    </row>
    <row r="402" spans="1:3" x14ac:dyDescent="0.25">
      <c r="A402">
        <v>11817728</v>
      </c>
      <c r="B402" t="s">
        <v>22</v>
      </c>
      <c r="C402" t="s">
        <v>21</v>
      </c>
    </row>
    <row r="403" spans="1:3" x14ac:dyDescent="0.25">
      <c r="A403">
        <v>11817779</v>
      </c>
      <c r="B403" t="s">
        <v>22</v>
      </c>
      <c r="C403" t="s">
        <v>21</v>
      </c>
    </row>
    <row r="404" spans="1:3" x14ac:dyDescent="0.25">
      <c r="A404">
        <v>11817943</v>
      </c>
      <c r="B404" t="s">
        <v>22</v>
      </c>
      <c r="C404" t="s">
        <v>21</v>
      </c>
    </row>
    <row r="405" spans="1:3" x14ac:dyDescent="0.25">
      <c r="A405">
        <v>11817970</v>
      </c>
      <c r="B405" t="s">
        <v>22</v>
      </c>
      <c r="C405" t="s">
        <v>21</v>
      </c>
    </row>
    <row r="406" spans="1:3" x14ac:dyDescent="0.25">
      <c r="A406">
        <v>11817857</v>
      </c>
      <c r="B406" t="s">
        <v>22</v>
      </c>
      <c r="C406" t="s">
        <v>21</v>
      </c>
    </row>
    <row r="407" spans="1:3" x14ac:dyDescent="0.25">
      <c r="A407">
        <v>10630317</v>
      </c>
      <c r="B407" t="s">
        <v>12</v>
      </c>
    </row>
    <row r="408" spans="1:3" x14ac:dyDescent="0.25">
      <c r="A408">
        <v>11096675</v>
      </c>
      <c r="B408" t="s">
        <v>12</v>
      </c>
    </row>
    <row r="409" spans="1:3" x14ac:dyDescent="0.25">
      <c r="A409">
        <v>10697418</v>
      </c>
      <c r="B409" t="s">
        <v>12</v>
      </c>
    </row>
    <row r="410" spans="1:3" x14ac:dyDescent="0.25">
      <c r="A410">
        <v>11507173</v>
      </c>
      <c r="B410" t="s">
        <v>12</v>
      </c>
    </row>
    <row r="411" spans="1:3" x14ac:dyDescent="0.25">
      <c r="A411">
        <v>11508459</v>
      </c>
      <c r="B411" t="s">
        <v>12</v>
      </c>
    </row>
    <row r="412" spans="1:3" x14ac:dyDescent="0.25">
      <c r="A412">
        <v>10583824</v>
      </c>
      <c r="B412" t="s">
        <v>11</v>
      </c>
      <c r="C412" t="s">
        <v>29</v>
      </c>
    </row>
    <row r="413" spans="1:3" x14ac:dyDescent="0.25">
      <c r="A413">
        <v>10873644</v>
      </c>
      <c r="B413" t="s">
        <v>9</v>
      </c>
      <c r="C413" t="s">
        <v>8</v>
      </c>
    </row>
    <row r="414" spans="1:3" x14ac:dyDescent="0.25">
      <c r="A414">
        <v>11544104</v>
      </c>
      <c r="B414" t="s">
        <v>7</v>
      </c>
      <c r="C414" t="s">
        <v>6</v>
      </c>
    </row>
    <row r="415" spans="1:3" x14ac:dyDescent="0.25">
      <c r="A415">
        <v>10596858</v>
      </c>
      <c r="B415" t="s">
        <v>9</v>
      </c>
      <c r="C415" t="s">
        <v>8</v>
      </c>
    </row>
    <row r="416" spans="1:3" x14ac:dyDescent="0.25">
      <c r="A416">
        <v>11843144</v>
      </c>
      <c r="B416" t="s">
        <v>9</v>
      </c>
      <c r="C416" t="s">
        <v>8</v>
      </c>
    </row>
    <row r="417" spans="1:3" x14ac:dyDescent="0.25">
      <c r="A417">
        <v>11906028</v>
      </c>
      <c r="B417" t="s">
        <v>9</v>
      </c>
      <c r="C417" t="s">
        <v>8</v>
      </c>
    </row>
    <row r="418" spans="1:3" x14ac:dyDescent="0.25">
      <c r="A418">
        <v>10973405</v>
      </c>
      <c r="B418" t="s">
        <v>12</v>
      </c>
    </row>
    <row r="419" spans="1:3" x14ac:dyDescent="0.25">
      <c r="A419">
        <v>11381359</v>
      </c>
      <c r="B419" t="s">
        <v>12</v>
      </c>
    </row>
    <row r="420" spans="1:3" x14ac:dyDescent="0.25">
      <c r="A420">
        <v>11089424</v>
      </c>
      <c r="B420" t="s">
        <v>12</v>
      </c>
    </row>
    <row r="421" spans="1:3" x14ac:dyDescent="0.25">
      <c r="A421">
        <v>11378172</v>
      </c>
      <c r="B421" t="s">
        <v>12</v>
      </c>
    </row>
    <row r="422" spans="1:3" x14ac:dyDescent="0.25">
      <c r="A422">
        <v>10566317</v>
      </c>
      <c r="B422" t="s">
        <v>9</v>
      </c>
      <c r="C422" t="s">
        <v>8</v>
      </c>
    </row>
    <row r="423" spans="1:3" x14ac:dyDescent="0.25">
      <c r="A423">
        <v>11238517</v>
      </c>
      <c r="B423" t="s">
        <v>9</v>
      </c>
      <c r="C423" t="s">
        <v>8</v>
      </c>
    </row>
    <row r="424" spans="1:3" x14ac:dyDescent="0.25">
      <c r="A424">
        <v>10639628</v>
      </c>
      <c r="B424" t="s">
        <v>32</v>
      </c>
    </row>
    <row r="425" spans="1:3" x14ac:dyDescent="0.25">
      <c r="A425">
        <v>11278708</v>
      </c>
      <c r="B425" t="s">
        <v>12</v>
      </c>
    </row>
    <row r="426" spans="1:3" x14ac:dyDescent="0.25">
      <c r="A426">
        <v>10831945</v>
      </c>
      <c r="B426" t="s">
        <v>9</v>
      </c>
      <c r="C426" t="s">
        <v>8</v>
      </c>
    </row>
    <row r="427" spans="1:3" x14ac:dyDescent="0.25">
      <c r="A427">
        <v>10982578</v>
      </c>
      <c r="B427" t="s">
        <v>12</v>
      </c>
    </row>
    <row r="428" spans="1:3" x14ac:dyDescent="0.25">
      <c r="A428">
        <v>12024523</v>
      </c>
      <c r="B428" t="s">
        <v>9</v>
      </c>
      <c r="C428" t="s">
        <v>8</v>
      </c>
    </row>
    <row r="429" spans="1:3" x14ac:dyDescent="0.25">
      <c r="A429">
        <v>10955140</v>
      </c>
      <c r="B429" t="s">
        <v>9</v>
      </c>
      <c r="C429" t="s">
        <v>8</v>
      </c>
    </row>
    <row r="430" spans="1:3" x14ac:dyDescent="0.25">
      <c r="A430">
        <v>11693180</v>
      </c>
      <c r="B430" t="s">
        <v>12</v>
      </c>
    </row>
    <row r="431" spans="1:3" x14ac:dyDescent="0.25">
      <c r="A431">
        <v>10700751</v>
      </c>
      <c r="B431" t="s">
        <v>9</v>
      </c>
      <c r="C431" t="s">
        <v>8</v>
      </c>
    </row>
    <row r="432" spans="1:3" x14ac:dyDescent="0.25">
      <c r="A432">
        <v>10741561</v>
      </c>
      <c r="B432" t="s">
        <v>12</v>
      </c>
    </row>
    <row r="433" spans="1:3" x14ac:dyDescent="0.25">
      <c r="A433">
        <v>11063476</v>
      </c>
      <c r="B433" t="s">
        <v>12</v>
      </c>
    </row>
    <row r="434" spans="1:3" x14ac:dyDescent="0.25">
      <c r="A434">
        <v>11577253</v>
      </c>
      <c r="B434" t="s">
        <v>12</v>
      </c>
    </row>
    <row r="435" spans="1:3" x14ac:dyDescent="0.25">
      <c r="A435">
        <v>11603854</v>
      </c>
      <c r="B435" t="s">
        <v>12</v>
      </c>
    </row>
    <row r="436" spans="1:3" x14ac:dyDescent="0.25">
      <c r="A436">
        <v>10749012</v>
      </c>
      <c r="B436" t="s">
        <v>12</v>
      </c>
    </row>
    <row r="437" spans="1:3" x14ac:dyDescent="0.25">
      <c r="A437">
        <v>11559327</v>
      </c>
      <c r="B437" t="s">
        <v>7</v>
      </c>
      <c r="C437" t="s">
        <v>6</v>
      </c>
    </row>
    <row r="438" spans="1:3" x14ac:dyDescent="0.25">
      <c r="A438">
        <v>11361839</v>
      </c>
      <c r="B438" t="s">
        <v>9</v>
      </c>
      <c r="C438" t="s">
        <v>8</v>
      </c>
    </row>
    <row r="439" spans="1:3" x14ac:dyDescent="0.25">
      <c r="A439">
        <v>10681703</v>
      </c>
      <c r="B439" t="s">
        <v>16</v>
      </c>
      <c r="C439" t="s">
        <v>15</v>
      </c>
    </row>
    <row r="440" spans="1:3" x14ac:dyDescent="0.25">
      <c r="A440">
        <v>11552018</v>
      </c>
      <c r="B440" t="s">
        <v>7</v>
      </c>
      <c r="C440" t="s">
        <v>6</v>
      </c>
    </row>
    <row r="441" spans="1:3" x14ac:dyDescent="0.25">
      <c r="A441">
        <v>11557819</v>
      </c>
      <c r="B441" t="s">
        <v>7</v>
      </c>
      <c r="C441" t="s">
        <v>6</v>
      </c>
    </row>
    <row r="442" spans="1:3" x14ac:dyDescent="0.25">
      <c r="A442">
        <v>11456879</v>
      </c>
      <c r="B442" t="s">
        <v>9</v>
      </c>
      <c r="C442" t="s">
        <v>8</v>
      </c>
    </row>
    <row r="443" spans="1:3" x14ac:dyDescent="0.25">
      <c r="A443">
        <v>11354531</v>
      </c>
      <c r="B443" t="s">
        <v>12</v>
      </c>
    </row>
    <row r="444" spans="1:3" x14ac:dyDescent="0.25">
      <c r="A444">
        <v>11451537</v>
      </c>
      <c r="B444" t="s">
        <v>23</v>
      </c>
      <c r="C444" t="s">
        <v>25</v>
      </c>
    </row>
    <row r="445" spans="1:3" x14ac:dyDescent="0.25">
      <c r="A445">
        <v>11604211</v>
      </c>
      <c r="B445" t="s">
        <v>20</v>
      </c>
      <c r="C445" t="s">
        <v>19</v>
      </c>
    </row>
    <row r="446" spans="1:3" x14ac:dyDescent="0.25">
      <c r="A446">
        <v>11358865</v>
      </c>
      <c r="B446" t="s">
        <v>7</v>
      </c>
      <c r="C446" t="s">
        <v>6</v>
      </c>
    </row>
    <row r="447" spans="1:3" x14ac:dyDescent="0.25">
      <c r="A447">
        <v>11629274</v>
      </c>
      <c r="B447" t="s">
        <v>9</v>
      </c>
      <c r="C447" t="s">
        <v>8</v>
      </c>
    </row>
    <row r="448" spans="1:3" x14ac:dyDescent="0.25">
      <c r="A448">
        <v>10626886</v>
      </c>
      <c r="B448" t="s">
        <v>12</v>
      </c>
    </row>
    <row r="449" spans="1:3" x14ac:dyDescent="0.25">
      <c r="A449">
        <v>11573016</v>
      </c>
      <c r="B449" t="s">
        <v>12</v>
      </c>
    </row>
    <row r="450" spans="1:3" x14ac:dyDescent="0.25">
      <c r="A450">
        <v>11705265</v>
      </c>
      <c r="B450" t="s">
        <v>9</v>
      </c>
      <c r="C450" t="s">
        <v>8</v>
      </c>
    </row>
    <row r="451" spans="1:3" x14ac:dyDescent="0.25">
      <c r="A451">
        <v>10700341</v>
      </c>
      <c r="B451" t="s">
        <v>9</v>
      </c>
      <c r="C451" t="s">
        <v>8</v>
      </c>
    </row>
    <row r="452" spans="1:3" x14ac:dyDescent="0.25">
      <c r="A452">
        <v>11899897</v>
      </c>
      <c r="B452" t="s">
        <v>9</v>
      </c>
      <c r="C452" t="s">
        <v>8</v>
      </c>
    </row>
    <row r="453" spans="1:3" x14ac:dyDescent="0.25">
      <c r="A453">
        <v>10691985</v>
      </c>
      <c r="B453" t="s">
        <v>9</v>
      </c>
      <c r="C453" t="s">
        <v>8</v>
      </c>
    </row>
    <row r="454" spans="1:3" x14ac:dyDescent="0.25">
      <c r="A454">
        <v>11543442</v>
      </c>
      <c r="B454" t="s">
        <v>7</v>
      </c>
      <c r="C454" t="s">
        <v>6</v>
      </c>
    </row>
    <row r="455" spans="1:3" x14ac:dyDescent="0.25">
      <c r="A455">
        <v>11497559</v>
      </c>
      <c r="B455" t="s">
        <v>12</v>
      </c>
    </row>
    <row r="456" spans="1:3" x14ac:dyDescent="0.25">
      <c r="A456">
        <v>11393874</v>
      </c>
      <c r="B456" t="s">
        <v>9</v>
      </c>
      <c r="C456" t="s">
        <v>8</v>
      </c>
    </row>
    <row r="457" spans="1:3" x14ac:dyDescent="0.25">
      <c r="A457">
        <v>10808173</v>
      </c>
      <c r="B457" t="s">
        <v>9</v>
      </c>
      <c r="C457" t="s">
        <v>8</v>
      </c>
    </row>
    <row r="458" spans="1:3" x14ac:dyDescent="0.25">
      <c r="A458">
        <v>10918335</v>
      </c>
      <c r="B458" t="s">
        <v>12</v>
      </c>
    </row>
    <row r="459" spans="1:3" x14ac:dyDescent="0.25">
      <c r="A459">
        <v>11558932</v>
      </c>
      <c r="B459" t="s">
        <v>12</v>
      </c>
    </row>
    <row r="460" spans="1:3" x14ac:dyDescent="0.25">
      <c r="A460">
        <v>11634655</v>
      </c>
      <c r="B460" t="s">
        <v>9</v>
      </c>
      <c r="C460" t="s">
        <v>8</v>
      </c>
    </row>
    <row r="461" spans="1:3" x14ac:dyDescent="0.25">
      <c r="A461">
        <v>11606409</v>
      </c>
      <c r="B461" t="s">
        <v>9</v>
      </c>
      <c r="C461" t="s">
        <v>8</v>
      </c>
    </row>
    <row r="462" spans="1:3" x14ac:dyDescent="0.25">
      <c r="A462">
        <v>10800533</v>
      </c>
      <c r="B462" t="s">
        <v>9</v>
      </c>
      <c r="C462" t="s">
        <v>8</v>
      </c>
    </row>
    <row r="463" spans="1:3" x14ac:dyDescent="0.25">
      <c r="A463">
        <v>11419977</v>
      </c>
      <c r="B463" t="s">
        <v>12</v>
      </c>
    </row>
    <row r="464" spans="1:3" x14ac:dyDescent="0.25">
      <c r="A464">
        <v>11686300</v>
      </c>
      <c r="B464" t="s">
        <v>12</v>
      </c>
    </row>
    <row r="465" spans="1:3" x14ac:dyDescent="0.25">
      <c r="A465">
        <v>11720665</v>
      </c>
      <c r="B465" t="s">
        <v>9</v>
      </c>
      <c r="C465" t="s">
        <v>8</v>
      </c>
    </row>
    <row r="466" spans="1:3" x14ac:dyDescent="0.25">
      <c r="A466">
        <v>11016916</v>
      </c>
      <c r="B466" t="s">
        <v>9</v>
      </c>
      <c r="C466" t="s">
        <v>8</v>
      </c>
    </row>
    <row r="467" spans="1:3" x14ac:dyDescent="0.25">
      <c r="A467">
        <v>10750150</v>
      </c>
      <c r="B467" t="s">
        <v>11</v>
      </c>
      <c r="C467" t="s">
        <v>10</v>
      </c>
    </row>
    <row r="468" spans="1:3" x14ac:dyDescent="0.25">
      <c r="A468">
        <v>10884778</v>
      </c>
      <c r="B468" t="s">
        <v>9</v>
      </c>
      <c r="C468" t="s">
        <v>8</v>
      </c>
    </row>
    <row r="469" spans="1:3" x14ac:dyDescent="0.25">
      <c r="A469">
        <v>10939883</v>
      </c>
      <c r="B469" t="s">
        <v>9</v>
      </c>
      <c r="C469" t="s">
        <v>8</v>
      </c>
    </row>
    <row r="470" spans="1:3" x14ac:dyDescent="0.25">
      <c r="A470">
        <v>11424189</v>
      </c>
      <c r="B470" t="s">
        <v>12</v>
      </c>
    </row>
    <row r="471" spans="1:3" x14ac:dyDescent="0.25">
      <c r="A471">
        <v>10699973</v>
      </c>
      <c r="B471" t="s">
        <v>9</v>
      </c>
      <c r="C471" t="s">
        <v>8</v>
      </c>
    </row>
    <row r="472" spans="1:3" x14ac:dyDescent="0.25">
      <c r="A472">
        <v>10782637</v>
      </c>
      <c r="B472" t="s">
        <v>12</v>
      </c>
    </row>
    <row r="473" spans="1:3" x14ac:dyDescent="0.25">
      <c r="A473">
        <v>10623536</v>
      </c>
      <c r="B473" t="s">
        <v>12</v>
      </c>
    </row>
    <row r="474" spans="1:3" x14ac:dyDescent="0.25">
      <c r="A474">
        <v>11580101</v>
      </c>
      <c r="B474" t="s">
        <v>7</v>
      </c>
      <c r="C474" t="s">
        <v>6</v>
      </c>
    </row>
    <row r="475" spans="1:3" x14ac:dyDescent="0.25">
      <c r="A475">
        <v>11205931</v>
      </c>
      <c r="B475" t="s">
        <v>12</v>
      </c>
    </row>
    <row r="476" spans="1:3" x14ac:dyDescent="0.25">
      <c r="A476">
        <v>11379021</v>
      </c>
      <c r="B476" t="s">
        <v>7</v>
      </c>
      <c r="C476" t="s">
        <v>6</v>
      </c>
    </row>
    <row r="477" spans="1:3" x14ac:dyDescent="0.25">
      <c r="A477">
        <v>11229198</v>
      </c>
      <c r="B477" t="s">
        <v>12</v>
      </c>
    </row>
    <row r="478" spans="1:3" x14ac:dyDescent="0.25">
      <c r="A478">
        <v>11792213</v>
      </c>
      <c r="B478" t="s">
        <v>9</v>
      </c>
      <c r="C478" t="s">
        <v>8</v>
      </c>
    </row>
    <row r="479" spans="1:3" x14ac:dyDescent="0.25">
      <c r="A479">
        <v>11405987</v>
      </c>
      <c r="B479" t="s">
        <v>7</v>
      </c>
      <c r="C479" t="s">
        <v>6</v>
      </c>
    </row>
    <row r="480" spans="1:3" x14ac:dyDescent="0.25">
      <c r="A480">
        <v>10714472</v>
      </c>
      <c r="B480" t="s">
        <v>12</v>
      </c>
    </row>
    <row r="481" spans="1:3" x14ac:dyDescent="0.25">
      <c r="A481">
        <v>10921075</v>
      </c>
      <c r="B481" t="s">
        <v>9</v>
      </c>
      <c r="C481" t="s">
        <v>8</v>
      </c>
    </row>
    <row r="482" spans="1:3" x14ac:dyDescent="0.25">
      <c r="A482">
        <v>10596750</v>
      </c>
      <c r="B482" t="s">
        <v>16</v>
      </c>
      <c r="C482" t="s">
        <v>15</v>
      </c>
    </row>
    <row r="483" spans="1:3" x14ac:dyDescent="0.25">
      <c r="A483">
        <v>10932494</v>
      </c>
      <c r="B483" t="s">
        <v>9</v>
      </c>
      <c r="C483" t="s">
        <v>8</v>
      </c>
    </row>
    <row r="484" spans="1:3" x14ac:dyDescent="0.25">
      <c r="A484">
        <v>11611681</v>
      </c>
      <c r="B484" t="s">
        <v>9</v>
      </c>
      <c r="C484" t="s">
        <v>8</v>
      </c>
    </row>
    <row r="485" spans="1:3" x14ac:dyDescent="0.25">
      <c r="A485">
        <v>11131503</v>
      </c>
      <c r="B485" t="s">
        <v>16</v>
      </c>
      <c r="C485" t="s">
        <v>15</v>
      </c>
    </row>
    <row r="486" spans="1:3" x14ac:dyDescent="0.25">
      <c r="A486">
        <v>10923434</v>
      </c>
      <c r="B486" t="s">
        <v>12</v>
      </c>
    </row>
    <row r="487" spans="1:3" x14ac:dyDescent="0.25">
      <c r="A487">
        <v>12025086</v>
      </c>
      <c r="B487" t="s">
        <v>12</v>
      </c>
    </row>
    <row r="488" spans="1:3" x14ac:dyDescent="0.25">
      <c r="A488">
        <v>10800572</v>
      </c>
      <c r="B488" t="s">
        <v>23</v>
      </c>
      <c r="C488" t="s">
        <v>25</v>
      </c>
    </row>
    <row r="489" spans="1:3" x14ac:dyDescent="0.25">
      <c r="A489">
        <v>11067209</v>
      </c>
      <c r="B489" t="s">
        <v>12</v>
      </c>
    </row>
    <row r="490" spans="1:3" x14ac:dyDescent="0.25">
      <c r="A490">
        <v>10848984</v>
      </c>
      <c r="B490" t="s">
        <v>12</v>
      </c>
    </row>
    <row r="491" spans="1:3" x14ac:dyDescent="0.25">
      <c r="A491">
        <v>10893550</v>
      </c>
      <c r="B491" t="s">
        <v>12</v>
      </c>
    </row>
    <row r="492" spans="1:3" x14ac:dyDescent="0.25">
      <c r="A492">
        <v>10824528</v>
      </c>
      <c r="B492" t="s">
        <v>12</v>
      </c>
    </row>
    <row r="493" spans="1:3" x14ac:dyDescent="0.25">
      <c r="A493">
        <v>11593009</v>
      </c>
      <c r="B493" t="s">
        <v>14</v>
      </c>
      <c r="C493" t="s">
        <v>13</v>
      </c>
    </row>
    <row r="494" spans="1:3" x14ac:dyDescent="0.25">
      <c r="A494">
        <v>10623079</v>
      </c>
      <c r="B494" t="s">
        <v>9</v>
      </c>
      <c r="C494" t="s">
        <v>8</v>
      </c>
    </row>
    <row r="495" spans="1:3" x14ac:dyDescent="0.25">
      <c r="A495">
        <v>10595345</v>
      </c>
      <c r="B495" t="s">
        <v>9</v>
      </c>
      <c r="C495" t="s">
        <v>8</v>
      </c>
    </row>
    <row r="496" spans="1:3" x14ac:dyDescent="0.25">
      <c r="A496">
        <v>11847311</v>
      </c>
      <c r="B496" t="s">
        <v>9</v>
      </c>
      <c r="C496" t="s">
        <v>8</v>
      </c>
    </row>
    <row r="497" spans="1:3" x14ac:dyDescent="0.25">
      <c r="A497">
        <v>10583012</v>
      </c>
      <c r="B497" t="s">
        <v>9</v>
      </c>
      <c r="C497" t="s">
        <v>8</v>
      </c>
    </row>
    <row r="498" spans="1:3" x14ac:dyDescent="0.25">
      <c r="A498">
        <v>11402457</v>
      </c>
      <c r="B498" t="s">
        <v>12</v>
      </c>
    </row>
    <row r="499" spans="1:3" x14ac:dyDescent="0.25">
      <c r="A499">
        <v>11561180</v>
      </c>
      <c r="B499" t="s">
        <v>7</v>
      </c>
      <c r="C499" t="s">
        <v>6</v>
      </c>
    </row>
    <row r="500" spans="1:3" x14ac:dyDescent="0.25">
      <c r="A500">
        <v>10827980</v>
      </c>
      <c r="B500" t="s">
        <v>9</v>
      </c>
      <c r="C500" t="s">
        <v>8</v>
      </c>
    </row>
    <row r="501" spans="1:3" x14ac:dyDescent="0.25">
      <c r="A501">
        <v>11348270</v>
      </c>
      <c r="B501" t="s">
        <v>9</v>
      </c>
      <c r="C501" t="s">
        <v>8</v>
      </c>
    </row>
    <row r="502" spans="1:3" x14ac:dyDescent="0.25">
      <c r="A502">
        <v>10940809</v>
      </c>
      <c r="B502" t="s">
        <v>12</v>
      </c>
    </row>
    <row r="503" spans="1:3" x14ac:dyDescent="0.25">
      <c r="A503">
        <v>11193291</v>
      </c>
      <c r="B503" t="s">
        <v>16</v>
      </c>
      <c r="C503" t="s">
        <v>15</v>
      </c>
    </row>
    <row r="504" spans="1:3" x14ac:dyDescent="0.25">
      <c r="A504">
        <v>11668093</v>
      </c>
      <c r="B504" t="s">
        <v>9</v>
      </c>
      <c r="C504" t="s">
        <v>8</v>
      </c>
    </row>
    <row r="505" spans="1:3" x14ac:dyDescent="0.25">
      <c r="A505">
        <v>10658821</v>
      </c>
      <c r="B505" t="s">
        <v>12</v>
      </c>
    </row>
    <row r="506" spans="1:3" x14ac:dyDescent="0.25">
      <c r="A506">
        <v>11434027</v>
      </c>
      <c r="B506" t="s">
        <v>12</v>
      </c>
    </row>
    <row r="507" spans="1:3" x14ac:dyDescent="0.25">
      <c r="A507">
        <v>10795841</v>
      </c>
      <c r="B507" t="s">
        <v>9</v>
      </c>
      <c r="C507" t="s">
        <v>8</v>
      </c>
    </row>
    <row r="508" spans="1:3" x14ac:dyDescent="0.25">
      <c r="A508">
        <v>11831921</v>
      </c>
      <c r="B508" t="s">
        <v>9</v>
      </c>
      <c r="C508" t="s">
        <v>8</v>
      </c>
    </row>
    <row r="509" spans="1:3" x14ac:dyDescent="0.25">
      <c r="A509">
        <v>11425056</v>
      </c>
      <c r="B509" t="s">
        <v>9</v>
      </c>
      <c r="C509" t="s">
        <v>8</v>
      </c>
    </row>
    <row r="510" spans="1:3" x14ac:dyDescent="0.25">
      <c r="A510">
        <v>11416829</v>
      </c>
      <c r="B510" t="s">
        <v>20</v>
      </c>
      <c r="C510" t="s">
        <v>19</v>
      </c>
    </row>
    <row r="511" spans="1:3" x14ac:dyDescent="0.25">
      <c r="A511">
        <v>10730410</v>
      </c>
      <c r="B511" t="s">
        <v>16</v>
      </c>
      <c r="C511" t="s">
        <v>15</v>
      </c>
    </row>
    <row r="512" spans="1:3" x14ac:dyDescent="0.25">
      <c r="A512">
        <v>11252877</v>
      </c>
      <c r="B512" t="s">
        <v>12</v>
      </c>
    </row>
    <row r="513" spans="1:3" x14ac:dyDescent="0.25">
      <c r="A513">
        <v>11879790</v>
      </c>
      <c r="B513" t="s">
        <v>9</v>
      </c>
      <c r="C513" t="s">
        <v>8</v>
      </c>
    </row>
    <row r="514" spans="1:3" x14ac:dyDescent="0.25">
      <c r="A514">
        <v>11702139</v>
      </c>
      <c r="B514" t="s">
        <v>9</v>
      </c>
      <c r="C514" t="s">
        <v>8</v>
      </c>
    </row>
    <row r="515" spans="1:3" x14ac:dyDescent="0.25">
      <c r="A515">
        <v>11271339</v>
      </c>
      <c r="B515" t="s">
        <v>12</v>
      </c>
    </row>
    <row r="516" spans="1:3" x14ac:dyDescent="0.25">
      <c r="A516">
        <v>10861677</v>
      </c>
      <c r="B516" t="s">
        <v>9</v>
      </c>
      <c r="C516" t="s">
        <v>8</v>
      </c>
    </row>
    <row r="517" spans="1:3" x14ac:dyDescent="0.25">
      <c r="A517">
        <v>11027461</v>
      </c>
      <c r="B517" t="s">
        <v>12</v>
      </c>
    </row>
    <row r="518" spans="1:3" x14ac:dyDescent="0.25">
      <c r="A518">
        <v>11197293</v>
      </c>
      <c r="B518" t="s">
        <v>12</v>
      </c>
    </row>
    <row r="519" spans="1:3" x14ac:dyDescent="0.25">
      <c r="A519">
        <v>11723155</v>
      </c>
      <c r="B519" t="s">
        <v>9</v>
      </c>
    </row>
    <row r="520" spans="1:3" x14ac:dyDescent="0.25">
      <c r="A520">
        <v>11406903</v>
      </c>
      <c r="B520" t="s">
        <v>7</v>
      </c>
      <c r="C520" t="s">
        <v>6</v>
      </c>
    </row>
    <row r="521" spans="1:3" x14ac:dyDescent="0.25">
      <c r="A521">
        <v>10829028</v>
      </c>
      <c r="B521" t="s">
        <v>9</v>
      </c>
      <c r="C521" t="s">
        <v>8</v>
      </c>
    </row>
    <row r="522" spans="1:3" x14ac:dyDescent="0.25">
      <c r="A522">
        <v>11606762</v>
      </c>
      <c r="B522" t="s">
        <v>14</v>
      </c>
      <c r="C522" t="s">
        <v>13</v>
      </c>
    </row>
    <row r="523" spans="1:3" x14ac:dyDescent="0.25">
      <c r="A523">
        <v>11068661</v>
      </c>
      <c r="B523" t="s">
        <v>11</v>
      </c>
      <c r="C523" t="s">
        <v>10</v>
      </c>
    </row>
    <row r="524" spans="1:3" x14ac:dyDescent="0.25">
      <c r="A524">
        <v>11433631</v>
      </c>
      <c r="B524" t="s">
        <v>12</v>
      </c>
    </row>
    <row r="525" spans="1:3" x14ac:dyDescent="0.25">
      <c r="A525">
        <v>10596002</v>
      </c>
      <c r="B525" t="s">
        <v>12</v>
      </c>
    </row>
    <row r="526" spans="1:3" x14ac:dyDescent="0.25">
      <c r="A526">
        <v>10876950</v>
      </c>
      <c r="B526" t="s">
        <v>23</v>
      </c>
      <c r="C526" t="s">
        <v>25</v>
      </c>
    </row>
    <row r="527" spans="1:3" x14ac:dyDescent="0.25">
      <c r="A527">
        <v>10882580</v>
      </c>
      <c r="B527" t="s">
        <v>9</v>
      </c>
      <c r="C527" t="s">
        <v>8</v>
      </c>
    </row>
    <row r="528" spans="1:3" x14ac:dyDescent="0.25">
      <c r="A528">
        <v>10938307</v>
      </c>
      <c r="B528" t="s">
        <v>9</v>
      </c>
      <c r="C528" t="s">
        <v>8</v>
      </c>
    </row>
    <row r="529" spans="1:3" x14ac:dyDescent="0.25">
      <c r="A529">
        <v>11559384</v>
      </c>
      <c r="B529" t="s">
        <v>12</v>
      </c>
    </row>
    <row r="530" spans="1:3" x14ac:dyDescent="0.25">
      <c r="A530">
        <v>11539094</v>
      </c>
      <c r="B530" t="s">
        <v>16</v>
      </c>
      <c r="C530" t="s">
        <v>15</v>
      </c>
    </row>
    <row r="531" spans="1:3" x14ac:dyDescent="0.25">
      <c r="A531">
        <v>11505536</v>
      </c>
      <c r="B531" t="s">
        <v>12</v>
      </c>
    </row>
    <row r="532" spans="1:3" x14ac:dyDescent="0.25">
      <c r="A532">
        <v>10770176</v>
      </c>
      <c r="B532" t="s">
        <v>23</v>
      </c>
      <c r="C532" t="s">
        <v>25</v>
      </c>
    </row>
    <row r="533" spans="1:3" x14ac:dyDescent="0.25">
      <c r="A533">
        <v>11385847</v>
      </c>
      <c r="B533" t="s">
        <v>7</v>
      </c>
      <c r="C533" t="s">
        <v>6</v>
      </c>
    </row>
    <row r="534" spans="1:3" x14ac:dyDescent="0.25">
      <c r="A534">
        <v>11553893</v>
      </c>
      <c r="B534" t="s">
        <v>12</v>
      </c>
    </row>
    <row r="535" spans="1:3" x14ac:dyDescent="0.25">
      <c r="A535">
        <v>11905344</v>
      </c>
      <c r="B535" t="s">
        <v>23</v>
      </c>
      <c r="C535" t="s">
        <v>25</v>
      </c>
    </row>
    <row r="536" spans="1:3" x14ac:dyDescent="0.25">
      <c r="A536">
        <v>11570421</v>
      </c>
      <c r="B536" t="s">
        <v>12</v>
      </c>
    </row>
    <row r="537" spans="1:3" x14ac:dyDescent="0.25">
      <c r="A537">
        <v>11007572</v>
      </c>
      <c r="B537" t="s">
        <v>9</v>
      </c>
      <c r="C537" t="s">
        <v>8</v>
      </c>
    </row>
    <row r="538" spans="1:3" x14ac:dyDescent="0.25">
      <c r="A538">
        <v>10857291</v>
      </c>
      <c r="B538" t="s">
        <v>12</v>
      </c>
    </row>
    <row r="539" spans="1:3" x14ac:dyDescent="0.25">
      <c r="A539">
        <v>11600361</v>
      </c>
      <c r="B539" t="s">
        <v>12</v>
      </c>
    </row>
    <row r="540" spans="1:3" x14ac:dyDescent="0.25">
      <c r="A540">
        <v>10588433</v>
      </c>
      <c r="B540" t="s">
        <v>12</v>
      </c>
    </row>
    <row r="541" spans="1:3" x14ac:dyDescent="0.25">
      <c r="A541">
        <v>10609110</v>
      </c>
      <c r="B541" t="s">
        <v>9</v>
      </c>
      <c r="C541" t="s">
        <v>8</v>
      </c>
    </row>
    <row r="542" spans="1:3" x14ac:dyDescent="0.25">
      <c r="A542">
        <v>11457922</v>
      </c>
      <c r="B542" t="s">
        <v>12</v>
      </c>
    </row>
    <row r="543" spans="1:3" x14ac:dyDescent="0.25">
      <c r="A543">
        <v>11405888</v>
      </c>
      <c r="B543" t="s">
        <v>7</v>
      </c>
      <c r="C543" t="s">
        <v>6</v>
      </c>
    </row>
    <row r="544" spans="1:3" x14ac:dyDescent="0.25">
      <c r="A544">
        <v>11600276</v>
      </c>
      <c r="B544" t="s">
        <v>12</v>
      </c>
    </row>
    <row r="545" spans="1:3" x14ac:dyDescent="0.25">
      <c r="A545">
        <v>10704692</v>
      </c>
      <c r="B545" t="s">
        <v>11</v>
      </c>
      <c r="C545" t="s">
        <v>29</v>
      </c>
    </row>
    <row r="546" spans="1:3" x14ac:dyDescent="0.25">
      <c r="A546">
        <v>10638715</v>
      </c>
      <c r="B546" t="s">
        <v>9</v>
      </c>
      <c r="C546" t="s">
        <v>8</v>
      </c>
    </row>
    <row r="547" spans="1:3" x14ac:dyDescent="0.25">
      <c r="A547">
        <v>10793286</v>
      </c>
      <c r="B547" t="s">
        <v>9</v>
      </c>
      <c r="C547" t="s">
        <v>8</v>
      </c>
    </row>
    <row r="548" spans="1:3" x14ac:dyDescent="0.25">
      <c r="A548">
        <v>10758645</v>
      </c>
      <c r="B548" t="s">
        <v>9</v>
      </c>
      <c r="C548" t="s">
        <v>8</v>
      </c>
    </row>
    <row r="549" spans="1:3" x14ac:dyDescent="0.25">
      <c r="A549">
        <v>10852088</v>
      </c>
      <c r="B549" t="s">
        <v>12</v>
      </c>
    </row>
    <row r="550" spans="1:3" x14ac:dyDescent="0.25">
      <c r="A550">
        <v>10639119</v>
      </c>
      <c r="B550" t="s">
        <v>12</v>
      </c>
    </row>
    <row r="551" spans="1:3" x14ac:dyDescent="0.25">
      <c r="A551">
        <v>11929300</v>
      </c>
      <c r="B551" t="s">
        <v>12</v>
      </c>
    </row>
    <row r="552" spans="1:3" x14ac:dyDescent="0.25">
      <c r="A552">
        <v>11710981</v>
      </c>
      <c r="B552" t="s">
        <v>9</v>
      </c>
      <c r="C552" t="s">
        <v>8</v>
      </c>
    </row>
    <row r="553" spans="1:3" x14ac:dyDescent="0.25">
      <c r="A553">
        <v>10598370</v>
      </c>
      <c r="B553" t="s">
        <v>9</v>
      </c>
      <c r="C553" t="s">
        <v>8</v>
      </c>
    </row>
    <row r="554" spans="1:3" x14ac:dyDescent="0.25">
      <c r="A554">
        <v>10676625</v>
      </c>
      <c r="B554" t="s">
        <v>11</v>
      </c>
      <c r="C554" t="s">
        <v>29</v>
      </c>
    </row>
    <row r="555" spans="1:3" x14ac:dyDescent="0.25">
      <c r="A555">
        <v>11921737</v>
      </c>
      <c r="B555" t="s">
        <v>7</v>
      </c>
      <c r="C555" t="s">
        <v>6</v>
      </c>
    </row>
    <row r="556" spans="1:3" x14ac:dyDescent="0.25">
      <c r="A556">
        <v>10724498</v>
      </c>
      <c r="B556" t="s">
        <v>12</v>
      </c>
    </row>
    <row r="557" spans="1:3" x14ac:dyDescent="0.25">
      <c r="A557">
        <v>11635289</v>
      </c>
      <c r="B557" t="s">
        <v>9</v>
      </c>
      <c r="C557" t="s">
        <v>8</v>
      </c>
    </row>
    <row r="558" spans="1:3" x14ac:dyDescent="0.25">
      <c r="A558">
        <v>10747347</v>
      </c>
      <c r="B558" t="s">
        <v>9</v>
      </c>
      <c r="C558" t="s">
        <v>8</v>
      </c>
    </row>
    <row r="559" spans="1:3" x14ac:dyDescent="0.25">
      <c r="A559">
        <v>11999381</v>
      </c>
      <c r="B559" t="s">
        <v>12</v>
      </c>
    </row>
    <row r="560" spans="1:3" x14ac:dyDescent="0.25">
      <c r="A560">
        <v>11012233</v>
      </c>
      <c r="B560" t="s">
        <v>9</v>
      </c>
      <c r="C560" t="s">
        <v>8</v>
      </c>
    </row>
    <row r="561" spans="1:3" x14ac:dyDescent="0.25">
      <c r="A561">
        <v>11373937</v>
      </c>
      <c r="B561" t="s">
        <v>12</v>
      </c>
    </row>
    <row r="562" spans="1:3" x14ac:dyDescent="0.25">
      <c r="A562">
        <v>11464860</v>
      </c>
      <c r="B562" t="s">
        <v>12</v>
      </c>
    </row>
    <row r="563" spans="1:3" x14ac:dyDescent="0.25">
      <c r="A563">
        <v>11496214</v>
      </c>
      <c r="B563" t="s">
        <v>9</v>
      </c>
      <c r="C563" t="s">
        <v>8</v>
      </c>
    </row>
    <row r="564" spans="1:3" x14ac:dyDescent="0.25">
      <c r="A564">
        <v>11434554</v>
      </c>
      <c r="B564" t="s">
        <v>12</v>
      </c>
    </row>
    <row r="565" spans="1:3" x14ac:dyDescent="0.25">
      <c r="A565">
        <v>10843920</v>
      </c>
      <c r="B565" t="s">
        <v>12</v>
      </c>
    </row>
    <row r="566" spans="1:3" x14ac:dyDescent="0.25">
      <c r="A566">
        <v>10949862</v>
      </c>
      <c r="B566" t="s">
        <v>9</v>
      </c>
      <c r="C566" t="s">
        <v>8</v>
      </c>
    </row>
    <row r="567" spans="1:3" x14ac:dyDescent="0.25">
      <c r="A567">
        <v>10822228</v>
      </c>
      <c r="B567" t="s">
        <v>12</v>
      </c>
    </row>
    <row r="568" spans="1:3" x14ac:dyDescent="0.25">
      <c r="A568">
        <v>11271605</v>
      </c>
      <c r="B568" t="s">
        <v>9</v>
      </c>
      <c r="C568" t="s">
        <v>8</v>
      </c>
    </row>
    <row r="569" spans="1:3" x14ac:dyDescent="0.25">
      <c r="A569">
        <v>11600830</v>
      </c>
      <c r="B569" t="s">
        <v>9</v>
      </c>
      <c r="C569" t="s">
        <v>8</v>
      </c>
    </row>
    <row r="570" spans="1:3" x14ac:dyDescent="0.25">
      <c r="A570">
        <v>11739087</v>
      </c>
      <c r="B570" t="s">
        <v>9</v>
      </c>
      <c r="C570" t="s">
        <v>8</v>
      </c>
    </row>
    <row r="571" spans="1:3" x14ac:dyDescent="0.25">
      <c r="A571">
        <v>12007587</v>
      </c>
      <c r="B571" t="s">
        <v>9</v>
      </c>
      <c r="C571" t="s">
        <v>8</v>
      </c>
    </row>
    <row r="572" spans="1:3" x14ac:dyDescent="0.25">
      <c r="A572">
        <v>11847721</v>
      </c>
      <c r="B572" t="s">
        <v>9</v>
      </c>
      <c r="C572" t="s">
        <v>8</v>
      </c>
    </row>
    <row r="573" spans="1:3" x14ac:dyDescent="0.25">
      <c r="A573">
        <v>11607864</v>
      </c>
      <c r="B573" t="s">
        <v>7</v>
      </c>
      <c r="C573" t="s">
        <v>6</v>
      </c>
    </row>
    <row r="574" spans="1:3" x14ac:dyDescent="0.25">
      <c r="A574">
        <v>11959280</v>
      </c>
      <c r="B574" t="s">
        <v>12</v>
      </c>
    </row>
    <row r="575" spans="1:3" x14ac:dyDescent="0.25">
      <c r="A575">
        <v>11407630</v>
      </c>
      <c r="B575" t="s">
        <v>7</v>
      </c>
      <c r="C575" t="s">
        <v>6</v>
      </c>
    </row>
    <row r="576" spans="1:3" x14ac:dyDescent="0.25">
      <c r="A576">
        <v>11358751</v>
      </c>
      <c r="B576" t="s">
        <v>7</v>
      </c>
      <c r="C576" t="s">
        <v>6</v>
      </c>
    </row>
    <row r="577" spans="1:3" x14ac:dyDescent="0.25">
      <c r="A577">
        <v>11500961</v>
      </c>
      <c r="B577" t="s">
        <v>12</v>
      </c>
    </row>
    <row r="578" spans="1:3" x14ac:dyDescent="0.25">
      <c r="A578">
        <v>10919837</v>
      </c>
      <c r="B578" t="s">
        <v>9</v>
      </c>
      <c r="C578" t="s">
        <v>8</v>
      </c>
    </row>
    <row r="579" spans="1:3" x14ac:dyDescent="0.25">
      <c r="A579">
        <v>12012615</v>
      </c>
      <c r="B579" t="s">
        <v>12</v>
      </c>
    </row>
    <row r="580" spans="1:3" x14ac:dyDescent="0.25">
      <c r="A580">
        <v>11038970</v>
      </c>
      <c r="B580" t="s">
        <v>12</v>
      </c>
    </row>
    <row r="581" spans="1:3" x14ac:dyDescent="0.25">
      <c r="A581">
        <v>10623857</v>
      </c>
      <c r="B581" t="s">
        <v>12</v>
      </c>
    </row>
    <row r="582" spans="1:3" x14ac:dyDescent="0.25">
      <c r="A582">
        <v>11591999</v>
      </c>
      <c r="B582" t="s">
        <v>9</v>
      </c>
      <c r="C582" t="s">
        <v>8</v>
      </c>
    </row>
    <row r="583" spans="1:3" x14ac:dyDescent="0.25">
      <c r="A583">
        <v>11835273</v>
      </c>
      <c r="B583" t="s">
        <v>9</v>
      </c>
    </row>
    <row r="584" spans="1:3" x14ac:dyDescent="0.25">
      <c r="A584">
        <v>10948125</v>
      </c>
      <c r="B584" t="s">
        <v>9</v>
      </c>
      <c r="C584" t="s">
        <v>8</v>
      </c>
    </row>
    <row r="585" spans="1:3" x14ac:dyDescent="0.25">
      <c r="A585">
        <v>11751347</v>
      </c>
      <c r="B585" t="s">
        <v>12</v>
      </c>
    </row>
    <row r="586" spans="1:3" x14ac:dyDescent="0.25">
      <c r="A586">
        <v>11642856</v>
      </c>
      <c r="B586" t="s">
        <v>16</v>
      </c>
      <c r="C586" t="s">
        <v>15</v>
      </c>
    </row>
    <row r="587" spans="1:3" x14ac:dyDescent="0.25">
      <c r="A587">
        <v>11289716</v>
      </c>
      <c r="B587" t="s">
        <v>16</v>
      </c>
      <c r="C587" t="s">
        <v>15</v>
      </c>
    </row>
    <row r="588" spans="1:3" x14ac:dyDescent="0.25">
      <c r="A588">
        <v>11679220</v>
      </c>
      <c r="B588" t="s">
        <v>9</v>
      </c>
      <c r="C588" t="s">
        <v>8</v>
      </c>
    </row>
    <row r="589" spans="1:3" x14ac:dyDescent="0.25">
      <c r="A589">
        <v>11661499</v>
      </c>
      <c r="B589" t="s">
        <v>28</v>
      </c>
      <c r="C589" t="s">
        <v>27</v>
      </c>
    </row>
    <row r="590" spans="1:3" x14ac:dyDescent="0.25">
      <c r="A590">
        <v>11632169</v>
      </c>
      <c r="B590" t="s">
        <v>7</v>
      </c>
      <c r="C590" t="s">
        <v>6</v>
      </c>
    </row>
    <row r="591" spans="1:3" x14ac:dyDescent="0.25">
      <c r="A591">
        <v>10918693</v>
      </c>
      <c r="B591" t="s">
        <v>9</v>
      </c>
      <c r="C591" t="s">
        <v>8</v>
      </c>
    </row>
    <row r="592" spans="1:3" x14ac:dyDescent="0.25">
      <c r="A592">
        <v>11543130</v>
      </c>
      <c r="B592" t="s">
        <v>7</v>
      </c>
      <c r="C592" t="s">
        <v>6</v>
      </c>
    </row>
    <row r="593" spans="1:3" x14ac:dyDescent="0.25">
      <c r="A593">
        <v>11557905</v>
      </c>
      <c r="B593" t="s">
        <v>7</v>
      </c>
      <c r="C593" t="s">
        <v>6</v>
      </c>
    </row>
    <row r="594" spans="1:3" x14ac:dyDescent="0.25">
      <c r="A594">
        <v>10947732</v>
      </c>
      <c r="B594" t="s">
        <v>12</v>
      </c>
    </row>
    <row r="595" spans="1:3" x14ac:dyDescent="0.25">
      <c r="A595">
        <v>10911709</v>
      </c>
      <c r="B595" t="s">
        <v>9</v>
      </c>
      <c r="C595" t="s">
        <v>8</v>
      </c>
    </row>
    <row r="596" spans="1:3" x14ac:dyDescent="0.25">
      <c r="A596">
        <v>10920068</v>
      </c>
      <c r="B596" t="s">
        <v>7</v>
      </c>
      <c r="C596" t="s">
        <v>6</v>
      </c>
    </row>
    <row r="597" spans="1:3" x14ac:dyDescent="0.25">
      <c r="A597">
        <v>11010194</v>
      </c>
      <c r="B597" t="s">
        <v>9</v>
      </c>
      <c r="C597" t="s">
        <v>8</v>
      </c>
    </row>
    <row r="598" spans="1:3" x14ac:dyDescent="0.25">
      <c r="A598">
        <v>11599311</v>
      </c>
      <c r="B598" t="s">
        <v>20</v>
      </c>
      <c r="C598" t="s">
        <v>19</v>
      </c>
    </row>
    <row r="599" spans="1:3" x14ac:dyDescent="0.25">
      <c r="A599">
        <v>10954335</v>
      </c>
      <c r="B599" t="s">
        <v>9</v>
      </c>
      <c r="C599" t="s">
        <v>8</v>
      </c>
    </row>
    <row r="600" spans="1:3" x14ac:dyDescent="0.25">
      <c r="A600">
        <v>11871153</v>
      </c>
      <c r="B600" t="s">
        <v>9</v>
      </c>
      <c r="C600" t="s">
        <v>8</v>
      </c>
    </row>
    <row r="601" spans="1:3" x14ac:dyDescent="0.25">
      <c r="A601">
        <v>11492454</v>
      </c>
      <c r="B601" t="s">
        <v>9</v>
      </c>
      <c r="C601" t="s">
        <v>8</v>
      </c>
    </row>
    <row r="602" spans="1:3" x14ac:dyDescent="0.25">
      <c r="A602">
        <v>10746239</v>
      </c>
      <c r="B602" t="s">
        <v>9</v>
      </c>
      <c r="C602" t="s">
        <v>8</v>
      </c>
    </row>
    <row r="603" spans="1:3" x14ac:dyDescent="0.25">
      <c r="A603">
        <v>10926762</v>
      </c>
      <c r="B603" t="s">
        <v>9</v>
      </c>
      <c r="C603" t="s">
        <v>8</v>
      </c>
    </row>
    <row r="604" spans="1:3" x14ac:dyDescent="0.25">
      <c r="A604">
        <v>11894363</v>
      </c>
      <c r="B604" t="s">
        <v>9</v>
      </c>
      <c r="C604" t="s">
        <v>8</v>
      </c>
    </row>
    <row r="605" spans="1:3" x14ac:dyDescent="0.25">
      <c r="A605">
        <v>10936804</v>
      </c>
      <c r="B605" t="s">
        <v>7</v>
      </c>
      <c r="C605" t="s">
        <v>6</v>
      </c>
    </row>
    <row r="606" spans="1:3" x14ac:dyDescent="0.25">
      <c r="A606">
        <v>11555571</v>
      </c>
      <c r="B606" t="s">
        <v>7</v>
      </c>
      <c r="C606" t="s">
        <v>6</v>
      </c>
    </row>
    <row r="607" spans="1:3" x14ac:dyDescent="0.25">
      <c r="A607">
        <v>11335242</v>
      </c>
      <c r="B607" t="s">
        <v>12</v>
      </c>
    </row>
    <row r="608" spans="1:3" x14ac:dyDescent="0.25">
      <c r="A608">
        <v>11453940</v>
      </c>
      <c r="B608" t="s">
        <v>12</v>
      </c>
    </row>
    <row r="609" spans="1:3" x14ac:dyDescent="0.25">
      <c r="A609">
        <v>11640596</v>
      </c>
      <c r="B609" t="s">
        <v>9</v>
      </c>
      <c r="C609" t="s">
        <v>8</v>
      </c>
    </row>
    <row r="610" spans="1:3" x14ac:dyDescent="0.25">
      <c r="A610">
        <v>10607463</v>
      </c>
      <c r="B610" t="s">
        <v>9</v>
      </c>
      <c r="C610" t="s">
        <v>8</v>
      </c>
    </row>
    <row r="611" spans="1:3" x14ac:dyDescent="0.25">
      <c r="A611">
        <v>10828526</v>
      </c>
      <c r="B611" t="s">
        <v>9</v>
      </c>
      <c r="C611" t="s">
        <v>8</v>
      </c>
    </row>
    <row r="612" spans="1:3" x14ac:dyDescent="0.25">
      <c r="A612">
        <v>11009193</v>
      </c>
      <c r="B612" t="s">
        <v>9</v>
      </c>
      <c r="C612" t="s">
        <v>8</v>
      </c>
    </row>
    <row r="613" spans="1:3" x14ac:dyDescent="0.25">
      <c r="A613">
        <v>11006523</v>
      </c>
      <c r="B613" t="s">
        <v>9</v>
      </c>
      <c r="C613" t="s">
        <v>8</v>
      </c>
    </row>
    <row r="614" spans="1:3" x14ac:dyDescent="0.25">
      <c r="A614">
        <v>10906597</v>
      </c>
      <c r="B614" t="s">
        <v>9</v>
      </c>
      <c r="C614" t="s">
        <v>8</v>
      </c>
    </row>
    <row r="615" spans="1:3" x14ac:dyDescent="0.25">
      <c r="A615">
        <v>11847124</v>
      </c>
      <c r="B615" t="s">
        <v>12</v>
      </c>
    </row>
    <row r="616" spans="1:3" x14ac:dyDescent="0.25">
      <c r="A616">
        <v>10700405</v>
      </c>
      <c r="B616" t="s">
        <v>12</v>
      </c>
    </row>
    <row r="617" spans="1:3" x14ac:dyDescent="0.25">
      <c r="A617">
        <v>10851617</v>
      </c>
      <c r="B617" t="s">
        <v>12</v>
      </c>
    </row>
    <row r="618" spans="1:3" x14ac:dyDescent="0.25">
      <c r="A618">
        <v>11740157</v>
      </c>
      <c r="B618" t="s">
        <v>9</v>
      </c>
      <c r="C618" t="s">
        <v>8</v>
      </c>
    </row>
    <row r="619" spans="1:3" x14ac:dyDescent="0.25">
      <c r="A619">
        <v>10921822</v>
      </c>
      <c r="B619" t="s">
        <v>12</v>
      </c>
    </row>
    <row r="620" spans="1:3" x14ac:dyDescent="0.25">
      <c r="A620">
        <v>10721256</v>
      </c>
      <c r="B620" t="s">
        <v>9</v>
      </c>
      <c r="C620" t="s">
        <v>8</v>
      </c>
    </row>
    <row r="621" spans="1:3" x14ac:dyDescent="0.25">
      <c r="A621">
        <v>11728881</v>
      </c>
      <c r="B621" t="s">
        <v>12</v>
      </c>
    </row>
    <row r="622" spans="1:3" x14ac:dyDescent="0.25">
      <c r="A622">
        <v>11766700</v>
      </c>
      <c r="B622" t="s">
        <v>9</v>
      </c>
      <c r="C622" t="s">
        <v>8</v>
      </c>
    </row>
    <row r="623" spans="1:3" x14ac:dyDescent="0.25">
      <c r="A623">
        <v>12006715</v>
      </c>
      <c r="B623" t="s">
        <v>9</v>
      </c>
      <c r="C623" t="s">
        <v>8</v>
      </c>
    </row>
    <row r="624" spans="1:3" x14ac:dyDescent="0.25">
      <c r="A624">
        <v>11277382</v>
      </c>
      <c r="B624" t="s">
        <v>9</v>
      </c>
      <c r="C624" t="s">
        <v>8</v>
      </c>
    </row>
    <row r="625" spans="1:3" x14ac:dyDescent="0.25">
      <c r="A625">
        <v>11797023</v>
      </c>
      <c r="B625" t="s">
        <v>12</v>
      </c>
    </row>
    <row r="626" spans="1:3" x14ac:dyDescent="0.25">
      <c r="A626">
        <v>11544223</v>
      </c>
      <c r="B626" t="s">
        <v>7</v>
      </c>
      <c r="C626" t="s">
        <v>6</v>
      </c>
    </row>
    <row r="627" spans="1:3" x14ac:dyDescent="0.25">
      <c r="A627">
        <v>11769610</v>
      </c>
      <c r="B627" t="s">
        <v>9</v>
      </c>
      <c r="C627" t="s">
        <v>8</v>
      </c>
    </row>
    <row r="628" spans="1:3" x14ac:dyDescent="0.25">
      <c r="A628">
        <v>11391397</v>
      </c>
      <c r="B628" t="s">
        <v>12</v>
      </c>
    </row>
    <row r="629" spans="1:3" x14ac:dyDescent="0.25">
      <c r="A629">
        <v>10816792</v>
      </c>
      <c r="B629" t="s">
        <v>9</v>
      </c>
      <c r="C629" t="s">
        <v>8</v>
      </c>
    </row>
    <row r="630" spans="1:3" x14ac:dyDescent="0.25">
      <c r="A630">
        <v>11019482</v>
      </c>
      <c r="B630" t="s">
        <v>9</v>
      </c>
      <c r="C630" t="s">
        <v>8</v>
      </c>
    </row>
    <row r="631" spans="1:3" x14ac:dyDescent="0.25">
      <c r="A631">
        <v>11393126</v>
      </c>
      <c r="B631" t="s">
        <v>9</v>
      </c>
      <c r="C631" t="s">
        <v>8</v>
      </c>
    </row>
    <row r="632" spans="1:3" x14ac:dyDescent="0.25">
      <c r="A632">
        <v>11320857</v>
      </c>
      <c r="B632" t="s">
        <v>12</v>
      </c>
    </row>
    <row r="633" spans="1:3" x14ac:dyDescent="0.25">
      <c r="A633">
        <v>11109123</v>
      </c>
      <c r="B633" t="s">
        <v>12</v>
      </c>
    </row>
    <row r="634" spans="1:3" x14ac:dyDescent="0.25">
      <c r="A634">
        <v>11706299</v>
      </c>
      <c r="B634" t="s">
        <v>12</v>
      </c>
    </row>
    <row r="635" spans="1:3" x14ac:dyDescent="0.25">
      <c r="A635">
        <v>11560860</v>
      </c>
      <c r="B635" t="s">
        <v>12</v>
      </c>
    </row>
    <row r="636" spans="1:3" x14ac:dyDescent="0.25">
      <c r="A636">
        <v>11346491</v>
      </c>
      <c r="B636" t="s">
        <v>7</v>
      </c>
      <c r="C636" t="s">
        <v>6</v>
      </c>
    </row>
    <row r="637" spans="1:3" x14ac:dyDescent="0.25">
      <c r="A637">
        <v>11876761</v>
      </c>
      <c r="B637" t="s">
        <v>12</v>
      </c>
    </row>
    <row r="638" spans="1:3" x14ac:dyDescent="0.25">
      <c r="A638">
        <v>11559467</v>
      </c>
      <c r="B638" t="s">
        <v>7</v>
      </c>
      <c r="C638" t="s">
        <v>6</v>
      </c>
    </row>
    <row r="639" spans="1:3" x14ac:dyDescent="0.25">
      <c r="A639">
        <v>11223364</v>
      </c>
      <c r="B639" t="s">
        <v>9</v>
      </c>
      <c r="C639" t="s">
        <v>8</v>
      </c>
    </row>
    <row r="640" spans="1:3" x14ac:dyDescent="0.25">
      <c r="A640">
        <v>11406027</v>
      </c>
      <c r="B640" t="s">
        <v>7</v>
      </c>
      <c r="C640" t="s">
        <v>6</v>
      </c>
    </row>
    <row r="641" spans="1:3" x14ac:dyDescent="0.25">
      <c r="A641">
        <v>11623862</v>
      </c>
      <c r="B641" t="s">
        <v>9</v>
      </c>
      <c r="C641" t="s">
        <v>8</v>
      </c>
    </row>
    <row r="642" spans="1:3" x14ac:dyDescent="0.25">
      <c r="A642">
        <v>11556796</v>
      </c>
      <c r="B642" t="s">
        <v>12</v>
      </c>
    </row>
    <row r="643" spans="1:3" x14ac:dyDescent="0.25">
      <c r="A643">
        <v>10621630</v>
      </c>
      <c r="B643" t="s">
        <v>12</v>
      </c>
    </row>
    <row r="644" spans="1:3" x14ac:dyDescent="0.25">
      <c r="A644">
        <v>11048291</v>
      </c>
      <c r="B644" t="s">
        <v>9</v>
      </c>
      <c r="C644" t="s">
        <v>8</v>
      </c>
    </row>
    <row r="645" spans="1:3" x14ac:dyDescent="0.25">
      <c r="A645">
        <v>11707617</v>
      </c>
      <c r="B645" t="s">
        <v>9</v>
      </c>
      <c r="C645" t="s">
        <v>15</v>
      </c>
    </row>
    <row r="646" spans="1:3" x14ac:dyDescent="0.25">
      <c r="A646">
        <v>11407763</v>
      </c>
      <c r="B646" t="s">
        <v>7</v>
      </c>
      <c r="C646" t="s">
        <v>6</v>
      </c>
    </row>
    <row r="647" spans="1:3" x14ac:dyDescent="0.25">
      <c r="A647">
        <v>11905196</v>
      </c>
      <c r="B647" t="s">
        <v>9</v>
      </c>
      <c r="C647" t="s">
        <v>8</v>
      </c>
    </row>
    <row r="648" spans="1:3" x14ac:dyDescent="0.25">
      <c r="A648">
        <v>11495335</v>
      </c>
      <c r="B648" t="s">
        <v>18</v>
      </c>
      <c r="C648" t="s">
        <v>17</v>
      </c>
    </row>
    <row r="649" spans="1:3" x14ac:dyDescent="0.25">
      <c r="A649">
        <v>11390038</v>
      </c>
      <c r="B649" t="s">
        <v>12</v>
      </c>
    </row>
    <row r="650" spans="1:3" x14ac:dyDescent="0.25">
      <c r="A650">
        <v>10626499</v>
      </c>
      <c r="B650" t="s">
        <v>12</v>
      </c>
    </row>
    <row r="651" spans="1:3" x14ac:dyDescent="0.25">
      <c r="A651">
        <v>11608445</v>
      </c>
      <c r="B651" t="s">
        <v>7</v>
      </c>
      <c r="C651" t="s">
        <v>6</v>
      </c>
    </row>
    <row r="652" spans="1:3" x14ac:dyDescent="0.25">
      <c r="A652">
        <v>10784228</v>
      </c>
      <c r="B652" t="s">
        <v>12</v>
      </c>
    </row>
    <row r="653" spans="1:3" x14ac:dyDescent="0.25">
      <c r="A653">
        <v>11607959</v>
      </c>
      <c r="B653" t="s">
        <v>7</v>
      </c>
      <c r="C653" t="s">
        <v>6</v>
      </c>
    </row>
    <row r="654" spans="1:3" x14ac:dyDescent="0.25">
      <c r="A654">
        <v>11559552</v>
      </c>
      <c r="B654" t="s">
        <v>7</v>
      </c>
      <c r="C654" t="s">
        <v>6</v>
      </c>
    </row>
    <row r="655" spans="1:3" x14ac:dyDescent="0.25">
      <c r="A655">
        <v>11607907</v>
      </c>
      <c r="B655" t="s">
        <v>7</v>
      </c>
      <c r="C655" t="s">
        <v>6</v>
      </c>
    </row>
    <row r="656" spans="1:3" x14ac:dyDescent="0.25">
      <c r="A656">
        <v>10703869</v>
      </c>
      <c r="B656" t="s">
        <v>9</v>
      </c>
      <c r="C656" t="s">
        <v>8</v>
      </c>
    </row>
    <row r="657" spans="1:3" x14ac:dyDescent="0.25">
      <c r="A657">
        <v>11891250</v>
      </c>
      <c r="B657" t="s">
        <v>9</v>
      </c>
    </row>
    <row r="658" spans="1:3" x14ac:dyDescent="0.25">
      <c r="A658">
        <v>11407295</v>
      </c>
      <c r="B658" t="s">
        <v>7</v>
      </c>
    </row>
    <row r="659" spans="1:3" x14ac:dyDescent="0.25">
      <c r="A659">
        <v>11022861</v>
      </c>
      <c r="B659" t="s">
        <v>9</v>
      </c>
      <c r="C659" t="s">
        <v>8</v>
      </c>
    </row>
    <row r="660" spans="1:3" x14ac:dyDescent="0.25">
      <c r="A660">
        <v>11578188</v>
      </c>
      <c r="B660" t="s">
        <v>7</v>
      </c>
      <c r="C660" t="s">
        <v>6</v>
      </c>
    </row>
    <row r="661" spans="1:3" x14ac:dyDescent="0.25">
      <c r="A661">
        <v>11783911</v>
      </c>
      <c r="B661" t="s">
        <v>12</v>
      </c>
    </row>
    <row r="662" spans="1:3" x14ac:dyDescent="0.25">
      <c r="A662">
        <v>11857166</v>
      </c>
      <c r="B662" t="s">
        <v>9</v>
      </c>
      <c r="C662" t="s">
        <v>8</v>
      </c>
    </row>
    <row r="663" spans="1:3" x14ac:dyDescent="0.25">
      <c r="A663">
        <v>11026499</v>
      </c>
      <c r="B663" t="s">
        <v>12</v>
      </c>
    </row>
    <row r="664" spans="1:3" x14ac:dyDescent="0.25">
      <c r="A664">
        <v>10919744</v>
      </c>
      <c r="B664" t="s">
        <v>9</v>
      </c>
      <c r="C664" t="s">
        <v>8</v>
      </c>
    </row>
    <row r="665" spans="1:3" x14ac:dyDescent="0.25">
      <c r="A665">
        <v>11423882</v>
      </c>
      <c r="B665" t="s">
        <v>9</v>
      </c>
      <c r="C665" t="s">
        <v>8</v>
      </c>
    </row>
    <row r="666" spans="1:3" x14ac:dyDescent="0.25">
      <c r="A666">
        <v>11395337</v>
      </c>
      <c r="B666" t="s">
        <v>7</v>
      </c>
      <c r="C666" t="s">
        <v>6</v>
      </c>
    </row>
    <row r="667" spans="1:3" x14ac:dyDescent="0.25">
      <c r="A667">
        <v>10578004</v>
      </c>
      <c r="B667" t="s">
        <v>9</v>
      </c>
      <c r="C667" t="s">
        <v>8</v>
      </c>
    </row>
    <row r="668" spans="1:3" x14ac:dyDescent="0.25">
      <c r="A668">
        <v>11630545</v>
      </c>
      <c r="B668" t="s">
        <v>9</v>
      </c>
      <c r="C668" t="s">
        <v>8</v>
      </c>
    </row>
    <row r="669" spans="1:3" x14ac:dyDescent="0.25">
      <c r="A669">
        <v>11348409</v>
      </c>
      <c r="B669" t="s">
        <v>14</v>
      </c>
      <c r="C669" t="s">
        <v>13</v>
      </c>
    </row>
    <row r="670" spans="1:3" x14ac:dyDescent="0.25">
      <c r="A670">
        <v>10708462</v>
      </c>
      <c r="B670" t="s">
        <v>12</v>
      </c>
    </row>
    <row r="671" spans="1:3" x14ac:dyDescent="0.25">
      <c r="A671">
        <v>11606454</v>
      </c>
      <c r="B671" t="s">
        <v>7</v>
      </c>
      <c r="C671" t="s">
        <v>6</v>
      </c>
    </row>
    <row r="672" spans="1:3" x14ac:dyDescent="0.25">
      <c r="A672">
        <v>11543100</v>
      </c>
      <c r="B672" t="s">
        <v>7</v>
      </c>
      <c r="C672" t="s">
        <v>6</v>
      </c>
    </row>
    <row r="673" spans="1:3" x14ac:dyDescent="0.25">
      <c r="A673">
        <v>10876945</v>
      </c>
      <c r="B673" t="s">
        <v>9</v>
      </c>
      <c r="C673" t="s">
        <v>8</v>
      </c>
    </row>
    <row r="674" spans="1:3" x14ac:dyDescent="0.25">
      <c r="A674">
        <v>11562526</v>
      </c>
      <c r="B674" t="s">
        <v>7</v>
      </c>
      <c r="C674" t="s">
        <v>6</v>
      </c>
    </row>
    <row r="675" spans="1:3" x14ac:dyDescent="0.25">
      <c r="A675">
        <v>11552141</v>
      </c>
      <c r="B675" t="s">
        <v>7</v>
      </c>
      <c r="C675" t="s">
        <v>6</v>
      </c>
    </row>
    <row r="676" spans="1:3" x14ac:dyDescent="0.25">
      <c r="A676">
        <v>11645999</v>
      </c>
      <c r="B676" t="s">
        <v>12</v>
      </c>
    </row>
    <row r="677" spans="1:3" x14ac:dyDescent="0.25">
      <c r="A677">
        <v>10809501</v>
      </c>
      <c r="B677" t="s">
        <v>9</v>
      </c>
      <c r="C677" t="s">
        <v>8</v>
      </c>
    </row>
    <row r="678" spans="1:3" x14ac:dyDescent="0.25">
      <c r="A678">
        <v>11734676</v>
      </c>
      <c r="B678" t="s">
        <v>9</v>
      </c>
      <c r="C678" t="s">
        <v>8</v>
      </c>
    </row>
    <row r="679" spans="1:3" x14ac:dyDescent="0.25">
      <c r="A679">
        <v>11667217</v>
      </c>
      <c r="B679" t="s">
        <v>16</v>
      </c>
      <c r="C679" t="s">
        <v>15</v>
      </c>
    </row>
    <row r="680" spans="1:3" x14ac:dyDescent="0.25">
      <c r="A680">
        <v>11698452</v>
      </c>
      <c r="B680" t="s">
        <v>9</v>
      </c>
    </row>
    <row r="681" spans="1:3" x14ac:dyDescent="0.25">
      <c r="A681">
        <v>11104423</v>
      </c>
      <c r="B681" t="s">
        <v>12</v>
      </c>
    </row>
    <row r="682" spans="1:3" x14ac:dyDescent="0.25">
      <c r="A682">
        <v>11089774</v>
      </c>
      <c r="B682" t="s">
        <v>12</v>
      </c>
    </row>
    <row r="683" spans="1:3" x14ac:dyDescent="0.25">
      <c r="A683">
        <v>11772727</v>
      </c>
      <c r="B683" t="s">
        <v>12</v>
      </c>
    </row>
    <row r="684" spans="1:3" x14ac:dyDescent="0.25">
      <c r="A684">
        <v>11556630</v>
      </c>
      <c r="B684" t="s">
        <v>12</v>
      </c>
    </row>
    <row r="685" spans="1:3" x14ac:dyDescent="0.25">
      <c r="A685">
        <v>11630006</v>
      </c>
      <c r="B685" t="s">
        <v>12</v>
      </c>
    </row>
    <row r="686" spans="1:3" x14ac:dyDescent="0.25">
      <c r="A686">
        <v>11562403</v>
      </c>
      <c r="B686" t="s">
        <v>7</v>
      </c>
      <c r="C686" t="s">
        <v>6</v>
      </c>
    </row>
    <row r="687" spans="1:3" x14ac:dyDescent="0.25">
      <c r="A687">
        <v>11621115</v>
      </c>
      <c r="B687" t="s">
        <v>20</v>
      </c>
      <c r="C687" t="s">
        <v>19</v>
      </c>
    </row>
    <row r="688" spans="1:3" x14ac:dyDescent="0.25">
      <c r="A688">
        <v>11382055</v>
      </c>
      <c r="B688" t="s">
        <v>7</v>
      </c>
      <c r="C688" t="s">
        <v>6</v>
      </c>
    </row>
    <row r="689" spans="1:3" x14ac:dyDescent="0.25">
      <c r="A689">
        <v>11664768</v>
      </c>
      <c r="B689" t="s">
        <v>9</v>
      </c>
      <c r="C689" t="s">
        <v>8</v>
      </c>
    </row>
    <row r="690" spans="1:3" x14ac:dyDescent="0.25">
      <c r="A690">
        <v>11948685</v>
      </c>
      <c r="B690" t="s">
        <v>9</v>
      </c>
      <c r="C690" t="s">
        <v>8</v>
      </c>
    </row>
    <row r="691" spans="1:3" x14ac:dyDescent="0.25">
      <c r="A691">
        <v>10937639</v>
      </c>
      <c r="B691" t="s">
        <v>12</v>
      </c>
    </row>
    <row r="692" spans="1:3" x14ac:dyDescent="0.25">
      <c r="A692">
        <v>10931004</v>
      </c>
      <c r="B692" t="s">
        <v>9</v>
      </c>
      <c r="C692" t="s">
        <v>8</v>
      </c>
    </row>
    <row r="693" spans="1:3" x14ac:dyDescent="0.25">
      <c r="A693">
        <v>10838230</v>
      </c>
      <c r="B693" t="s">
        <v>16</v>
      </c>
      <c r="C693" t="s">
        <v>15</v>
      </c>
    </row>
    <row r="694" spans="1:3" x14ac:dyDescent="0.25">
      <c r="A694">
        <v>11710571</v>
      </c>
      <c r="B694" t="s">
        <v>9</v>
      </c>
      <c r="C694" t="s">
        <v>8</v>
      </c>
    </row>
    <row r="695" spans="1:3" x14ac:dyDescent="0.25">
      <c r="A695">
        <v>11403261</v>
      </c>
      <c r="B695" t="s">
        <v>9</v>
      </c>
      <c r="C695" t="s">
        <v>8</v>
      </c>
    </row>
    <row r="696" spans="1:3" x14ac:dyDescent="0.25">
      <c r="A696">
        <v>11027262</v>
      </c>
      <c r="B696" t="s">
        <v>12</v>
      </c>
    </row>
    <row r="697" spans="1:3" x14ac:dyDescent="0.25">
      <c r="A697">
        <v>11812580</v>
      </c>
      <c r="B697" t="s">
        <v>12</v>
      </c>
      <c r="C697" t="s">
        <v>12</v>
      </c>
    </row>
    <row r="698" spans="1:3" x14ac:dyDescent="0.25">
      <c r="A698">
        <v>11670357</v>
      </c>
      <c r="B698" t="s">
        <v>12</v>
      </c>
    </row>
    <row r="699" spans="1:3" x14ac:dyDescent="0.25">
      <c r="A699">
        <v>11456770</v>
      </c>
      <c r="B699" t="s">
        <v>12</v>
      </c>
    </row>
    <row r="700" spans="1:3" x14ac:dyDescent="0.25">
      <c r="A700">
        <v>11383213</v>
      </c>
      <c r="B700" t="s">
        <v>12</v>
      </c>
    </row>
    <row r="701" spans="1:3" x14ac:dyDescent="0.25">
      <c r="A701">
        <v>11593583</v>
      </c>
      <c r="B701" t="s">
        <v>7</v>
      </c>
      <c r="C701" t="s">
        <v>6</v>
      </c>
    </row>
    <row r="702" spans="1:3" x14ac:dyDescent="0.25">
      <c r="A702">
        <v>10700664</v>
      </c>
      <c r="B702" t="s">
        <v>9</v>
      </c>
      <c r="C702" t="s">
        <v>8</v>
      </c>
    </row>
    <row r="703" spans="1:3" x14ac:dyDescent="0.25">
      <c r="A703">
        <v>10835291</v>
      </c>
      <c r="B703" t="s">
        <v>9</v>
      </c>
      <c r="C703" t="s">
        <v>8</v>
      </c>
    </row>
    <row r="704" spans="1:3" x14ac:dyDescent="0.25">
      <c r="A704">
        <v>10849171</v>
      </c>
      <c r="B704" t="s">
        <v>9</v>
      </c>
      <c r="C704" t="s">
        <v>8</v>
      </c>
    </row>
    <row r="705" spans="1:3" x14ac:dyDescent="0.25">
      <c r="A705">
        <v>11310938</v>
      </c>
      <c r="B705" t="s">
        <v>12</v>
      </c>
    </row>
    <row r="706" spans="1:3" x14ac:dyDescent="0.25">
      <c r="A706">
        <v>10931540</v>
      </c>
      <c r="B706" t="s">
        <v>12</v>
      </c>
    </row>
    <row r="707" spans="1:3" x14ac:dyDescent="0.25">
      <c r="A707">
        <v>10940586</v>
      </c>
      <c r="B707" t="s">
        <v>12</v>
      </c>
    </row>
    <row r="708" spans="1:3" x14ac:dyDescent="0.25">
      <c r="A708">
        <v>10848765</v>
      </c>
      <c r="B708" t="s">
        <v>9</v>
      </c>
      <c r="C708" t="s">
        <v>8</v>
      </c>
    </row>
    <row r="709" spans="1:3" x14ac:dyDescent="0.25">
      <c r="A709">
        <v>11942913</v>
      </c>
      <c r="B709" t="s">
        <v>14</v>
      </c>
      <c r="C709" t="s">
        <v>13</v>
      </c>
    </row>
    <row r="710" spans="1:3" x14ac:dyDescent="0.25">
      <c r="A710">
        <v>11708412</v>
      </c>
      <c r="B710" t="s">
        <v>9</v>
      </c>
      <c r="C710" t="s">
        <v>8</v>
      </c>
    </row>
    <row r="711" spans="1:3" x14ac:dyDescent="0.25">
      <c r="A711">
        <v>11407359</v>
      </c>
      <c r="B711" t="s">
        <v>7</v>
      </c>
      <c r="C711" t="s">
        <v>6</v>
      </c>
    </row>
    <row r="712" spans="1:3" x14ac:dyDescent="0.25">
      <c r="A712">
        <v>10889329</v>
      </c>
      <c r="B712" t="s">
        <v>12</v>
      </c>
    </row>
    <row r="713" spans="1:3" x14ac:dyDescent="0.25">
      <c r="A713">
        <v>11725316</v>
      </c>
      <c r="B713" t="s">
        <v>16</v>
      </c>
      <c r="C713" t="s">
        <v>15</v>
      </c>
    </row>
    <row r="714" spans="1:3" x14ac:dyDescent="0.25">
      <c r="A714">
        <v>11543633</v>
      </c>
      <c r="B714" t="s">
        <v>7</v>
      </c>
      <c r="C714" t="s">
        <v>6</v>
      </c>
    </row>
    <row r="715" spans="1:3" x14ac:dyDescent="0.25">
      <c r="A715">
        <v>11405918</v>
      </c>
      <c r="B715" t="s">
        <v>7</v>
      </c>
      <c r="C715" t="s">
        <v>6</v>
      </c>
    </row>
    <row r="716" spans="1:3" x14ac:dyDescent="0.25">
      <c r="A716">
        <v>10957865</v>
      </c>
      <c r="B716" t="s">
        <v>12</v>
      </c>
    </row>
    <row r="717" spans="1:3" x14ac:dyDescent="0.25">
      <c r="A717">
        <v>11543871</v>
      </c>
      <c r="B717" t="s">
        <v>7</v>
      </c>
      <c r="C717" t="s">
        <v>6</v>
      </c>
    </row>
    <row r="718" spans="1:3" x14ac:dyDescent="0.25">
      <c r="A718">
        <v>11427456</v>
      </c>
      <c r="B718" t="s">
        <v>9</v>
      </c>
      <c r="C718" t="s">
        <v>8</v>
      </c>
    </row>
    <row r="719" spans="1:3" x14ac:dyDescent="0.25">
      <c r="A719">
        <v>11300428</v>
      </c>
      <c r="B719" t="s">
        <v>9</v>
      </c>
      <c r="C719" t="s">
        <v>8</v>
      </c>
    </row>
    <row r="720" spans="1:3" x14ac:dyDescent="0.25">
      <c r="A720">
        <v>11870485</v>
      </c>
      <c r="B720" t="s">
        <v>12</v>
      </c>
    </row>
    <row r="721" spans="1:3" x14ac:dyDescent="0.25">
      <c r="A721">
        <v>11828805</v>
      </c>
      <c r="B721" t="s">
        <v>9</v>
      </c>
      <c r="C721" t="s">
        <v>8</v>
      </c>
    </row>
    <row r="722" spans="1:3" x14ac:dyDescent="0.25">
      <c r="A722">
        <v>11116799</v>
      </c>
      <c r="B722" t="s">
        <v>12</v>
      </c>
    </row>
    <row r="723" spans="1:3" x14ac:dyDescent="0.25">
      <c r="A723">
        <v>11593129</v>
      </c>
      <c r="B723" t="s">
        <v>7</v>
      </c>
      <c r="C723" t="s">
        <v>6</v>
      </c>
    </row>
    <row r="724" spans="1:3" x14ac:dyDescent="0.25">
      <c r="A724">
        <v>11483746</v>
      </c>
      <c r="B724" t="s">
        <v>9</v>
      </c>
      <c r="C724" t="s">
        <v>8</v>
      </c>
    </row>
    <row r="725" spans="1:3" x14ac:dyDescent="0.25">
      <c r="A725">
        <v>11037020</v>
      </c>
      <c r="B725" t="s">
        <v>9</v>
      </c>
      <c r="C725" t="s">
        <v>8</v>
      </c>
    </row>
    <row r="726" spans="1:3" x14ac:dyDescent="0.25">
      <c r="A726">
        <v>11300155</v>
      </c>
      <c r="B726" t="s">
        <v>12</v>
      </c>
    </row>
    <row r="727" spans="1:3" x14ac:dyDescent="0.25">
      <c r="A727">
        <v>10817894</v>
      </c>
      <c r="B727" t="s">
        <v>9</v>
      </c>
      <c r="C727" t="s">
        <v>8</v>
      </c>
    </row>
    <row r="728" spans="1:3" x14ac:dyDescent="0.25">
      <c r="A728">
        <v>11282287</v>
      </c>
      <c r="B728" t="s">
        <v>12</v>
      </c>
    </row>
    <row r="729" spans="1:3" x14ac:dyDescent="0.25">
      <c r="A729">
        <v>10964370</v>
      </c>
      <c r="B729" t="s">
        <v>12</v>
      </c>
    </row>
    <row r="730" spans="1:3" x14ac:dyDescent="0.25">
      <c r="A730">
        <v>11396005</v>
      </c>
      <c r="B730" t="s">
        <v>7</v>
      </c>
      <c r="C730" t="s">
        <v>6</v>
      </c>
    </row>
    <row r="731" spans="1:3" x14ac:dyDescent="0.25">
      <c r="A731">
        <v>11397580</v>
      </c>
      <c r="B731" t="s">
        <v>7</v>
      </c>
      <c r="C731" t="s">
        <v>6</v>
      </c>
    </row>
    <row r="732" spans="1:3" x14ac:dyDescent="0.25">
      <c r="A732">
        <v>11916493</v>
      </c>
      <c r="B732" t="s">
        <v>12</v>
      </c>
    </row>
    <row r="733" spans="1:3" x14ac:dyDescent="0.25">
      <c r="A733">
        <v>10619822</v>
      </c>
      <c r="B733" t="s">
        <v>9</v>
      </c>
      <c r="C733" t="s">
        <v>8</v>
      </c>
    </row>
    <row r="734" spans="1:3" x14ac:dyDescent="0.25">
      <c r="A734">
        <v>10877427</v>
      </c>
      <c r="B734" t="s">
        <v>12</v>
      </c>
    </row>
    <row r="735" spans="1:3" x14ac:dyDescent="0.25">
      <c r="A735">
        <v>11262017</v>
      </c>
      <c r="B735" t="s">
        <v>11</v>
      </c>
      <c r="C735" t="s">
        <v>10</v>
      </c>
    </row>
    <row r="736" spans="1:3" x14ac:dyDescent="0.25">
      <c r="A736">
        <v>11546153</v>
      </c>
      <c r="B736" t="s">
        <v>12</v>
      </c>
    </row>
    <row r="737" spans="1:3" x14ac:dyDescent="0.25">
      <c r="A737">
        <v>11890620</v>
      </c>
      <c r="B737" t="s">
        <v>9</v>
      </c>
    </row>
    <row r="738" spans="1:3" x14ac:dyDescent="0.25">
      <c r="A738">
        <v>11965527</v>
      </c>
      <c r="B738" t="s">
        <v>9</v>
      </c>
    </row>
    <row r="739" spans="1:3" x14ac:dyDescent="0.25">
      <c r="A739">
        <v>11242878</v>
      </c>
      <c r="B739" t="s">
        <v>16</v>
      </c>
      <c r="C739" t="s">
        <v>15</v>
      </c>
    </row>
    <row r="740" spans="1:3" x14ac:dyDescent="0.25">
      <c r="A740">
        <v>11725616</v>
      </c>
      <c r="B740" t="s">
        <v>16</v>
      </c>
      <c r="C740" t="s">
        <v>15</v>
      </c>
    </row>
    <row r="741" spans="1:3" x14ac:dyDescent="0.25">
      <c r="A741">
        <v>11858224</v>
      </c>
      <c r="B741" t="s">
        <v>9</v>
      </c>
      <c r="C741" t="s">
        <v>8</v>
      </c>
    </row>
    <row r="742" spans="1:3" x14ac:dyDescent="0.25">
      <c r="A742">
        <v>10612933</v>
      </c>
      <c r="B742" t="s">
        <v>12</v>
      </c>
    </row>
    <row r="743" spans="1:3" x14ac:dyDescent="0.25">
      <c r="A743">
        <v>11790438</v>
      </c>
      <c r="B743" t="s">
        <v>9</v>
      </c>
      <c r="C743" t="s">
        <v>8</v>
      </c>
    </row>
    <row r="744" spans="1:3" x14ac:dyDescent="0.25">
      <c r="A744">
        <v>11394935</v>
      </c>
      <c r="B744" t="s">
        <v>12</v>
      </c>
    </row>
    <row r="745" spans="1:3" x14ac:dyDescent="0.25">
      <c r="A745">
        <v>11981766</v>
      </c>
      <c r="B745" t="s">
        <v>9</v>
      </c>
      <c r="C745" t="s">
        <v>8</v>
      </c>
    </row>
    <row r="746" spans="1:3" x14ac:dyDescent="0.25">
      <c r="A746">
        <v>11592970</v>
      </c>
      <c r="B746" t="s">
        <v>9</v>
      </c>
      <c r="C746" t="s">
        <v>8</v>
      </c>
    </row>
    <row r="747" spans="1:3" x14ac:dyDescent="0.25">
      <c r="A747">
        <v>11124836</v>
      </c>
      <c r="B747" t="s">
        <v>12</v>
      </c>
    </row>
    <row r="748" spans="1:3" x14ac:dyDescent="0.25">
      <c r="A748">
        <v>10849481</v>
      </c>
      <c r="B748" t="s">
        <v>12</v>
      </c>
    </row>
    <row r="749" spans="1:3" x14ac:dyDescent="0.25">
      <c r="A749">
        <v>11667512</v>
      </c>
      <c r="B749" t="s">
        <v>9</v>
      </c>
      <c r="C749" t="s">
        <v>8</v>
      </c>
    </row>
    <row r="750" spans="1:3" x14ac:dyDescent="0.25">
      <c r="A750">
        <v>10596772</v>
      </c>
      <c r="B750" t="s">
        <v>12</v>
      </c>
    </row>
    <row r="751" spans="1:3" x14ac:dyDescent="0.25">
      <c r="A751">
        <v>11001963</v>
      </c>
      <c r="B751" t="s">
        <v>9</v>
      </c>
      <c r="C751" t="s">
        <v>8</v>
      </c>
    </row>
    <row r="752" spans="1:3" x14ac:dyDescent="0.25">
      <c r="A752">
        <v>11738374</v>
      </c>
      <c r="B752" t="s">
        <v>9</v>
      </c>
      <c r="C752" t="s">
        <v>8</v>
      </c>
    </row>
    <row r="753" spans="1:3" x14ac:dyDescent="0.25">
      <c r="A753">
        <v>10633197</v>
      </c>
      <c r="B753" t="s">
        <v>9</v>
      </c>
      <c r="C753" t="s">
        <v>8</v>
      </c>
    </row>
    <row r="754" spans="1:3" x14ac:dyDescent="0.25">
      <c r="A754">
        <v>11918945</v>
      </c>
      <c r="B754" t="s">
        <v>9</v>
      </c>
      <c r="C754" t="s">
        <v>8</v>
      </c>
    </row>
    <row r="755" spans="1:3" x14ac:dyDescent="0.25">
      <c r="A755">
        <v>11936527</v>
      </c>
      <c r="B755" t="s">
        <v>12</v>
      </c>
    </row>
    <row r="756" spans="1:3" x14ac:dyDescent="0.25">
      <c r="A756">
        <v>11327939</v>
      </c>
      <c r="B756" t="s">
        <v>9</v>
      </c>
      <c r="C756" t="s">
        <v>8</v>
      </c>
    </row>
    <row r="757" spans="1:3" x14ac:dyDescent="0.25">
      <c r="A757">
        <v>11737167</v>
      </c>
      <c r="B757" t="s">
        <v>18</v>
      </c>
      <c r="C757" t="s">
        <v>17</v>
      </c>
    </row>
    <row r="758" spans="1:3" x14ac:dyDescent="0.25">
      <c r="A758">
        <v>11632926</v>
      </c>
      <c r="B758" t="s">
        <v>7</v>
      </c>
      <c r="C758" t="s">
        <v>6</v>
      </c>
    </row>
    <row r="759" spans="1:3" x14ac:dyDescent="0.25">
      <c r="A759">
        <v>11941801</v>
      </c>
      <c r="B759" t="s">
        <v>12</v>
      </c>
    </row>
    <row r="760" spans="1:3" x14ac:dyDescent="0.25">
      <c r="A760">
        <v>11215699</v>
      </c>
      <c r="B760" t="s">
        <v>11</v>
      </c>
      <c r="C760" t="s">
        <v>10</v>
      </c>
    </row>
    <row r="761" spans="1:3" x14ac:dyDescent="0.25">
      <c r="A761">
        <v>10816822</v>
      </c>
      <c r="B761" t="s">
        <v>12</v>
      </c>
    </row>
    <row r="762" spans="1:3" x14ac:dyDescent="0.25">
      <c r="A762">
        <v>10821010</v>
      </c>
      <c r="B762" t="s">
        <v>12</v>
      </c>
    </row>
    <row r="763" spans="1:3" x14ac:dyDescent="0.25">
      <c r="A763">
        <v>11037348</v>
      </c>
      <c r="B763" t="s">
        <v>9</v>
      </c>
      <c r="C763" t="s">
        <v>8</v>
      </c>
    </row>
    <row r="764" spans="1:3" x14ac:dyDescent="0.25">
      <c r="A764">
        <v>10823699</v>
      </c>
      <c r="B764" t="s">
        <v>9</v>
      </c>
      <c r="C764" t="s">
        <v>8</v>
      </c>
    </row>
    <row r="765" spans="1:3" x14ac:dyDescent="0.25">
      <c r="A765">
        <v>10852630</v>
      </c>
      <c r="B765" t="s">
        <v>9</v>
      </c>
      <c r="C765" t="s">
        <v>8</v>
      </c>
    </row>
    <row r="766" spans="1:3" x14ac:dyDescent="0.25">
      <c r="A766">
        <v>10973177</v>
      </c>
      <c r="B766" t="s">
        <v>23</v>
      </c>
      <c r="C766" t="s">
        <v>25</v>
      </c>
    </row>
    <row r="767" spans="1:3" x14ac:dyDescent="0.25">
      <c r="A767">
        <v>10638310</v>
      </c>
      <c r="B767" t="s">
        <v>12</v>
      </c>
    </row>
    <row r="768" spans="1:3" x14ac:dyDescent="0.25">
      <c r="A768">
        <v>11087312</v>
      </c>
      <c r="B768" t="s">
        <v>12</v>
      </c>
    </row>
    <row r="769" spans="1:3" x14ac:dyDescent="0.25">
      <c r="A769">
        <v>11307145</v>
      </c>
      <c r="B769" t="s">
        <v>12</v>
      </c>
    </row>
    <row r="770" spans="1:3" x14ac:dyDescent="0.25">
      <c r="A770">
        <v>11831700</v>
      </c>
      <c r="B770" t="s">
        <v>9</v>
      </c>
      <c r="C770" t="s">
        <v>8</v>
      </c>
    </row>
    <row r="771" spans="1:3" x14ac:dyDescent="0.25">
      <c r="A771">
        <v>11983924</v>
      </c>
      <c r="B771" t="s">
        <v>16</v>
      </c>
      <c r="C771" t="s">
        <v>15</v>
      </c>
    </row>
    <row r="772" spans="1:3" x14ac:dyDescent="0.25">
      <c r="A772">
        <v>11560028</v>
      </c>
      <c r="B772" t="s">
        <v>7</v>
      </c>
      <c r="C772" t="s">
        <v>6</v>
      </c>
    </row>
    <row r="773" spans="1:3" x14ac:dyDescent="0.25">
      <c r="A773">
        <v>11676977</v>
      </c>
      <c r="B773" t="s">
        <v>9</v>
      </c>
    </row>
    <row r="774" spans="1:3" x14ac:dyDescent="0.25">
      <c r="A774">
        <v>11425569</v>
      </c>
      <c r="B774" t="s">
        <v>28</v>
      </c>
      <c r="C774" t="s">
        <v>27</v>
      </c>
    </row>
    <row r="775" spans="1:3" x14ac:dyDescent="0.25">
      <c r="A775">
        <v>11719955</v>
      </c>
      <c r="B775" t="s">
        <v>18</v>
      </c>
      <c r="C775" t="s">
        <v>24</v>
      </c>
    </row>
    <row r="776" spans="1:3" x14ac:dyDescent="0.25">
      <c r="A776">
        <v>11424802</v>
      </c>
      <c r="B776" t="s">
        <v>9</v>
      </c>
      <c r="C776" t="s">
        <v>8</v>
      </c>
    </row>
    <row r="777" spans="1:3" x14ac:dyDescent="0.25">
      <c r="A777">
        <v>11340180</v>
      </c>
      <c r="B777" t="s">
        <v>7</v>
      </c>
      <c r="C777" t="s">
        <v>6</v>
      </c>
    </row>
    <row r="778" spans="1:3" x14ac:dyDescent="0.25">
      <c r="A778">
        <v>11562993</v>
      </c>
      <c r="B778" t="s">
        <v>7</v>
      </c>
      <c r="C778" t="s">
        <v>6</v>
      </c>
    </row>
    <row r="779" spans="1:3" x14ac:dyDescent="0.25">
      <c r="A779">
        <v>11557518</v>
      </c>
      <c r="B779" t="s">
        <v>7</v>
      </c>
      <c r="C779" t="s">
        <v>6</v>
      </c>
    </row>
    <row r="780" spans="1:3" x14ac:dyDescent="0.25">
      <c r="A780">
        <v>10624287</v>
      </c>
      <c r="B780" t="s">
        <v>9</v>
      </c>
      <c r="C780" t="s">
        <v>8</v>
      </c>
    </row>
    <row r="781" spans="1:3" x14ac:dyDescent="0.25">
      <c r="A781">
        <v>10630515</v>
      </c>
      <c r="B781" t="s">
        <v>9</v>
      </c>
      <c r="C781" t="s">
        <v>8</v>
      </c>
    </row>
    <row r="782" spans="1:3" x14ac:dyDescent="0.25">
      <c r="A782">
        <v>10977553</v>
      </c>
      <c r="B782" t="s">
        <v>9</v>
      </c>
      <c r="C782" t="s">
        <v>8</v>
      </c>
    </row>
    <row r="783" spans="1:3" x14ac:dyDescent="0.25">
      <c r="A783">
        <v>11996368</v>
      </c>
      <c r="B783" t="s">
        <v>9</v>
      </c>
      <c r="C783" t="s">
        <v>8</v>
      </c>
    </row>
    <row r="784" spans="1:3" x14ac:dyDescent="0.25">
      <c r="A784">
        <v>11703261</v>
      </c>
      <c r="B784" t="s">
        <v>9</v>
      </c>
      <c r="C784" t="s">
        <v>8</v>
      </c>
    </row>
    <row r="785" spans="1:3" x14ac:dyDescent="0.25">
      <c r="A785">
        <v>10757007</v>
      </c>
      <c r="B785" t="s">
        <v>9</v>
      </c>
      <c r="C785" t="s">
        <v>8</v>
      </c>
    </row>
    <row r="786" spans="1:3" x14ac:dyDescent="0.25">
      <c r="A786">
        <v>11419493</v>
      </c>
      <c r="B786" t="s">
        <v>20</v>
      </c>
      <c r="C786" t="s">
        <v>19</v>
      </c>
    </row>
    <row r="787" spans="1:3" x14ac:dyDescent="0.25">
      <c r="A787">
        <v>11426562</v>
      </c>
      <c r="B787" t="s">
        <v>20</v>
      </c>
      <c r="C787" t="s">
        <v>19</v>
      </c>
    </row>
    <row r="788" spans="1:3" x14ac:dyDescent="0.25">
      <c r="A788">
        <v>11445400</v>
      </c>
      <c r="B788" t="s">
        <v>20</v>
      </c>
      <c r="C788" t="s">
        <v>19</v>
      </c>
    </row>
    <row r="789" spans="1:3" x14ac:dyDescent="0.25">
      <c r="A789">
        <v>11602153</v>
      </c>
      <c r="B789" t="s">
        <v>20</v>
      </c>
      <c r="C789" t="s">
        <v>19</v>
      </c>
    </row>
    <row r="790" spans="1:3" x14ac:dyDescent="0.25">
      <c r="A790">
        <v>11557701</v>
      </c>
      <c r="B790" t="s">
        <v>20</v>
      </c>
      <c r="C790" t="s">
        <v>19</v>
      </c>
    </row>
    <row r="791" spans="1:3" x14ac:dyDescent="0.25">
      <c r="A791">
        <v>11283789</v>
      </c>
      <c r="B791" t="s">
        <v>20</v>
      </c>
      <c r="C791" t="s">
        <v>19</v>
      </c>
    </row>
    <row r="792" spans="1:3" x14ac:dyDescent="0.25">
      <c r="A792">
        <v>11488783</v>
      </c>
      <c r="B792" t="s">
        <v>18</v>
      </c>
      <c r="C792" t="s">
        <v>17</v>
      </c>
    </row>
    <row r="793" spans="1:3" x14ac:dyDescent="0.25">
      <c r="A793">
        <v>11698506</v>
      </c>
      <c r="B793" t="s">
        <v>18</v>
      </c>
      <c r="C793" t="s">
        <v>24</v>
      </c>
    </row>
    <row r="794" spans="1:3" x14ac:dyDescent="0.25">
      <c r="A794">
        <v>11709366</v>
      </c>
      <c r="B794" t="s">
        <v>18</v>
      </c>
      <c r="C794" t="s">
        <v>17</v>
      </c>
    </row>
    <row r="795" spans="1:3" x14ac:dyDescent="0.25">
      <c r="A795">
        <v>11212439</v>
      </c>
      <c r="B795" t="s">
        <v>16</v>
      </c>
      <c r="C795" t="s">
        <v>15</v>
      </c>
    </row>
    <row r="796" spans="1:3" x14ac:dyDescent="0.25">
      <c r="A796">
        <v>11642661</v>
      </c>
      <c r="B796" t="s">
        <v>16</v>
      </c>
      <c r="C796" t="s">
        <v>15</v>
      </c>
    </row>
    <row r="797" spans="1:3" x14ac:dyDescent="0.25">
      <c r="A797">
        <v>11743421</v>
      </c>
      <c r="B797" t="s">
        <v>16</v>
      </c>
      <c r="C797" t="s">
        <v>15</v>
      </c>
    </row>
    <row r="798" spans="1:3" x14ac:dyDescent="0.25">
      <c r="A798">
        <v>11482056</v>
      </c>
      <c r="B798" t="s">
        <v>9</v>
      </c>
      <c r="C798" t="s">
        <v>8</v>
      </c>
    </row>
    <row r="799" spans="1:3" x14ac:dyDescent="0.25">
      <c r="A799">
        <v>11561488</v>
      </c>
      <c r="B799" t="s">
        <v>7</v>
      </c>
      <c r="C799" t="s">
        <v>6</v>
      </c>
    </row>
    <row r="800" spans="1:3" x14ac:dyDescent="0.25">
      <c r="A800">
        <v>11559549</v>
      </c>
      <c r="B800" t="s">
        <v>7</v>
      </c>
      <c r="C800" t="s">
        <v>6</v>
      </c>
    </row>
    <row r="801" spans="1:3" x14ac:dyDescent="0.25">
      <c r="A801">
        <v>11557319</v>
      </c>
      <c r="B801" t="s">
        <v>7</v>
      </c>
      <c r="C801" t="s">
        <v>6</v>
      </c>
    </row>
    <row r="802" spans="1:3" x14ac:dyDescent="0.25">
      <c r="A802">
        <v>11557408</v>
      </c>
      <c r="B802" t="s">
        <v>7</v>
      </c>
      <c r="C802" t="s">
        <v>6</v>
      </c>
    </row>
    <row r="803" spans="1:3" x14ac:dyDescent="0.25">
      <c r="A803">
        <v>11865530</v>
      </c>
      <c r="B803" t="s">
        <v>23</v>
      </c>
    </row>
    <row r="804" spans="1:3" x14ac:dyDescent="0.25">
      <c r="A804">
        <v>11114472</v>
      </c>
      <c r="B804" t="s">
        <v>11</v>
      </c>
      <c r="C804" t="s">
        <v>10</v>
      </c>
    </row>
    <row r="805" spans="1:3" x14ac:dyDescent="0.25">
      <c r="A805">
        <v>11469928</v>
      </c>
      <c r="B805" t="s">
        <v>11</v>
      </c>
      <c r="C805" t="s">
        <v>10</v>
      </c>
    </row>
    <row r="806" spans="1:3" x14ac:dyDescent="0.25">
      <c r="A806">
        <v>10957709</v>
      </c>
      <c r="B806" t="s">
        <v>11</v>
      </c>
      <c r="C806" t="s">
        <v>10</v>
      </c>
    </row>
    <row r="807" spans="1:3" x14ac:dyDescent="0.25">
      <c r="A807">
        <v>11387888</v>
      </c>
      <c r="B807" t="s">
        <v>7</v>
      </c>
      <c r="C807" t="s">
        <v>6</v>
      </c>
    </row>
    <row r="808" spans="1:3" x14ac:dyDescent="0.25">
      <c r="A808">
        <v>11381518</v>
      </c>
      <c r="B808" t="s">
        <v>7</v>
      </c>
      <c r="C808" t="s">
        <v>6</v>
      </c>
    </row>
    <row r="809" spans="1:3" x14ac:dyDescent="0.25">
      <c r="A809">
        <v>11787596</v>
      </c>
      <c r="B809" t="s">
        <v>9</v>
      </c>
      <c r="C809" t="s">
        <v>8</v>
      </c>
    </row>
    <row r="810" spans="1:3" x14ac:dyDescent="0.25">
      <c r="A810">
        <v>11725595</v>
      </c>
      <c r="B810" t="s">
        <v>9</v>
      </c>
      <c r="C810" t="s">
        <v>8</v>
      </c>
    </row>
    <row r="811" spans="1:3" x14ac:dyDescent="0.25">
      <c r="A811">
        <v>11881003</v>
      </c>
      <c r="B811" t="s">
        <v>9</v>
      </c>
      <c r="C811" t="s">
        <v>8</v>
      </c>
    </row>
    <row r="812" spans="1:3" x14ac:dyDescent="0.25">
      <c r="A812">
        <v>11707025</v>
      </c>
      <c r="B812" t="s">
        <v>9</v>
      </c>
      <c r="C812" t="s">
        <v>8</v>
      </c>
    </row>
    <row r="813" spans="1:3" x14ac:dyDescent="0.25">
      <c r="A813">
        <v>11404639</v>
      </c>
      <c r="B813" t="s">
        <v>7</v>
      </c>
      <c r="C813" t="s">
        <v>6</v>
      </c>
    </row>
    <row r="814" spans="1:3" x14ac:dyDescent="0.25">
      <c r="A814">
        <v>11387718</v>
      </c>
      <c r="B814" t="s">
        <v>7</v>
      </c>
      <c r="C814" t="s">
        <v>6</v>
      </c>
    </row>
    <row r="815" spans="1:3" x14ac:dyDescent="0.25">
      <c r="A815">
        <v>11357327</v>
      </c>
      <c r="B815" t="s">
        <v>7</v>
      </c>
      <c r="C815" t="s">
        <v>6</v>
      </c>
    </row>
    <row r="816" spans="1:3" x14ac:dyDescent="0.25">
      <c r="A816">
        <v>11348504</v>
      </c>
      <c r="B816" t="s">
        <v>7</v>
      </c>
      <c r="C816" t="s">
        <v>6</v>
      </c>
    </row>
    <row r="817" spans="1:3" x14ac:dyDescent="0.25">
      <c r="A817">
        <v>11406856</v>
      </c>
      <c r="B817" t="s">
        <v>7</v>
      </c>
      <c r="C817" t="s">
        <v>6</v>
      </c>
    </row>
    <row r="818" spans="1:3" x14ac:dyDescent="0.25">
      <c r="A818">
        <v>11406089</v>
      </c>
      <c r="B818" t="s">
        <v>7</v>
      </c>
      <c r="C818" t="s">
        <v>6</v>
      </c>
    </row>
    <row r="819" spans="1:3" x14ac:dyDescent="0.25">
      <c r="A819">
        <v>11697953</v>
      </c>
      <c r="B819" t="s">
        <v>9</v>
      </c>
    </row>
    <row r="820" spans="1:3" x14ac:dyDescent="0.25">
      <c r="A820">
        <v>11267627</v>
      </c>
      <c r="B820" t="s">
        <v>9</v>
      </c>
      <c r="C820" t="s">
        <v>8</v>
      </c>
    </row>
    <row r="821" spans="1:3" x14ac:dyDescent="0.25">
      <c r="A821">
        <v>11299805</v>
      </c>
      <c r="B821" t="s">
        <v>9</v>
      </c>
      <c r="C821" t="s">
        <v>8</v>
      </c>
    </row>
    <row r="822" spans="1:3" x14ac:dyDescent="0.25">
      <c r="A822">
        <v>11290394</v>
      </c>
      <c r="B822" t="s">
        <v>9</v>
      </c>
      <c r="C822" t="s">
        <v>8</v>
      </c>
    </row>
    <row r="823" spans="1:3" x14ac:dyDescent="0.25">
      <c r="A823">
        <v>11659177</v>
      </c>
      <c r="B823" t="s">
        <v>9</v>
      </c>
      <c r="C823" t="s">
        <v>8</v>
      </c>
    </row>
    <row r="824" spans="1:3" x14ac:dyDescent="0.25">
      <c r="A824">
        <v>11595858</v>
      </c>
      <c r="B824" t="s">
        <v>9</v>
      </c>
      <c r="C824" t="s">
        <v>8</v>
      </c>
    </row>
    <row r="825" spans="1:3" x14ac:dyDescent="0.25">
      <c r="A825">
        <v>11939374</v>
      </c>
      <c r="B825" t="s">
        <v>9</v>
      </c>
      <c r="C825" t="s">
        <v>8</v>
      </c>
    </row>
    <row r="826" spans="1:3" x14ac:dyDescent="0.25">
      <c r="A826">
        <v>11890180</v>
      </c>
      <c r="B826" t="s">
        <v>9</v>
      </c>
      <c r="C826" t="s">
        <v>8</v>
      </c>
    </row>
    <row r="827" spans="1:3" x14ac:dyDescent="0.25">
      <c r="A827">
        <v>11933244</v>
      </c>
      <c r="B827" t="s">
        <v>9</v>
      </c>
      <c r="C827" t="s">
        <v>8</v>
      </c>
    </row>
    <row r="828" spans="1:3" x14ac:dyDescent="0.25">
      <c r="A828">
        <v>11020867</v>
      </c>
      <c r="B828" t="s">
        <v>9</v>
      </c>
      <c r="C828" t="s">
        <v>8</v>
      </c>
    </row>
    <row r="829" spans="1:3" x14ac:dyDescent="0.25">
      <c r="A829">
        <v>10983811</v>
      </c>
      <c r="B829" t="s">
        <v>9</v>
      </c>
      <c r="C829" t="s">
        <v>8</v>
      </c>
    </row>
    <row r="830" spans="1:3" x14ac:dyDescent="0.25">
      <c r="A830">
        <v>11001895</v>
      </c>
      <c r="B830" t="s">
        <v>9</v>
      </c>
      <c r="C830" t="s">
        <v>8</v>
      </c>
    </row>
    <row r="831" spans="1:3" x14ac:dyDescent="0.25">
      <c r="A831">
        <v>11001917</v>
      </c>
      <c r="B831" t="s">
        <v>9</v>
      </c>
      <c r="C831" t="s">
        <v>8</v>
      </c>
    </row>
    <row r="832" spans="1:3" x14ac:dyDescent="0.25">
      <c r="A832">
        <v>11345811</v>
      </c>
      <c r="B832" t="s">
        <v>9</v>
      </c>
      <c r="C832" t="s">
        <v>8</v>
      </c>
    </row>
    <row r="833" spans="1:3" x14ac:dyDescent="0.25">
      <c r="A833">
        <v>11348445</v>
      </c>
      <c r="B833" t="s">
        <v>9</v>
      </c>
      <c r="C833" t="s">
        <v>8</v>
      </c>
    </row>
    <row r="834" spans="1:3" x14ac:dyDescent="0.25">
      <c r="A834">
        <v>11272040</v>
      </c>
      <c r="B834" t="s">
        <v>9</v>
      </c>
      <c r="C834" t="s">
        <v>8</v>
      </c>
    </row>
    <row r="835" spans="1:3" x14ac:dyDescent="0.25">
      <c r="A835">
        <v>11263319</v>
      </c>
      <c r="B835" t="s">
        <v>9</v>
      </c>
      <c r="C835" t="s">
        <v>8</v>
      </c>
    </row>
    <row r="836" spans="1:3" x14ac:dyDescent="0.25">
      <c r="A836">
        <v>11434164</v>
      </c>
      <c r="B836" t="s">
        <v>9</v>
      </c>
      <c r="C836" t="s">
        <v>8</v>
      </c>
    </row>
    <row r="837" spans="1:3" x14ac:dyDescent="0.25">
      <c r="A837">
        <v>11443744</v>
      </c>
      <c r="B837" t="s">
        <v>9</v>
      </c>
      <c r="C837" t="s">
        <v>8</v>
      </c>
    </row>
    <row r="838" spans="1:3" x14ac:dyDescent="0.25">
      <c r="A838">
        <v>11391560</v>
      </c>
      <c r="B838" t="s">
        <v>16</v>
      </c>
      <c r="C838" t="s">
        <v>15</v>
      </c>
    </row>
    <row r="839" spans="1:3" x14ac:dyDescent="0.25">
      <c r="A839">
        <v>11561463</v>
      </c>
      <c r="B839" t="s">
        <v>7</v>
      </c>
      <c r="C839" t="s">
        <v>6</v>
      </c>
    </row>
    <row r="840" spans="1:3" x14ac:dyDescent="0.25">
      <c r="A840">
        <v>11569316</v>
      </c>
      <c r="B840" t="s">
        <v>7</v>
      </c>
      <c r="C840" t="s">
        <v>6</v>
      </c>
    </row>
    <row r="841" spans="1:3" x14ac:dyDescent="0.25">
      <c r="A841">
        <v>11570077</v>
      </c>
      <c r="B841" t="s">
        <v>7</v>
      </c>
      <c r="C841" t="s">
        <v>6</v>
      </c>
    </row>
    <row r="842" spans="1:3" x14ac:dyDescent="0.25">
      <c r="A842">
        <v>11571867</v>
      </c>
      <c r="B842" t="s">
        <v>7</v>
      </c>
      <c r="C842" t="s">
        <v>6</v>
      </c>
    </row>
    <row r="843" spans="1:3" x14ac:dyDescent="0.25">
      <c r="A843">
        <v>11563069</v>
      </c>
      <c r="B843" t="s">
        <v>7</v>
      </c>
      <c r="C843" t="s">
        <v>6</v>
      </c>
    </row>
    <row r="844" spans="1:3" x14ac:dyDescent="0.25">
      <c r="A844">
        <v>11345572</v>
      </c>
      <c r="B844" t="s">
        <v>7</v>
      </c>
      <c r="C844" t="s">
        <v>6</v>
      </c>
    </row>
    <row r="845" spans="1:3" x14ac:dyDescent="0.25">
      <c r="A845">
        <v>11446953</v>
      </c>
      <c r="B845" t="s">
        <v>9</v>
      </c>
      <c r="C845" t="s">
        <v>8</v>
      </c>
    </row>
    <row r="846" spans="1:3" x14ac:dyDescent="0.25">
      <c r="A846">
        <v>11631896</v>
      </c>
      <c r="B846" t="s">
        <v>16</v>
      </c>
      <c r="C846" t="s">
        <v>15</v>
      </c>
    </row>
    <row r="847" spans="1:3" x14ac:dyDescent="0.25">
      <c r="A847">
        <v>10701390</v>
      </c>
      <c r="B847" t="s">
        <v>16</v>
      </c>
      <c r="C847" t="s">
        <v>15</v>
      </c>
    </row>
    <row r="848" spans="1:3" x14ac:dyDescent="0.25">
      <c r="A848">
        <v>11578041</v>
      </c>
      <c r="B848" t="s">
        <v>14</v>
      </c>
      <c r="C848" t="s">
        <v>13</v>
      </c>
    </row>
    <row r="849" spans="1:3" x14ac:dyDescent="0.25">
      <c r="A849">
        <v>11557827</v>
      </c>
      <c r="B849" t="s">
        <v>14</v>
      </c>
      <c r="C849" t="s">
        <v>13</v>
      </c>
    </row>
    <row r="850" spans="1:3" x14ac:dyDescent="0.25">
      <c r="A850">
        <v>11406061</v>
      </c>
      <c r="B850" t="s">
        <v>14</v>
      </c>
      <c r="C850" t="s">
        <v>13</v>
      </c>
    </row>
    <row r="851" spans="1:3" x14ac:dyDescent="0.25">
      <c r="A851">
        <v>12003726</v>
      </c>
      <c r="B851" t="s">
        <v>9</v>
      </c>
      <c r="C851" t="s">
        <v>8</v>
      </c>
    </row>
    <row r="852" spans="1:3" x14ac:dyDescent="0.25">
      <c r="A852">
        <v>11915277</v>
      </c>
      <c r="B852" t="s">
        <v>9</v>
      </c>
      <c r="C852" t="s">
        <v>8</v>
      </c>
    </row>
    <row r="853" spans="1:3" x14ac:dyDescent="0.25">
      <c r="A853">
        <v>11927936</v>
      </c>
      <c r="B853" t="s">
        <v>9</v>
      </c>
      <c r="C853" t="s">
        <v>8</v>
      </c>
    </row>
    <row r="854" spans="1:3" x14ac:dyDescent="0.25">
      <c r="A854">
        <v>11722345</v>
      </c>
      <c r="B854" t="s">
        <v>23</v>
      </c>
    </row>
    <row r="855" spans="1:3" x14ac:dyDescent="0.25">
      <c r="A855">
        <v>11118407</v>
      </c>
      <c r="B855" t="s">
        <v>11</v>
      </c>
      <c r="C855" t="s">
        <v>10</v>
      </c>
    </row>
    <row r="856" spans="1:3" x14ac:dyDescent="0.25">
      <c r="A856">
        <v>11546605</v>
      </c>
      <c r="B856" t="s">
        <v>7</v>
      </c>
      <c r="C856" t="s">
        <v>6</v>
      </c>
    </row>
    <row r="857" spans="1:3" x14ac:dyDescent="0.25">
      <c r="A857">
        <v>11556974</v>
      </c>
      <c r="B857" t="s">
        <v>7</v>
      </c>
      <c r="C857" t="s">
        <v>6</v>
      </c>
    </row>
    <row r="858" spans="1:3" x14ac:dyDescent="0.25">
      <c r="A858">
        <v>11551951</v>
      </c>
      <c r="B858" t="s">
        <v>7</v>
      </c>
      <c r="C858" t="s">
        <v>6</v>
      </c>
    </row>
    <row r="859" spans="1:3" x14ac:dyDescent="0.25">
      <c r="A859">
        <v>11607906</v>
      </c>
      <c r="B859" t="s">
        <v>7</v>
      </c>
      <c r="C859" t="s">
        <v>6</v>
      </c>
    </row>
    <row r="860" spans="1:3" x14ac:dyDescent="0.25">
      <c r="A860">
        <v>11555511</v>
      </c>
      <c r="B860" t="s">
        <v>7</v>
      </c>
      <c r="C860" t="s">
        <v>6</v>
      </c>
    </row>
    <row r="861" spans="1:3" x14ac:dyDescent="0.25">
      <c r="A861">
        <v>11406696</v>
      </c>
      <c r="B861" t="s">
        <v>7</v>
      </c>
      <c r="C861" t="s">
        <v>6</v>
      </c>
    </row>
    <row r="862" spans="1:3" x14ac:dyDescent="0.25">
      <c r="A862">
        <v>11611688</v>
      </c>
      <c r="B862" t="s">
        <v>16</v>
      </c>
      <c r="C862" t="s">
        <v>15</v>
      </c>
    </row>
    <row r="863" spans="1:3" x14ac:dyDescent="0.25">
      <c r="A863">
        <v>10803906</v>
      </c>
      <c r="B863" t="s">
        <v>9</v>
      </c>
      <c r="C863" t="s">
        <v>8</v>
      </c>
    </row>
    <row r="864" spans="1:3" x14ac:dyDescent="0.25">
      <c r="A864">
        <v>11578096</v>
      </c>
      <c r="B864" t="s">
        <v>7</v>
      </c>
      <c r="C864" t="s">
        <v>6</v>
      </c>
    </row>
    <row r="865" spans="1:3" x14ac:dyDescent="0.25">
      <c r="A865">
        <v>11397768</v>
      </c>
      <c r="B865" t="s">
        <v>7</v>
      </c>
      <c r="C865" t="s">
        <v>6</v>
      </c>
    </row>
    <row r="866" spans="1:3" x14ac:dyDescent="0.25">
      <c r="A866">
        <v>11577519</v>
      </c>
      <c r="B866" t="s">
        <v>7</v>
      </c>
      <c r="C866" t="s">
        <v>6</v>
      </c>
    </row>
    <row r="867" spans="1:3" x14ac:dyDescent="0.25">
      <c r="A867">
        <v>11543483</v>
      </c>
      <c r="B867" t="s">
        <v>7</v>
      </c>
      <c r="C867" t="s">
        <v>6</v>
      </c>
    </row>
    <row r="868" spans="1:3" x14ac:dyDescent="0.25">
      <c r="A868">
        <v>11543243</v>
      </c>
      <c r="B868" t="s">
        <v>7</v>
      </c>
      <c r="C868" t="s">
        <v>6</v>
      </c>
    </row>
    <row r="869" spans="1:3" x14ac:dyDescent="0.25">
      <c r="A869">
        <v>11410871</v>
      </c>
      <c r="B869" t="s">
        <v>9</v>
      </c>
      <c r="C869" t="s">
        <v>8</v>
      </c>
    </row>
    <row r="870" spans="1:3" x14ac:dyDescent="0.25">
      <c r="A870">
        <v>11438527</v>
      </c>
      <c r="B870" t="s">
        <v>9</v>
      </c>
      <c r="C870" t="s">
        <v>8</v>
      </c>
    </row>
    <row r="871" spans="1:3" x14ac:dyDescent="0.25">
      <c r="A871">
        <v>11912313</v>
      </c>
      <c r="B871" t="s">
        <v>16</v>
      </c>
      <c r="C871" t="s">
        <v>15</v>
      </c>
    </row>
    <row r="872" spans="1:3" x14ac:dyDescent="0.25">
      <c r="A872">
        <v>11450954</v>
      </c>
      <c r="B872" t="s">
        <v>9</v>
      </c>
      <c r="C872" t="s">
        <v>8</v>
      </c>
    </row>
    <row r="873" spans="1:3" x14ac:dyDescent="0.25">
      <c r="A873">
        <v>11983393</v>
      </c>
      <c r="B873" t="s">
        <v>9</v>
      </c>
      <c r="C873" t="s">
        <v>8</v>
      </c>
    </row>
    <row r="874" spans="1:3" x14ac:dyDescent="0.25">
      <c r="A874">
        <v>10848825</v>
      </c>
      <c r="B874" t="s">
        <v>9</v>
      </c>
      <c r="C874" t="s">
        <v>8</v>
      </c>
    </row>
    <row r="875" spans="1:3" x14ac:dyDescent="0.25">
      <c r="A875">
        <v>10945780</v>
      </c>
      <c r="B875" t="s">
        <v>9</v>
      </c>
      <c r="C875" t="s">
        <v>8</v>
      </c>
    </row>
    <row r="876" spans="1:3" x14ac:dyDescent="0.25">
      <c r="A876">
        <v>11557930</v>
      </c>
      <c r="B876" t="s">
        <v>12</v>
      </c>
    </row>
    <row r="877" spans="1:3" x14ac:dyDescent="0.25">
      <c r="A877">
        <v>11537969</v>
      </c>
      <c r="B877" t="s">
        <v>12</v>
      </c>
    </row>
    <row r="878" spans="1:3" x14ac:dyDescent="0.25">
      <c r="A878">
        <v>11363349</v>
      </c>
      <c r="B878" t="s">
        <v>12</v>
      </c>
    </row>
    <row r="879" spans="1:3" x14ac:dyDescent="0.25">
      <c r="A879">
        <v>11266152</v>
      </c>
      <c r="B879" t="s">
        <v>12</v>
      </c>
    </row>
    <row r="880" spans="1:3" x14ac:dyDescent="0.25">
      <c r="A880">
        <v>11299097</v>
      </c>
      <c r="B880" t="s">
        <v>12</v>
      </c>
    </row>
    <row r="881" spans="1:3" x14ac:dyDescent="0.25">
      <c r="A881">
        <v>10965606</v>
      </c>
      <c r="B881" t="s">
        <v>12</v>
      </c>
    </row>
    <row r="882" spans="1:3" x14ac:dyDescent="0.25">
      <c r="A882">
        <v>10923624</v>
      </c>
      <c r="B882" t="s">
        <v>12</v>
      </c>
    </row>
    <row r="883" spans="1:3" x14ac:dyDescent="0.25">
      <c r="A883">
        <v>10935352</v>
      </c>
      <c r="B883" t="s">
        <v>12</v>
      </c>
    </row>
    <row r="884" spans="1:3" x14ac:dyDescent="0.25">
      <c r="A884">
        <v>10948184</v>
      </c>
      <c r="B884" t="s">
        <v>12</v>
      </c>
    </row>
    <row r="885" spans="1:3" x14ac:dyDescent="0.25">
      <c r="A885">
        <v>10724396</v>
      </c>
      <c r="B885" t="s">
        <v>12</v>
      </c>
    </row>
    <row r="886" spans="1:3" x14ac:dyDescent="0.25">
      <c r="A886">
        <v>10748632</v>
      </c>
      <c r="B886" t="s">
        <v>12</v>
      </c>
    </row>
    <row r="887" spans="1:3" x14ac:dyDescent="0.25">
      <c r="A887">
        <v>10892112</v>
      </c>
      <c r="B887" t="s">
        <v>12</v>
      </c>
    </row>
    <row r="888" spans="1:3" x14ac:dyDescent="0.25">
      <c r="A888">
        <v>10878619</v>
      </c>
      <c r="B888" t="s">
        <v>12</v>
      </c>
    </row>
    <row r="889" spans="1:3" x14ac:dyDescent="0.25">
      <c r="A889">
        <v>10804208</v>
      </c>
      <c r="B889" t="s">
        <v>12</v>
      </c>
    </row>
    <row r="890" spans="1:3" x14ac:dyDescent="0.25">
      <c r="A890">
        <v>10818064</v>
      </c>
      <c r="B890" t="s">
        <v>12</v>
      </c>
    </row>
    <row r="891" spans="1:3" x14ac:dyDescent="0.25">
      <c r="A891">
        <v>10835424</v>
      </c>
      <c r="B891" t="s">
        <v>12</v>
      </c>
    </row>
    <row r="892" spans="1:3" x14ac:dyDescent="0.25">
      <c r="A892">
        <v>10731532</v>
      </c>
      <c r="B892" t="s">
        <v>9</v>
      </c>
      <c r="C892" t="s">
        <v>8</v>
      </c>
    </row>
    <row r="893" spans="1:3" x14ac:dyDescent="0.25">
      <c r="A893">
        <v>11890015</v>
      </c>
      <c r="B893" t="s">
        <v>16</v>
      </c>
      <c r="C893" t="s">
        <v>15</v>
      </c>
    </row>
    <row r="894" spans="1:3" x14ac:dyDescent="0.25">
      <c r="A894">
        <v>11715288</v>
      </c>
      <c r="B894" t="s">
        <v>12</v>
      </c>
    </row>
    <row r="895" spans="1:3" x14ac:dyDescent="0.25">
      <c r="A895">
        <v>11723147</v>
      </c>
      <c r="B895" t="s">
        <v>12</v>
      </c>
    </row>
    <row r="896" spans="1:3" x14ac:dyDescent="0.25">
      <c r="A896">
        <v>11711387</v>
      </c>
      <c r="B896" t="s">
        <v>9</v>
      </c>
      <c r="C896" t="s">
        <v>8</v>
      </c>
    </row>
    <row r="897" spans="1:3" x14ac:dyDescent="0.25">
      <c r="A897">
        <v>11611514</v>
      </c>
      <c r="B897" t="s">
        <v>9</v>
      </c>
      <c r="C897" t="s">
        <v>8</v>
      </c>
    </row>
    <row r="898" spans="1:3" x14ac:dyDescent="0.25">
      <c r="A898">
        <v>11508898</v>
      </c>
      <c r="B898" t="s">
        <v>9</v>
      </c>
      <c r="C898" t="s">
        <v>8</v>
      </c>
    </row>
    <row r="899" spans="1:3" x14ac:dyDescent="0.25">
      <c r="A899">
        <v>11274543</v>
      </c>
      <c r="B899" t="s">
        <v>9</v>
      </c>
      <c r="C899" t="s">
        <v>8</v>
      </c>
    </row>
    <row r="900" spans="1:3" x14ac:dyDescent="0.25">
      <c r="A900">
        <v>11298995</v>
      </c>
      <c r="B900" t="s">
        <v>9</v>
      </c>
      <c r="C900" t="s">
        <v>8</v>
      </c>
    </row>
    <row r="901" spans="1:3" x14ac:dyDescent="0.25">
      <c r="A901">
        <v>11325600</v>
      </c>
      <c r="B901" t="s">
        <v>9</v>
      </c>
      <c r="C901" t="s">
        <v>8</v>
      </c>
    </row>
    <row r="902" spans="1:3" x14ac:dyDescent="0.25">
      <c r="A902">
        <v>11008042</v>
      </c>
      <c r="B902" t="s">
        <v>9</v>
      </c>
      <c r="C902" t="s">
        <v>8</v>
      </c>
    </row>
    <row r="903" spans="1:3" x14ac:dyDescent="0.25">
      <c r="A903">
        <v>11035343</v>
      </c>
      <c r="B903" t="s">
        <v>9</v>
      </c>
      <c r="C903" t="s">
        <v>8</v>
      </c>
    </row>
    <row r="904" spans="1:3" x14ac:dyDescent="0.25">
      <c r="A904">
        <v>11036625</v>
      </c>
      <c r="B904" t="s">
        <v>9</v>
      </c>
      <c r="C904" t="s">
        <v>8</v>
      </c>
    </row>
    <row r="905" spans="1:3" x14ac:dyDescent="0.25">
      <c r="A905">
        <v>10802698</v>
      </c>
      <c r="B905" t="s">
        <v>9</v>
      </c>
      <c r="C905" t="s">
        <v>8</v>
      </c>
    </row>
    <row r="906" spans="1:3" x14ac:dyDescent="0.25">
      <c r="A906">
        <v>10763288</v>
      </c>
      <c r="B906" t="s">
        <v>9</v>
      </c>
      <c r="C906" t="s">
        <v>8</v>
      </c>
    </row>
    <row r="907" spans="1:3" x14ac:dyDescent="0.25">
      <c r="A907">
        <v>10767538</v>
      </c>
      <c r="B907" t="s">
        <v>9</v>
      </c>
      <c r="C907" t="s">
        <v>8</v>
      </c>
    </row>
    <row r="908" spans="1:3" x14ac:dyDescent="0.25">
      <c r="A908">
        <v>11591609</v>
      </c>
      <c r="B908" t="s">
        <v>9</v>
      </c>
      <c r="C908" t="s">
        <v>8</v>
      </c>
    </row>
    <row r="909" spans="1:3" x14ac:dyDescent="0.25">
      <c r="A909">
        <v>11348297</v>
      </c>
      <c r="B909" t="s">
        <v>9</v>
      </c>
      <c r="C909" t="s">
        <v>8</v>
      </c>
    </row>
    <row r="910" spans="1:3" x14ac:dyDescent="0.25">
      <c r="A910">
        <v>11944614</v>
      </c>
      <c r="B910" t="s">
        <v>12</v>
      </c>
    </row>
    <row r="911" spans="1:3" x14ac:dyDescent="0.25">
      <c r="A911">
        <v>11711379</v>
      </c>
      <c r="B911" t="s">
        <v>9</v>
      </c>
      <c r="C911" t="s">
        <v>8</v>
      </c>
    </row>
    <row r="912" spans="1:3" x14ac:dyDescent="0.25">
      <c r="A912">
        <v>10955275</v>
      </c>
      <c r="B912" t="s">
        <v>12</v>
      </c>
    </row>
    <row r="913" spans="1:3" x14ac:dyDescent="0.25">
      <c r="A913">
        <v>11712731</v>
      </c>
      <c r="B913" t="s">
        <v>9</v>
      </c>
      <c r="C913" t="s">
        <v>8</v>
      </c>
    </row>
    <row r="914" spans="1:3" x14ac:dyDescent="0.25">
      <c r="A914">
        <v>11590342</v>
      </c>
      <c r="B914" t="s">
        <v>28</v>
      </c>
      <c r="C914" t="s">
        <v>27</v>
      </c>
    </row>
    <row r="915" spans="1:3" x14ac:dyDescent="0.25">
      <c r="A915">
        <v>11348238</v>
      </c>
      <c r="B915" t="s">
        <v>14</v>
      </c>
      <c r="C915" t="s">
        <v>13</v>
      </c>
    </row>
    <row r="916" spans="1:3" x14ac:dyDescent="0.25">
      <c r="A916">
        <v>11622938</v>
      </c>
      <c r="B916" t="s">
        <v>14</v>
      </c>
      <c r="C916" t="s">
        <v>13</v>
      </c>
    </row>
    <row r="917" spans="1:3" x14ac:dyDescent="0.25">
      <c r="A917">
        <v>10573098</v>
      </c>
      <c r="B917" t="s">
        <v>9</v>
      </c>
      <c r="C917" t="s">
        <v>8</v>
      </c>
    </row>
    <row r="918" spans="1:3" x14ac:dyDescent="0.25">
      <c r="A918">
        <v>10698755</v>
      </c>
      <c r="B918" t="s">
        <v>9</v>
      </c>
      <c r="C918" t="s">
        <v>8</v>
      </c>
    </row>
    <row r="919" spans="1:3" x14ac:dyDescent="0.25">
      <c r="A919">
        <v>10737181</v>
      </c>
      <c r="B919" t="s">
        <v>9</v>
      </c>
      <c r="C919" t="s">
        <v>8</v>
      </c>
    </row>
    <row r="920" spans="1:3" x14ac:dyDescent="0.25">
      <c r="A920">
        <v>11600848</v>
      </c>
      <c r="B920" t="s">
        <v>9</v>
      </c>
      <c r="C920" t="s">
        <v>8</v>
      </c>
    </row>
    <row r="921" spans="1:3" x14ac:dyDescent="0.25">
      <c r="A921">
        <v>10572729</v>
      </c>
      <c r="B921" t="s">
        <v>12</v>
      </c>
    </row>
    <row r="922" spans="1:3" x14ac:dyDescent="0.25">
      <c r="A922">
        <v>11654968</v>
      </c>
      <c r="B922" t="s">
        <v>12</v>
      </c>
    </row>
    <row r="923" spans="1:3" x14ac:dyDescent="0.25">
      <c r="A923">
        <v>11634952</v>
      </c>
      <c r="B923" t="s">
        <v>9</v>
      </c>
      <c r="C923" t="s">
        <v>8</v>
      </c>
    </row>
    <row r="924" spans="1:3" x14ac:dyDescent="0.25">
      <c r="A924">
        <v>10620187</v>
      </c>
      <c r="B924" t="s">
        <v>12</v>
      </c>
    </row>
    <row r="925" spans="1:3" x14ac:dyDescent="0.25">
      <c r="A925">
        <v>11345506</v>
      </c>
      <c r="B925" t="s">
        <v>7</v>
      </c>
      <c r="C925" t="s">
        <v>6</v>
      </c>
    </row>
    <row r="926" spans="1:3" x14ac:dyDescent="0.25">
      <c r="A926">
        <v>11498317</v>
      </c>
      <c r="B926" t="s">
        <v>12</v>
      </c>
    </row>
    <row r="927" spans="1:3" x14ac:dyDescent="0.25">
      <c r="A927">
        <v>11021786</v>
      </c>
      <c r="B927" t="s">
        <v>12</v>
      </c>
    </row>
    <row r="928" spans="1:3" x14ac:dyDescent="0.25">
      <c r="A928">
        <v>11690662</v>
      </c>
      <c r="B928" t="s">
        <v>9</v>
      </c>
      <c r="C928" t="s">
        <v>8</v>
      </c>
    </row>
    <row r="929" spans="1:3" x14ac:dyDescent="0.25">
      <c r="A929">
        <v>10956450</v>
      </c>
      <c r="B929" t="s">
        <v>9</v>
      </c>
      <c r="C929" t="s">
        <v>8</v>
      </c>
    </row>
    <row r="930" spans="1:3" x14ac:dyDescent="0.25">
      <c r="A930">
        <v>11041689</v>
      </c>
      <c r="B930" t="s">
        <v>9</v>
      </c>
      <c r="C930" t="s">
        <v>8</v>
      </c>
    </row>
    <row r="931" spans="1:3" x14ac:dyDescent="0.25">
      <c r="A931">
        <v>12005155</v>
      </c>
      <c r="B931" t="s">
        <v>9</v>
      </c>
      <c r="C931" t="s">
        <v>8</v>
      </c>
    </row>
    <row r="932" spans="1:3" x14ac:dyDescent="0.25">
      <c r="A932">
        <v>11593000</v>
      </c>
      <c r="B932" t="s">
        <v>9</v>
      </c>
      <c r="C932" t="s">
        <v>8</v>
      </c>
    </row>
    <row r="933" spans="1:3" x14ac:dyDescent="0.25">
      <c r="A933">
        <v>11381522</v>
      </c>
      <c r="B933" t="s">
        <v>16</v>
      </c>
      <c r="C933" t="s">
        <v>15</v>
      </c>
    </row>
    <row r="934" spans="1:3" x14ac:dyDescent="0.25">
      <c r="A934">
        <v>10677014</v>
      </c>
      <c r="B934" t="s">
        <v>16</v>
      </c>
      <c r="C934" t="s">
        <v>15</v>
      </c>
    </row>
    <row r="935" spans="1:3" x14ac:dyDescent="0.25">
      <c r="A935">
        <v>11028387</v>
      </c>
      <c r="B935" t="s">
        <v>16</v>
      </c>
      <c r="C935" t="s">
        <v>15</v>
      </c>
    </row>
    <row r="936" spans="1:3" x14ac:dyDescent="0.25">
      <c r="A936">
        <v>11042212</v>
      </c>
      <c r="B936" t="s">
        <v>16</v>
      </c>
      <c r="C936" t="s">
        <v>15</v>
      </c>
    </row>
    <row r="937" spans="1:3" x14ac:dyDescent="0.25">
      <c r="A937">
        <v>10704999</v>
      </c>
      <c r="B937" t="s">
        <v>16</v>
      </c>
      <c r="C937" t="s">
        <v>15</v>
      </c>
    </row>
    <row r="938" spans="1:3" x14ac:dyDescent="0.25">
      <c r="A938">
        <v>11253841</v>
      </c>
      <c r="B938" t="s">
        <v>16</v>
      </c>
      <c r="C938" t="s">
        <v>15</v>
      </c>
    </row>
    <row r="939" spans="1:3" x14ac:dyDescent="0.25">
      <c r="A939">
        <v>11294430</v>
      </c>
      <c r="B939" t="s">
        <v>16</v>
      </c>
      <c r="C939" t="s">
        <v>15</v>
      </c>
    </row>
    <row r="940" spans="1:3" x14ac:dyDescent="0.25">
      <c r="A940">
        <v>11122779</v>
      </c>
      <c r="B940" t="s">
        <v>16</v>
      </c>
      <c r="C940" t="s">
        <v>15</v>
      </c>
    </row>
    <row r="941" spans="1:3" x14ac:dyDescent="0.25">
      <c r="A941">
        <v>11093398</v>
      </c>
      <c r="B941" t="s">
        <v>16</v>
      </c>
      <c r="C941" t="s">
        <v>15</v>
      </c>
    </row>
    <row r="942" spans="1:3" x14ac:dyDescent="0.25">
      <c r="A942">
        <v>11617289</v>
      </c>
      <c r="B942" t="s">
        <v>14</v>
      </c>
      <c r="C942" t="s">
        <v>13</v>
      </c>
    </row>
    <row r="943" spans="1:3" x14ac:dyDescent="0.25">
      <c r="A943">
        <v>11591977</v>
      </c>
      <c r="B943" t="s">
        <v>14</v>
      </c>
      <c r="C943" t="s">
        <v>13</v>
      </c>
    </row>
    <row r="944" spans="1:3" x14ac:dyDescent="0.25">
      <c r="A944">
        <v>11592484</v>
      </c>
      <c r="B944" t="s">
        <v>14</v>
      </c>
      <c r="C944" t="s">
        <v>13</v>
      </c>
    </row>
    <row r="945" spans="1:3" x14ac:dyDescent="0.25">
      <c r="A945">
        <v>11370765</v>
      </c>
      <c r="B945" t="s">
        <v>14</v>
      </c>
      <c r="C945" t="s">
        <v>13</v>
      </c>
    </row>
    <row r="946" spans="1:3" x14ac:dyDescent="0.25">
      <c r="A946">
        <v>11391578</v>
      </c>
      <c r="B946" t="s">
        <v>14</v>
      </c>
      <c r="C946" t="s">
        <v>13</v>
      </c>
    </row>
    <row r="947" spans="1:3" x14ac:dyDescent="0.25">
      <c r="A947">
        <v>11557377</v>
      </c>
      <c r="B947" t="s">
        <v>14</v>
      </c>
      <c r="C947" t="s">
        <v>13</v>
      </c>
    </row>
    <row r="948" spans="1:3" x14ac:dyDescent="0.25">
      <c r="A948">
        <v>11448244</v>
      </c>
      <c r="B948" t="s">
        <v>9</v>
      </c>
      <c r="C948" t="s">
        <v>8</v>
      </c>
    </row>
    <row r="949" spans="1:3" x14ac:dyDescent="0.25">
      <c r="A949">
        <v>11449441</v>
      </c>
      <c r="B949" t="s">
        <v>9</v>
      </c>
      <c r="C949" t="s">
        <v>8</v>
      </c>
    </row>
    <row r="950" spans="1:3" x14ac:dyDescent="0.25">
      <c r="A950">
        <v>11450712</v>
      </c>
      <c r="B950" t="s">
        <v>9</v>
      </c>
      <c r="C950" t="s">
        <v>8</v>
      </c>
    </row>
    <row r="951" spans="1:3" x14ac:dyDescent="0.25">
      <c r="A951">
        <v>11854161</v>
      </c>
      <c r="B951" t="s">
        <v>16</v>
      </c>
      <c r="C951" t="s">
        <v>15</v>
      </c>
    </row>
    <row r="952" spans="1:3" x14ac:dyDescent="0.25">
      <c r="A952">
        <v>11754482</v>
      </c>
      <c r="B952" t="s">
        <v>16</v>
      </c>
      <c r="C952" t="s">
        <v>15</v>
      </c>
    </row>
    <row r="953" spans="1:3" x14ac:dyDescent="0.25">
      <c r="A953">
        <v>11433582</v>
      </c>
      <c r="B953" t="s">
        <v>16</v>
      </c>
      <c r="C953" t="s">
        <v>15</v>
      </c>
    </row>
    <row r="954" spans="1:3" x14ac:dyDescent="0.25">
      <c r="A954">
        <v>11284013</v>
      </c>
      <c r="B954" t="s">
        <v>20</v>
      </c>
      <c r="C954" t="s">
        <v>19</v>
      </c>
    </row>
    <row r="955" spans="1:3" x14ac:dyDescent="0.25">
      <c r="A955">
        <v>11117786</v>
      </c>
      <c r="B955" t="s">
        <v>20</v>
      </c>
      <c r="C955" t="s">
        <v>19</v>
      </c>
    </row>
    <row r="956" spans="1:3" x14ac:dyDescent="0.25">
      <c r="A956">
        <v>11498068</v>
      </c>
      <c r="B956" t="s">
        <v>18</v>
      </c>
      <c r="C956" t="s">
        <v>17</v>
      </c>
    </row>
    <row r="957" spans="1:3" x14ac:dyDescent="0.25">
      <c r="A957">
        <v>11630930</v>
      </c>
      <c r="B957" t="s">
        <v>18</v>
      </c>
      <c r="C957" t="s">
        <v>17</v>
      </c>
    </row>
    <row r="958" spans="1:3" x14ac:dyDescent="0.25">
      <c r="A958">
        <v>11633028</v>
      </c>
      <c r="B958" t="s">
        <v>18</v>
      </c>
      <c r="C958" t="s">
        <v>17</v>
      </c>
    </row>
    <row r="959" spans="1:3" x14ac:dyDescent="0.25">
      <c r="A959">
        <v>11481392</v>
      </c>
      <c r="B959" t="s">
        <v>18</v>
      </c>
      <c r="C959" t="s">
        <v>17</v>
      </c>
    </row>
    <row r="960" spans="1:3" x14ac:dyDescent="0.25">
      <c r="A960">
        <v>11425987</v>
      </c>
      <c r="B960" t="s">
        <v>18</v>
      </c>
      <c r="C960" t="s">
        <v>17</v>
      </c>
    </row>
    <row r="961" spans="1:3" x14ac:dyDescent="0.25">
      <c r="A961">
        <v>11406835</v>
      </c>
      <c r="B961" t="s">
        <v>18</v>
      </c>
      <c r="C961" t="s">
        <v>17</v>
      </c>
    </row>
    <row r="962" spans="1:3" x14ac:dyDescent="0.25">
      <c r="A962">
        <v>11306154</v>
      </c>
      <c r="B962" t="s">
        <v>18</v>
      </c>
      <c r="C962" t="s">
        <v>17</v>
      </c>
    </row>
    <row r="963" spans="1:3" x14ac:dyDescent="0.25">
      <c r="A963">
        <v>12003787</v>
      </c>
      <c r="B963" t="s">
        <v>18</v>
      </c>
      <c r="C963" t="s">
        <v>17</v>
      </c>
    </row>
    <row r="964" spans="1:3" x14ac:dyDescent="0.25">
      <c r="A964">
        <v>11344789</v>
      </c>
      <c r="B964" t="s">
        <v>18</v>
      </c>
      <c r="C964" t="s">
        <v>17</v>
      </c>
    </row>
    <row r="965" spans="1:3" x14ac:dyDescent="0.25">
      <c r="A965">
        <v>11787134</v>
      </c>
      <c r="B965" t="s">
        <v>18</v>
      </c>
      <c r="C965" t="s">
        <v>17</v>
      </c>
    </row>
    <row r="966" spans="1:3" x14ac:dyDescent="0.25">
      <c r="A966">
        <v>11347884</v>
      </c>
      <c r="B966" t="s">
        <v>18</v>
      </c>
      <c r="C966" t="s">
        <v>17</v>
      </c>
    </row>
    <row r="967" spans="1:3" x14ac:dyDescent="0.25">
      <c r="A967">
        <v>11405326</v>
      </c>
      <c r="B967" t="s">
        <v>18</v>
      </c>
      <c r="C967" t="s">
        <v>17</v>
      </c>
    </row>
    <row r="968" spans="1:3" x14ac:dyDescent="0.25">
      <c r="A968">
        <v>11409096</v>
      </c>
      <c r="B968" t="s">
        <v>18</v>
      </c>
      <c r="C968" t="s">
        <v>17</v>
      </c>
    </row>
    <row r="969" spans="1:3" x14ac:dyDescent="0.25">
      <c r="A969">
        <v>11409166</v>
      </c>
      <c r="B969" t="s">
        <v>18</v>
      </c>
      <c r="C969" t="s">
        <v>17</v>
      </c>
    </row>
    <row r="970" spans="1:3" x14ac:dyDescent="0.25">
      <c r="A970">
        <v>11409459</v>
      </c>
      <c r="B970" t="s">
        <v>18</v>
      </c>
      <c r="C970" t="s">
        <v>17</v>
      </c>
    </row>
    <row r="971" spans="1:3" x14ac:dyDescent="0.25">
      <c r="A971">
        <v>11410921</v>
      </c>
      <c r="B971" t="s">
        <v>18</v>
      </c>
      <c r="C971" t="s">
        <v>17</v>
      </c>
    </row>
    <row r="972" spans="1:3" x14ac:dyDescent="0.25">
      <c r="A972">
        <v>11624828</v>
      </c>
      <c r="B972" t="s">
        <v>20</v>
      </c>
      <c r="C972" t="s">
        <v>19</v>
      </c>
    </row>
    <row r="973" spans="1:3" x14ac:dyDescent="0.25">
      <c r="A973">
        <v>11640357</v>
      </c>
      <c r="B973" t="s">
        <v>20</v>
      </c>
      <c r="C973" t="s">
        <v>19</v>
      </c>
    </row>
    <row r="974" spans="1:3" x14ac:dyDescent="0.25">
      <c r="A974">
        <v>12018248</v>
      </c>
      <c r="B974" t="s">
        <v>11</v>
      </c>
      <c r="C974" t="s">
        <v>31</v>
      </c>
    </row>
    <row r="975" spans="1:3" x14ac:dyDescent="0.25">
      <c r="A975">
        <v>11664759</v>
      </c>
      <c r="B975" t="s">
        <v>18</v>
      </c>
      <c r="C975" t="s">
        <v>17</v>
      </c>
    </row>
    <row r="976" spans="1:3" x14ac:dyDescent="0.25">
      <c r="A976">
        <v>11633138</v>
      </c>
      <c r="B976" t="s">
        <v>18</v>
      </c>
      <c r="C976" t="s">
        <v>17</v>
      </c>
    </row>
    <row r="977" spans="1:3" x14ac:dyDescent="0.25">
      <c r="A977">
        <v>11425589</v>
      </c>
      <c r="B977" t="s">
        <v>20</v>
      </c>
      <c r="C977" t="s">
        <v>19</v>
      </c>
    </row>
    <row r="978" spans="1:3" x14ac:dyDescent="0.25">
      <c r="A978">
        <v>11110876</v>
      </c>
      <c r="B978" t="s">
        <v>20</v>
      </c>
      <c r="C978" t="s">
        <v>19</v>
      </c>
    </row>
    <row r="979" spans="1:3" x14ac:dyDescent="0.25">
      <c r="A979">
        <v>11416642</v>
      </c>
      <c r="B979" t="s">
        <v>20</v>
      </c>
      <c r="C979" t="s">
        <v>19</v>
      </c>
    </row>
    <row r="980" spans="1:3" x14ac:dyDescent="0.25">
      <c r="A980">
        <v>11416887</v>
      </c>
      <c r="B980" t="s">
        <v>20</v>
      </c>
      <c r="C980" t="s">
        <v>19</v>
      </c>
    </row>
    <row r="981" spans="1:3" x14ac:dyDescent="0.25">
      <c r="A981">
        <v>11707246</v>
      </c>
      <c r="B981" t="s">
        <v>18</v>
      </c>
      <c r="C981" t="s">
        <v>17</v>
      </c>
    </row>
    <row r="982" spans="1:3" x14ac:dyDescent="0.25">
      <c r="A982">
        <v>11290835</v>
      </c>
      <c r="B982" t="s">
        <v>14</v>
      </c>
      <c r="C982" t="s">
        <v>13</v>
      </c>
    </row>
    <row r="983" spans="1:3" x14ac:dyDescent="0.25">
      <c r="A983">
        <v>11348116</v>
      </c>
      <c r="B983" t="s">
        <v>14</v>
      </c>
      <c r="C983" t="s">
        <v>13</v>
      </c>
    </row>
    <row r="984" spans="1:3" x14ac:dyDescent="0.25">
      <c r="A984">
        <v>11876309</v>
      </c>
      <c r="B984" t="s">
        <v>18</v>
      </c>
    </row>
    <row r="985" spans="1:3" x14ac:dyDescent="0.25">
      <c r="A985">
        <v>11362338</v>
      </c>
      <c r="B985" t="s">
        <v>9</v>
      </c>
      <c r="C985" t="s">
        <v>8</v>
      </c>
    </row>
    <row r="986" spans="1:3" x14ac:dyDescent="0.25">
      <c r="A986">
        <v>11362514</v>
      </c>
      <c r="B986" t="s">
        <v>9</v>
      </c>
      <c r="C986" t="s">
        <v>8</v>
      </c>
    </row>
    <row r="987" spans="1:3" x14ac:dyDescent="0.25">
      <c r="A987">
        <v>11387699</v>
      </c>
      <c r="B987" t="s">
        <v>9</v>
      </c>
      <c r="C987" t="s">
        <v>8</v>
      </c>
    </row>
    <row r="988" spans="1:3" x14ac:dyDescent="0.25">
      <c r="A988">
        <v>11371674</v>
      </c>
      <c r="B988" t="s">
        <v>9</v>
      </c>
      <c r="C988" t="s">
        <v>8</v>
      </c>
    </row>
    <row r="989" spans="1:3" x14ac:dyDescent="0.25">
      <c r="A989">
        <v>11376681</v>
      </c>
      <c r="B989" t="s">
        <v>9</v>
      </c>
      <c r="C989" t="s">
        <v>8</v>
      </c>
    </row>
    <row r="990" spans="1:3" x14ac:dyDescent="0.25">
      <c r="A990">
        <v>11400629</v>
      </c>
      <c r="B990" t="s">
        <v>9</v>
      </c>
      <c r="C990" t="s">
        <v>8</v>
      </c>
    </row>
    <row r="991" spans="1:3" x14ac:dyDescent="0.25">
      <c r="A991">
        <v>11442364</v>
      </c>
      <c r="B991" t="s">
        <v>9</v>
      </c>
      <c r="C991" t="s">
        <v>8</v>
      </c>
    </row>
    <row r="992" spans="1:3" x14ac:dyDescent="0.25">
      <c r="A992">
        <v>11440195</v>
      </c>
      <c r="B992" t="s">
        <v>9</v>
      </c>
      <c r="C992" t="s">
        <v>8</v>
      </c>
    </row>
    <row r="993" spans="1:3" x14ac:dyDescent="0.25">
      <c r="A993">
        <v>11435335</v>
      </c>
      <c r="B993" t="s">
        <v>9</v>
      </c>
      <c r="C993" t="s">
        <v>8</v>
      </c>
    </row>
    <row r="994" spans="1:3" x14ac:dyDescent="0.25">
      <c r="A994">
        <v>11407907</v>
      </c>
      <c r="B994" t="s">
        <v>9</v>
      </c>
      <c r="C994" t="s">
        <v>8</v>
      </c>
    </row>
    <row r="995" spans="1:3" x14ac:dyDescent="0.25">
      <c r="A995">
        <v>11409021</v>
      </c>
      <c r="B995" t="s">
        <v>9</v>
      </c>
      <c r="C995" t="s">
        <v>8</v>
      </c>
    </row>
    <row r="996" spans="1:3" x14ac:dyDescent="0.25">
      <c r="A996">
        <v>11407130</v>
      </c>
      <c r="B996" t="s">
        <v>9</v>
      </c>
      <c r="C996" t="s">
        <v>8</v>
      </c>
    </row>
    <row r="997" spans="1:3" x14ac:dyDescent="0.25">
      <c r="A997">
        <v>11559065</v>
      </c>
      <c r="B997" t="s">
        <v>7</v>
      </c>
      <c r="C997" t="s">
        <v>6</v>
      </c>
    </row>
    <row r="998" spans="1:3" x14ac:dyDescent="0.25">
      <c r="A998">
        <v>11558061</v>
      </c>
      <c r="B998" t="s">
        <v>7</v>
      </c>
      <c r="C998" t="s">
        <v>6</v>
      </c>
    </row>
    <row r="999" spans="1:3" x14ac:dyDescent="0.25">
      <c r="A999">
        <v>11639160</v>
      </c>
      <c r="B999" t="s">
        <v>9</v>
      </c>
    </row>
    <row r="1000" spans="1:3" x14ac:dyDescent="0.25">
      <c r="A1000">
        <v>11834524</v>
      </c>
      <c r="B1000" t="s">
        <v>9</v>
      </c>
    </row>
    <row r="1001" spans="1:3" x14ac:dyDescent="0.25">
      <c r="A1001">
        <v>11028847</v>
      </c>
      <c r="B1001" t="s">
        <v>11</v>
      </c>
      <c r="C1001" t="s">
        <v>10</v>
      </c>
    </row>
    <row r="1002" spans="1:3" x14ac:dyDescent="0.25">
      <c r="A1002">
        <v>11454466</v>
      </c>
      <c r="B1002" t="s">
        <v>28</v>
      </c>
      <c r="C1002" t="s">
        <v>27</v>
      </c>
    </row>
    <row r="1003" spans="1:3" x14ac:dyDescent="0.25">
      <c r="A1003">
        <v>11552000</v>
      </c>
      <c r="B1003" t="s">
        <v>7</v>
      </c>
      <c r="C1003" t="s">
        <v>6</v>
      </c>
    </row>
    <row r="1004" spans="1:3" x14ac:dyDescent="0.25">
      <c r="A1004">
        <v>11557557</v>
      </c>
      <c r="B1004" t="s">
        <v>7</v>
      </c>
      <c r="C1004" t="s">
        <v>6</v>
      </c>
    </row>
    <row r="1005" spans="1:3" x14ac:dyDescent="0.25">
      <c r="A1005">
        <v>11559883</v>
      </c>
      <c r="B1005" t="s">
        <v>7</v>
      </c>
      <c r="C1005" t="s">
        <v>6</v>
      </c>
    </row>
    <row r="1006" spans="1:3" x14ac:dyDescent="0.25">
      <c r="A1006">
        <v>11559976</v>
      </c>
      <c r="B1006" t="s">
        <v>7</v>
      </c>
      <c r="C1006" t="s">
        <v>6</v>
      </c>
    </row>
    <row r="1007" spans="1:3" x14ac:dyDescent="0.25">
      <c r="A1007">
        <v>11561221</v>
      </c>
      <c r="B1007" t="s">
        <v>7</v>
      </c>
      <c r="C1007" t="s">
        <v>6</v>
      </c>
    </row>
    <row r="1008" spans="1:3" x14ac:dyDescent="0.25">
      <c r="A1008">
        <v>11561234</v>
      </c>
      <c r="B1008" t="s">
        <v>7</v>
      </c>
      <c r="C1008" t="s">
        <v>6</v>
      </c>
    </row>
    <row r="1009" spans="1:3" x14ac:dyDescent="0.25">
      <c r="A1009">
        <v>11597889</v>
      </c>
      <c r="B1009" t="s">
        <v>7</v>
      </c>
      <c r="C1009" t="s">
        <v>6</v>
      </c>
    </row>
    <row r="1010" spans="1:3" x14ac:dyDescent="0.25">
      <c r="A1010">
        <v>11559130</v>
      </c>
      <c r="B1010" t="s">
        <v>7</v>
      </c>
      <c r="C1010" t="s">
        <v>6</v>
      </c>
    </row>
    <row r="1011" spans="1:3" x14ac:dyDescent="0.25">
      <c r="A1011">
        <v>11562133</v>
      </c>
      <c r="B1011" t="s">
        <v>7</v>
      </c>
      <c r="C1011" t="s">
        <v>6</v>
      </c>
    </row>
    <row r="1012" spans="1:3" x14ac:dyDescent="0.25">
      <c r="A1012">
        <v>11561833</v>
      </c>
      <c r="B1012" t="s">
        <v>7</v>
      </c>
      <c r="C1012" t="s">
        <v>6</v>
      </c>
    </row>
    <row r="1013" spans="1:3" x14ac:dyDescent="0.25">
      <c r="A1013">
        <v>11561470</v>
      </c>
      <c r="B1013" t="s">
        <v>7</v>
      </c>
      <c r="C1013" t="s">
        <v>6</v>
      </c>
    </row>
    <row r="1014" spans="1:3" x14ac:dyDescent="0.25">
      <c r="A1014">
        <v>11561520</v>
      </c>
      <c r="B1014" t="s">
        <v>7</v>
      </c>
      <c r="C1014" t="s">
        <v>6</v>
      </c>
    </row>
    <row r="1015" spans="1:3" x14ac:dyDescent="0.25">
      <c r="A1015">
        <v>11562604</v>
      </c>
      <c r="B1015" t="s">
        <v>7</v>
      </c>
      <c r="C1015" t="s">
        <v>6</v>
      </c>
    </row>
    <row r="1016" spans="1:3" x14ac:dyDescent="0.25">
      <c r="A1016">
        <v>11574977</v>
      </c>
      <c r="B1016" t="s">
        <v>7</v>
      </c>
      <c r="C1016" t="s">
        <v>6</v>
      </c>
    </row>
    <row r="1017" spans="1:3" x14ac:dyDescent="0.25">
      <c r="A1017">
        <v>11577189</v>
      </c>
      <c r="B1017" t="s">
        <v>7</v>
      </c>
      <c r="C1017" t="s">
        <v>6</v>
      </c>
    </row>
    <row r="1018" spans="1:3" x14ac:dyDescent="0.25">
      <c r="A1018">
        <v>11585905</v>
      </c>
      <c r="B1018" t="s">
        <v>7</v>
      </c>
      <c r="C1018" t="s">
        <v>6</v>
      </c>
    </row>
    <row r="1019" spans="1:3" x14ac:dyDescent="0.25">
      <c r="A1019">
        <v>11592409</v>
      </c>
      <c r="B1019" t="s">
        <v>7</v>
      </c>
      <c r="C1019" t="s">
        <v>6</v>
      </c>
    </row>
    <row r="1020" spans="1:3" x14ac:dyDescent="0.25">
      <c r="A1020">
        <v>11592602</v>
      </c>
      <c r="B1020" t="s">
        <v>7</v>
      </c>
      <c r="C1020" t="s">
        <v>6</v>
      </c>
    </row>
    <row r="1021" spans="1:3" x14ac:dyDescent="0.25">
      <c r="A1021">
        <v>11591321</v>
      </c>
      <c r="B1021" t="s">
        <v>7</v>
      </c>
      <c r="C1021" t="s">
        <v>6</v>
      </c>
    </row>
    <row r="1022" spans="1:3" x14ac:dyDescent="0.25">
      <c r="A1022">
        <v>11346354</v>
      </c>
      <c r="B1022" t="s">
        <v>7</v>
      </c>
      <c r="C1022" t="s">
        <v>6</v>
      </c>
    </row>
    <row r="1023" spans="1:3" x14ac:dyDescent="0.25">
      <c r="A1023">
        <v>10808428</v>
      </c>
      <c r="B1023" t="s">
        <v>7</v>
      </c>
      <c r="C1023" t="s">
        <v>6</v>
      </c>
    </row>
    <row r="1024" spans="1:3" x14ac:dyDescent="0.25">
      <c r="A1024">
        <v>11445403</v>
      </c>
      <c r="B1024" t="s">
        <v>9</v>
      </c>
      <c r="C1024" t="s">
        <v>8</v>
      </c>
    </row>
    <row r="1025" spans="1:3" x14ac:dyDescent="0.25">
      <c r="A1025">
        <v>11484593</v>
      </c>
      <c r="B1025" t="s">
        <v>9</v>
      </c>
      <c r="C1025" t="s">
        <v>8</v>
      </c>
    </row>
    <row r="1026" spans="1:3" x14ac:dyDescent="0.25">
      <c r="A1026">
        <v>11483930</v>
      </c>
      <c r="B1026" t="s">
        <v>9</v>
      </c>
      <c r="C1026" t="s">
        <v>8</v>
      </c>
    </row>
    <row r="1027" spans="1:3" x14ac:dyDescent="0.25">
      <c r="A1027">
        <v>11350395</v>
      </c>
      <c r="B1027" t="s">
        <v>9</v>
      </c>
      <c r="C1027" t="s">
        <v>8</v>
      </c>
    </row>
    <row r="1028" spans="1:3" x14ac:dyDescent="0.25">
      <c r="A1028">
        <v>11627287</v>
      </c>
      <c r="B1028" t="s">
        <v>7</v>
      </c>
      <c r="C1028" t="s">
        <v>6</v>
      </c>
    </row>
    <row r="1029" spans="1:3" x14ac:dyDescent="0.25">
      <c r="A1029">
        <v>11616011</v>
      </c>
      <c r="B1029" t="s">
        <v>7</v>
      </c>
      <c r="C1029" t="s">
        <v>6</v>
      </c>
    </row>
    <row r="1030" spans="1:3" x14ac:dyDescent="0.25">
      <c r="A1030">
        <v>11616419</v>
      </c>
      <c r="B1030" t="s">
        <v>7</v>
      </c>
      <c r="C1030" t="s">
        <v>6</v>
      </c>
    </row>
    <row r="1031" spans="1:3" x14ac:dyDescent="0.25">
      <c r="A1031">
        <v>11543242</v>
      </c>
      <c r="B1031" t="s">
        <v>7</v>
      </c>
      <c r="C1031" t="s">
        <v>6</v>
      </c>
    </row>
    <row r="1032" spans="1:3" x14ac:dyDescent="0.25">
      <c r="A1032">
        <v>11632226</v>
      </c>
      <c r="B1032" t="s">
        <v>7</v>
      </c>
      <c r="C1032" t="s">
        <v>6</v>
      </c>
    </row>
    <row r="1033" spans="1:3" x14ac:dyDescent="0.25">
      <c r="A1033">
        <v>11556016</v>
      </c>
      <c r="B1033" t="s">
        <v>7</v>
      </c>
      <c r="C1033" t="s">
        <v>6</v>
      </c>
    </row>
    <row r="1034" spans="1:3" x14ac:dyDescent="0.25">
      <c r="A1034">
        <v>11557330</v>
      </c>
      <c r="B1034" t="s">
        <v>7</v>
      </c>
      <c r="C1034" t="s">
        <v>6</v>
      </c>
    </row>
    <row r="1035" spans="1:3" x14ac:dyDescent="0.25">
      <c r="A1035">
        <v>11543702</v>
      </c>
      <c r="B1035" t="s">
        <v>7</v>
      </c>
      <c r="C1035" t="s">
        <v>6</v>
      </c>
    </row>
    <row r="1036" spans="1:3" x14ac:dyDescent="0.25">
      <c r="A1036">
        <v>11583680</v>
      </c>
      <c r="B1036" t="s">
        <v>23</v>
      </c>
    </row>
    <row r="1037" spans="1:3" x14ac:dyDescent="0.25">
      <c r="A1037">
        <v>11599721</v>
      </c>
      <c r="B1037" t="s">
        <v>23</v>
      </c>
    </row>
    <row r="1038" spans="1:3" x14ac:dyDescent="0.25">
      <c r="A1038">
        <v>11644585</v>
      </c>
      <c r="B1038" t="s">
        <v>23</v>
      </c>
    </row>
    <row r="1039" spans="1:3" x14ac:dyDescent="0.25">
      <c r="A1039">
        <v>11877247</v>
      </c>
      <c r="B1039" t="s">
        <v>23</v>
      </c>
    </row>
    <row r="1040" spans="1:3" x14ac:dyDescent="0.25">
      <c r="A1040">
        <v>11817113</v>
      </c>
      <c r="B1040" t="s">
        <v>23</v>
      </c>
    </row>
    <row r="1041" spans="1:3" x14ac:dyDescent="0.25">
      <c r="A1041">
        <v>11837963</v>
      </c>
      <c r="B1041" t="s">
        <v>23</v>
      </c>
    </row>
    <row r="1042" spans="1:3" x14ac:dyDescent="0.25">
      <c r="A1042">
        <v>11709596</v>
      </c>
      <c r="B1042" t="s">
        <v>28</v>
      </c>
      <c r="C1042" t="s">
        <v>27</v>
      </c>
    </row>
    <row r="1043" spans="1:3" x14ac:dyDescent="0.25">
      <c r="A1043">
        <v>11856720</v>
      </c>
      <c r="B1043" t="s">
        <v>28</v>
      </c>
      <c r="C1043" t="s">
        <v>27</v>
      </c>
    </row>
    <row r="1044" spans="1:3" x14ac:dyDescent="0.25">
      <c r="A1044">
        <v>11857826</v>
      </c>
      <c r="B1044" t="s">
        <v>28</v>
      </c>
      <c r="C1044" t="s">
        <v>27</v>
      </c>
    </row>
    <row r="1045" spans="1:3" x14ac:dyDescent="0.25">
      <c r="A1045">
        <v>11592678</v>
      </c>
      <c r="B1045" t="s">
        <v>7</v>
      </c>
      <c r="C1045" t="s">
        <v>15</v>
      </c>
    </row>
    <row r="1046" spans="1:3" x14ac:dyDescent="0.25">
      <c r="A1046">
        <v>11454080</v>
      </c>
      <c r="B1046" t="s">
        <v>28</v>
      </c>
      <c r="C1046" t="s">
        <v>27</v>
      </c>
    </row>
    <row r="1047" spans="1:3" x14ac:dyDescent="0.25">
      <c r="A1047">
        <v>11376455</v>
      </c>
      <c r="B1047" t="s">
        <v>7</v>
      </c>
      <c r="C1047" t="s">
        <v>6</v>
      </c>
    </row>
    <row r="1048" spans="1:3" x14ac:dyDescent="0.25">
      <c r="A1048">
        <v>11347934</v>
      </c>
      <c r="B1048" t="s">
        <v>7</v>
      </c>
      <c r="C1048" t="s">
        <v>6</v>
      </c>
    </row>
    <row r="1049" spans="1:3" x14ac:dyDescent="0.25">
      <c r="A1049">
        <v>11358173</v>
      </c>
      <c r="B1049" t="s">
        <v>7</v>
      </c>
      <c r="C1049" t="s">
        <v>6</v>
      </c>
    </row>
    <row r="1050" spans="1:3" x14ac:dyDescent="0.25">
      <c r="A1050">
        <v>11358673</v>
      </c>
      <c r="B1050" t="s">
        <v>7</v>
      </c>
      <c r="C1050" t="s">
        <v>6</v>
      </c>
    </row>
    <row r="1051" spans="1:3" x14ac:dyDescent="0.25">
      <c r="A1051">
        <v>11706401</v>
      </c>
      <c r="B1051" t="s">
        <v>9</v>
      </c>
      <c r="C1051" t="s">
        <v>8</v>
      </c>
    </row>
    <row r="1052" spans="1:3" x14ac:dyDescent="0.25">
      <c r="A1052">
        <v>11707666</v>
      </c>
      <c r="B1052" t="s">
        <v>9</v>
      </c>
      <c r="C1052" t="s">
        <v>8</v>
      </c>
    </row>
    <row r="1053" spans="1:3" x14ac:dyDescent="0.25">
      <c r="A1053">
        <v>11790219</v>
      </c>
      <c r="B1053" t="s">
        <v>9</v>
      </c>
      <c r="C1053" t="s">
        <v>8</v>
      </c>
    </row>
    <row r="1054" spans="1:3" x14ac:dyDescent="0.25">
      <c r="A1054">
        <v>11918613</v>
      </c>
      <c r="B1054" t="s">
        <v>9</v>
      </c>
      <c r="C1054" t="s">
        <v>8</v>
      </c>
    </row>
    <row r="1055" spans="1:3" x14ac:dyDescent="0.25">
      <c r="A1055">
        <v>11863526</v>
      </c>
      <c r="B1055" t="s">
        <v>9</v>
      </c>
      <c r="C1055" t="s">
        <v>8</v>
      </c>
    </row>
    <row r="1056" spans="1:3" x14ac:dyDescent="0.25">
      <c r="A1056">
        <v>12020465</v>
      </c>
      <c r="B1056" t="s">
        <v>9</v>
      </c>
      <c r="C1056" t="s">
        <v>8</v>
      </c>
    </row>
    <row r="1057" spans="1:3" x14ac:dyDescent="0.25">
      <c r="A1057">
        <v>11980456</v>
      </c>
      <c r="B1057" t="s">
        <v>9</v>
      </c>
      <c r="C1057" t="s">
        <v>8</v>
      </c>
    </row>
    <row r="1058" spans="1:3" x14ac:dyDescent="0.25">
      <c r="A1058">
        <v>11895664</v>
      </c>
      <c r="B1058" t="s">
        <v>9</v>
      </c>
      <c r="C1058" t="s">
        <v>8</v>
      </c>
    </row>
    <row r="1059" spans="1:3" x14ac:dyDescent="0.25">
      <c r="A1059">
        <v>11839986</v>
      </c>
      <c r="B1059" t="s">
        <v>9</v>
      </c>
      <c r="C1059" t="s">
        <v>8</v>
      </c>
    </row>
    <row r="1060" spans="1:3" x14ac:dyDescent="0.25">
      <c r="A1060">
        <v>11927472</v>
      </c>
      <c r="B1060" t="s">
        <v>9</v>
      </c>
      <c r="C1060" t="s">
        <v>8</v>
      </c>
    </row>
    <row r="1061" spans="1:3" x14ac:dyDescent="0.25">
      <c r="A1061">
        <v>10704646</v>
      </c>
      <c r="B1061" t="s">
        <v>11</v>
      </c>
      <c r="C1061" t="s">
        <v>29</v>
      </c>
    </row>
    <row r="1062" spans="1:3" x14ac:dyDescent="0.25">
      <c r="A1062">
        <v>11663060</v>
      </c>
      <c r="B1062" t="s">
        <v>9</v>
      </c>
      <c r="C1062" t="s">
        <v>8</v>
      </c>
    </row>
    <row r="1063" spans="1:3" x14ac:dyDescent="0.25">
      <c r="A1063">
        <v>11048284</v>
      </c>
      <c r="B1063" t="s">
        <v>9</v>
      </c>
      <c r="C1063" t="s">
        <v>8</v>
      </c>
    </row>
    <row r="1064" spans="1:3" x14ac:dyDescent="0.25">
      <c r="A1064">
        <v>10814399</v>
      </c>
      <c r="B1064" t="s">
        <v>9</v>
      </c>
      <c r="C1064" t="s">
        <v>8</v>
      </c>
    </row>
    <row r="1065" spans="1:3" x14ac:dyDescent="0.25">
      <c r="A1065">
        <v>10825536</v>
      </c>
      <c r="B1065" t="s">
        <v>9</v>
      </c>
      <c r="C1065" t="s">
        <v>8</v>
      </c>
    </row>
    <row r="1066" spans="1:3" x14ac:dyDescent="0.25">
      <c r="A1066">
        <v>10737786</v>
      </c>
      <c r="B1066" t="s">
        <v>9</v>
      </c>
      <c r="C1066" t="s">
        <v>8</v>
      </c>
    </row>
    <row r="1067" spans="1:3" x14ac:dyDescent="0.25">
      <c r="A1067">
        <v>10760531</v>
      </c>
      <c r="B1067" t="s">
        <v>9</v>
      </c>
      <c r="C1067" t="s">
        <v>8</v>
      </c>
    </row>
    <row r="1068" spans="1:3" x14ac:dyDescent="0.25">
      <c r="A1068">
        <v>11346460</v>
      </c>
      <c r="B1068" t="s">
        <v>9</v>
      </c>
      <c r="C1068" t="s">
        <v>8</v>
      </c>
    </row>
    <row r="1069" spans="1:3" x14ac:dyDescent="0.25">
      <c r="A1069">
        <v>11607950</v>
      </c>
      <c r="B1069" t="s">
        <v>7</v>
      </c>
      <c r="C1069" t="s">
        <v>6</v>
      </c>
    </row>
    <row r="1070" spans="1:3" x14ac:dyDescent="0.25">
      <c r="A1070">
        <v>11607171</v>
      </c>
      <c r="B1070" t="s">
        <v>7</v>
      </c>
      <c r="C1070" t="s">
        <v>6</v>
      </c>
    </row>
    <row r="1071" spans="1:3" x14ac:dyDescent="0.25">
      <c r="A1071">
        <v>11543099</v>
      </c>
      <c r="B1071" t="s">
        <v>7</v>
      </c>
      <c r="C1071" t="s">
        <v>6</v>
      </c>
    </row>
    <row r="1072" spans="1:3" x14ac:dyDescent="0.25">
      <c r="A1072">
        <v>11543202</v>
      </c>
      <c r="B1072" t="s">
        <v>7</v>
      </c>
      <c r="C1072" t="s">
        <v>6</v>
      </c>
    </row>
    <row r="1073" spans="1:3" x14ac:dyDescent="0.25">
      <c r="A1073">
        <v>11543494</v>
      </c>
      <c r="B1073" t="s">
        <v>7</v>
      </c>
      <c r="C1073" t="s">
        <v>6</v>
      </c>
    </row>
    <row r="1074" spans="1:3" x14ac:dyDescent="0.25">
      <c r="A1074">
        <v>11543421</v>
      </c>
      <c r="B1074" t="s">
        <v>7</v>
      </c>
      <c r="C1074" t="s">
        <v>6</v>
      </c>
    </row>
    <row r="1075" spans="1:3" x14ac:dyDescent="0.25">
      <c r="A1075">
        <v>11886550</v>
      </c>
      <c r="B1075" t="s">
        <v>23</v>
      </c>
    </row>
    <row r="1076" spans="1:3" x14ac:dyDescent="0.25">
      <c r="A1076">
        <v>11369194</v>
      </c>
      <c r="B1076" t="s">
        <v>14</v>
      </c>
      <c r="C1076" t="s">
        <v>13</v>
      </c>
    </row>
    <row r="1077" spans="1:3" x14ac:dyDescent="0.25">
      <c r="A1077">
        <v>11559466</v>
      </c>
      <c r="B1077" t="s">
        <v>14</v>
      </c>
      <c r="C1077" t="s">
        <v>13</v>
      </c>
    </row>
    <row r="1078" spans="1:3" x14ac:dyDescent="0.25">
      <c r="A1078">
        <v>11419700</v>
      </c>
      <c r="B1078" t="s">
        <v>14</v>
      </c>
      <c r="C1078" t="s">
        <v>13</v>
      </c>
    </row>
    <row r="1079" spans="1:3" x14ac:dyDescent="0.25">
      <c r="A1079">
        <v>11598318</v>
      </c>
      <c r="B1079" t="s">
        <v>14</v>
      </c>
      <c r="C1079" t="s">
        <v>13</v>
      </c>
    </row>
    <row r="1080" spans="1:3" x14ac:dyDescent="0.25">
      <c r="A1080">
        <v>11585147</v>
      </c>
      <c r="B1080" t="s">
        <v>14</v>
      </c>
      <c r="C1080" t="s">
        <v>13</v>
      </c>
    </row>
    <row r="1081" spans="1:3" x14ac:dyDescent="0.25">
      <c r="A1081">
        <v>11063460</v>
      </c>
      <c r="B1081" t="s">
        <v>16</v>
      </c>
      <c r="C1081" t="s">
        <v>15</v>
      </c>
    </row>
    <row r="1082" spans="1:3" x14ac:dyDescent="0.25">
      <c r="A1082">
        <v>11068571</v>
      </c>
      <c r="B1082" t="s">
        <v>16</v>
      </c>
      <c r="C1082" t="s">
        <v>15</v>
      </c>
    </row>
    <row r="1083" spans="1:3" x14ac:dyDescent="0.25">
      <c r="A1083">
        <v>10911551</v>
      </c>
      <c r="B1083" t="s">
        <v>16</v>
      </c>
      <c r="C1083" t="s">
        <v>15</v>
      </c>
    </row>
    <row r="1084" spans="1:3" x14ac:dyDescent="0.25">
      <c r="A1084">
        <v>10703809</v>
      </c>
      <c r="B1084" t="s">
        <v>16</v>
      </c>
      <c r="C1084" t="s">
        <v>15</v>
      </c>
    </row>
    <row r="1085" spans="1:3" x14ac:dyDescent="0.25">
      <c r="A1085">
        <v>11386976</v>
      </c>
      <c r="B1085" t="s">
        <v>16</v>
      </c>
      <c r="C1085" t="s">
        <v>15</v>
      </c>
    </row>
    <row r="1086" spans="1:3" x14ac:dyDescent="0.25">
      <c r="A1086">
        <v>11418511</v>
      </c>
      <c r="B1086" t="s">
        <v>9</v>
      </c>
      <c r="C1086" t="s">
        <v>8</v>
      </c>
    </row>
    <row r="1087" spans="1:3" x14ac:dyDescent="0.25">
      <c r="A1087">
        <v>11419237</v>
      </c>
      <c r="B1087" t="s">
        <v>9</v>
      </c>
      <c r="C1087" t="s">
        <v>8</v>
      </c>
    </row>
    <row r="1088" spans="1:3" x14ac:dyDescent="0.25">
      <c r="A1088">
        <v>11427900</v>
      </c>
      <c r="B1088" t="s">
        <v>9</v>
      </c>
      <c r="C1088" t="s">
        <v>8</v>
      </c>
    </row>
    <row r="1089" spans="1:3" x14ac:dyDescent="0.25">
      <c r="A1089">
        <v>11374073</v>
      </c>
      <c r="B1089" t="s">
        <v>9</v>
      </c>
      <c r="C1089" t="s">
        <v>8</v>
      </c>
    </row>
    <row r="1090" spans="1:3" x14ac:dyDescent="0.25">
      <c r="A1090">
        <v>11814984</v>
      </c>
      <c r="B1090" t="s">
        <v>28</v>
      </c>
      <c r="C1090" t="s">
        <v>30</v>
      </c>
    </row>
    <row r="1091" spans="1:3" x14ac:dyDescent="0.25">
      <c r="A1091">
        <v>11451801</v>
      </c>
      <c r="B1091" t="s">
        <v>9</v>
      </c>
      <c r="C1091" t="s">
        <v>8</v>
      </c>
    </row>
    <row r="1092" spans="1:3" x14ac:dyDescent="0.25">
      <c r="A1092">
        <v>11462993</v>
      </c>
      <c r="B1092" t="s">
        <v>9</v>
      </c>
      <c r="C1092" t="s">
        <v>8</v>
      </c>
    </row>
    <row r="1093" spans="1:3" x14ac:dyDescent="0.25">
      <c r="A1093">
        <v>11332040</v>
      </c>
      <c r="B1093" t="s">
        <v>7</v>
      </c>
      <c r="C1093" t="s">
        <v>6</v>
      </c>
    </row>
    <row r="1094" spans="1:3" x14ac:dyDescent="0.25">
      <c r="A1094">
        <v>11346358</v>
      </c>
      <c r="B1094" t="s">
        <v>7</v>
      </c>
      <c r="C1094" t="s">
        <v>6</v>
      </c>
    </row>
    <row r="1095" spans="1:3" x14ac:dyDescent="0.25">
      <c r="A1095">
        <v>11344207</v>
      </c>
      <c r="B1095" t="s">
        <v>7</v>
      </c>
      <c r="C1095" t="s">
        <v>6</v>
      </c>
    </row>
    <row r="1096" spans="1:3" x14ac:dyDescent="0.25">
      <c r="A1096">
        <v>11344215</v>
      </c>
      <c r="B1096" t="s">
        <v>7</v>
      </c>
      <c r="C1096" t="s">
        <v>6</v>
      </c>
    </row>
    <row r="1097" spans="1:3" x14ac:dyDescent="0.25">
      <c r="A1097">
        <v>11586072</v>
      </c>
      <c r="B1097" t="s">
        <v>7</v>
      </c>
      <c r="C1097" t="s">
        <v>6</v>
      </c>
    </row>
    <row r="1098" spans="1:3" x14ac:dyDescent="0.25">
      <c r="A1098">
        <v>11577508</v>
      </c>
      <c r="B1098" t="s">
        <v>7</v>
      </c>
      <c r="C1098" t="s">
        <v>6</v>
      </c>
    </row>
    <row r="1099" spans="1:3" x14ac:dyDescent="0.25">
      <c r="A1099">
        <v>11581437</v>
      </c>
      <c r="B1099" t="s">
        <v>7</v>
      </c>
      <c r="C1099" t="s">
        <v>6</v>
      </c>
    </row>
    <row r="1100" spans="1:3" x14ac:dyDescent="0.25">
      <c r="A1100">
        <v>11577831</v>
      </c>
      <c r="B1100" t="s">
        <v>7</v>
      </c>
      <c r="C1100" t="s">
        <v>6</v>
      </c>
    </row>
    <row r="1101" spans="1:3" x14ac:dyDescent="0.25">
      <c r="A1101">
        <v>11566267</v>
      </c>
      <c r="B1101" t="s">
        <v>7</v>
      </c>
      <c r="C1101" t="s">
        <v>6</v>
      </c>
    </row>
    <row r="1102" spans="1:3" x14ac:dyDescent="0.25">
      <c r="A1102">
        <v>11561652</v>
      </c>
      <c r="B1102" t="s">
        <v>7</v>
      </c>
      <c r="C1102" t="s">
        <v>6</v>
      </c>
    </row>
    <row r="1103" spans="1:3" x14ac:dyDescent="0.25">
      <c r="A1103">
        <v>11561430</v>
      </c>
      <c r="B1103" t="s">
        <v>7</v>
      </c>
      <c r="C1103" t="s">
        <v>6</v>
      </c>
    </row>
    <row r="1104" spans="1:3" x14ac:dyDescent="0.25">
      <c r="A1104">
        <v>11561436</v>
      </c>
      <c r="B1104" t="s">
        <v>7</v>
      </c>
      <c r="C1104" t="s">
        <v>6</v>
      </c>
    </row>
    <row r="1105" spans="1:3" x14ac:dyDescent="0.25">
      <c r="A1105">
        <v>11560014</v>
      </c>
      <c r="B1105" t="s">
        <v>7</v>
      </c>
      <c r="C1105" t="s">
        <v>6</v>
      </c>
    </row>
    <row r="1106" spans="1:3" x14ac:dyDescent="0.25">
      <c r="A1106">
        <v>11560375</v>
      </c>
      <c r="B1106" t="s">
        <v>7</v>
      </c>
      <c r="C1106" t="s">
        <v>6</v>
      </c>
    </row>
    <row r="1107" spans="1:3" x14ac:dyDescent="0.25">
      <c r="A1107">
        <v>11560431</v>
      </c>
      <c r="B1107" t="s">
        <v>7</v>
      </c>
      <c r="C1107" t="s">
        <v>6</v>
      </c>
    </row>
    <row r="1108" spans="1:3" x14ac:dyDescent="0.25">
      <c r="A1108">
        <v>11560540</v>
      </c>
      <c r="B1108" t="s">
        <v>7</v>
      </c>
      <c r="C1108" t="s">
        <v>6</v>
      </c>
    </row>
    <row r="1109" spans="1:3" x14ac:dyDescent="0.25">
      <c r="A1109">
        <v>11560855</v>
      </c>
      <c r="B1109" t="s">
        <v>7</v>
      </c>
      <c r="C1109" t="s">
        <v>6</v>
      </c>
    </row>
    <row r="1110" spans="1:3" x14ac:dyDescent="0.25">
      <c r="A1110">
        <v>11560887</v>
      </c>
      <c r="B1110" t="s">
        <v>7</v>
      </c>
      <c r="C1110" t="s">
        <v>6</v>
      </c>
    </row>
    <row r="1111" spans="1:3" x14ac:dyDescent="0.25">
      <c r="A1111">
        <v>11560948</v>
      </c>
      <c r="B1111" t="s">
        <v>7</v>
      </c>
      <c r="C1111" t="s">
        <v>6</v>
      </c>
    </row>
    <row r="1112" spans="1:3" x14ac:dyDescent="0.25">
      <c r="A1112">
        <v>11558264</v>
      </c>
      <c r="B1112" t="s">
        <v>7</v>
      </c>
      <c r="C1112" t="s">
        <v>6</v>
      </c>
    </row>
    <row r="1113" spans="1:3" x14ac:dyDescent="0.25">
      <c r="A1113">
        <v>11803128</v>
      </c>
      <c r="B1113" t="s">
        <v>22</v>
      </c>
      <c r="C1113" t="s">
        <v>21</v>
      </c>
    </row>
    <row r="1114" spans="1:3" x14ac:dyDescent="0.25">
      <c r="A1114">
        <v>11593092</v>
      </c>
      <c r="B1114" t="s">
        <v>28</v>
      </c>
      <c r="C1114" t="s">
        <v>27</v>
      </c>
    </row>
    <row r="1115" spans="1:3" x14ac:dyDescent="0.25">
      <c r="A1115">
        <v>11632263</v>
      </c>
      <c r="B1115" t="s">
        <v>28</v>
      </c>
      <c r="C1115" t="s">
        <v>27</v>
      </c>
    </row>
    <row r="1116" spans="1:3" x14ac:dyDescent="0.25">
      <c r="A1116">
        <v>11866255</v>
      </c>
      <c r="B1116" t="s">
        <v>12</v>
      </c>
    </row>
    <row r="1117" spans="1:3" x14ac:dyDescent="0.25">
      <c r="A1117">
        <v>11839645</v>
      </c>
      <c r="B1117" t="s">
        <v>12</v>
      </c>
    </row>
    <row r="1118" spans="1:3" x14ac:dyDescent="0.25">
      <c r="A1118">
        <v>11842675</v>
      </c>
      <c r="B1118" t="s">
        <v>12</v>
      </c>
    </row>
    <row r="1119" spans="1:3" x14ac:dyDescent="0.25">
      <c r="A1119">
        <v>10870803</v>
      </c>
      <c r="B1119" t="s">
        <v>9</v>
      </c>
      <c r="C1119" t="s">
        <v>8</v>
      </c>
    </row>
    <row r="1120" spans="1:3" x14ac:dyDescent="0.25">
      <c r="A1120">
        <v>10866771</v>
      </c>
      <c r="B1120" t="s">
        <v>9</v>
      </c>
      <c r="C1120" t="s">
        <v>8</v>
      </c>
    </row>
    <row r="1121" spans="1:3" x14ac:dyDescent="0.25">
      <c r="A1121">
        <v>10902298</v>
      </c>
      <c r="B1121" t="s">
        <v>9</v>
      </c>
      <c r="C1121" t="s">
        <v>8</v>
      </c>
    </row>
    <row r="1122" spans="1:3" x14ac:dyDescent="0.25">
      <c r="A1122">
        <v>10892640</v>
      </c>
      <c r="B1122" t="s">
        <v>9</v>
      </c>
      <c r="C1122" t="s">
        <v>8</v>
      </c>
    </row>
    <row r="1123" spans="1:3" x14ac:dyDescent="0.25">
      <c r="A1123">
        <v>10808074</v>
      </c>
      <c r="B1123" t="s">
        <v>9</v>
      </c>
      <c r="C1123" t="s">
        <v>8</v>
      </c>
    </row>
    <row r="1124" spans="1:3" x14ac:dyDescent="0.25">
      <c r="A1124">
        <v>11038369</v>
      </c>
      <c r="B1124" t="s">
        <v>9</v>
      </c>
      <c r="C1124" t="s">
        <v>8</v>
      </c>
    </row>
    <row r="1125" spans="1:3" x14ac:dyDescent="0.25">
      <c r="A1125">
        <v>10714452</v>
      </c>
      <c r="B1125" t="s">
        <v>12</v>
      </c>
    </row>
    <row r="1126" spans="1:3" x14ac:dyDescent="0.25">
      <c r="A1126">
        <v>10674677</v>
      </c>
      <c r="B1126" t="s">
        <v>12</v>
      </c>
    </row>
    <row r="1127" spans="1:3" x14ac:dyDescent="0.25">
      <c r="A1127">
        <v>11063443</v>
      </c>
      <c r="B1127" t="s">
        <v>12</v>
      </c>
    </row>
    <row r="1128" spans="1:3" x14ac:dyDescent="0.25">
      <c r="A1128">
        <v>11589508</v>
      </c>
      <c r="B1128" t="s">
        <v>12</v>
      </c>
    </row>
    <row r="1129" spans="1:3" x14ac:dyDescent="0.25">
      <c r="A1129">
        <v>11714379</v>
      </c>
      <c r="B1129" t="s">
        <v>12</v>
      </c>
    </row>
    <row r="1130" spans="1:3" x14ac:dyDescent="0.25">
      <c r="A1130">
        <v>11055708</v>
      </c>
      <c r="B1130" t="s">
        <v>12</v>
      </c>
    </row>
    <row r="1131" spans="1:3" x14ac:dyDescent="0.25">
      <c r="A1131">
        <v>10980020</v>
      </c>
      <c r="B1131" t="s">
        <v>12</v>
      </c>
    </row>
    <row r="1132" spans="1:3" x14ac:dyDescent="0.25">
      <c r="A1132">
        <v>11423451</v>
      </c>
      <c r="B1132" t="s">
        <v>12</v>
      </c>
    </row>
    <row r="1133" spans="1:3" x14ac:dyDescent="0.25">
      <c r="A1133">
        <v>11407769</v>
      </c>
      <c r="B1133" t="s">
        <v>12</v>
      </c>
    </row>
    <row r="1134" spans="1:3" x14ac:dyDescent="0.25">
      <c r="A1134">
        <v>11397158</v>
      </c>
      <c r="B1134" t="s">
        <v>12</v>
      </c>
    </row>
    <row r="1135" spans="1:3" x14ac:dyDescent="0.25">
      <c r="A1135">
        <v>11380905</v>
      </c>
      <c r="B1135" t="s">
        <v>12</v>
      </c>
    </row>
    <row r="1136" spans="1:3" x14ac:dyDescent="0.25">
      <c r="A1136">
        <v>11317324</v>
      </c>
      <c r="B1136" t="s">
        <v>12</v>
      </c>
    </row>
    <row r="1137" spans="1:3" x14ac:dyDescent="0.25">
      <c r="A1137">
        <v>11548967</v>
      </c>
      <c r="B1137" t="s">
        <v>12</v>
      </c>
    </row>
    <row r="1138" spans="1:3" x14ac:dyDescent="0.25">
      <c r="A1138">
        <v>10919516</v>
      </c>
      <c r="B1138" t="s">
        <v>12</v>
      </c>
    </row>
    <row r="1139" spans="1:3" x14ac:dyDescent="0.25">
      <c r="A1139">
        <v>11406938</v>
      </c>
      <c r="B1139" t="s">
        <v>7</v>
      </c>
      <c r="C1139" t="s">
        <v>6</v>
      </c>
    </row>
    <row r="1140" spans="1:3" x14ac:dyDescent="0.25">
      <c r="A1140">
        <v>10666026</v>
      </c>
      <c r="B1140" t="s">
        <v>11</v>
      </c>
      <c r="C1140" t="s">
        <v>29</v>
      </c>
    </row>
    <row r="1141" spans="1:3" x14ac:dyDescent="0.25">
      <c r="A1141">
        <v>10666094</v>
      </c>
      <c r="B1141" t="s">
        <v>11</v>
      </c>
      <c r="C1141" t="s">
        <v>29</v>
      </c>
    </row>
    <row r="1142" spans="1:3" x14ac:dyDescent="0.25">
      <c r="A1142">
        <v>10761673</v>
      </c>
      <c r="B1142" t="s">
        <v>11</v>
      </c>
      <c r="C1142" t="s">
        <v>10</v>
      </c>
    </row>
    <row r="1143" spans="1:3" x14ac:dyDescent="0.25">
      <c r="A1143">
        <v>11370962</v>
      </c>
      <c r="B1143" t="s">
        <v>7</v>
      </c>
      <c r="C1143" t="s">
        <v>6</v>
      </c>
    </row>
    <row r="1144" spans="1:3" x14ac:dyDescent="0.25">
      <c r="A1144">
        <v>11364557</v>
      </c>
      <c r="B1144" t="s">
        <v>7</v>
      </c>
      <c r="C1144" t="s">
        <v>6</v>
      </c>
    </row>
    <row r="1145" spans="1:3" x14ac:dyDescent="0.25">
      <c r="A1145">
        <v>11365608</v>
      </c>
      <c r="B1145" t="s">
        <v>7</v>
      </c>
      <c r="C1145" t="s">
        <v>6</v>
      </c>
    </row>
    <row r="1146" spans="1:3" x14ac:dyDescent="0.25">
      <c r="A1146">
        <v>11372285</v>
      </c>
      <c r="B1146" t="s">
        <v>7</v>
      </c>
      <c r="C1146" t="s">
        <v>6</v>
      </c>
    </row>
    <row r="1147" spans="1:3" x14ac:dyDescent="0.25">
      <c r="A1147">
        <v>11966001</v>
      </c>
      <c r="B1147" t="s">
        <v>12</v>
      </c>
    </row>
    <row r="1148" spans="1:3" x14ac:dyDescent="0.25">
      <c r="A1148">
        <v>11602385</v>
      </c>
      <c r="B1148" t="s">
        <v>12</v>
      </c>
    </row>
    <row r="1149" spans="1:3" x14ac:dyDescent="0.25">
      <c r="A1149">
        <v>11631665</v>
      </c>
      <c r="B1149" t="s">
        <v>12</v>
      </c>
    </row>
    <row r="1150" spans="1:3" x14ac:dyDescent="0.25">
      <c r="A1150">
        <v>11634432</v>
      </c>
      <c r="B1150" t="s">
        <v>12</v>
      </c>
    </row>
    <row r="1151" spans="1:3" x14ac:dyDescent="0.25">
      <c r="A1151">
        <v>11584967</v>
      </c>
      <c r="B1151" t="s">
        <v>12</v>
      </c>
    </row>
    <row r="1152" spans="1:3" x14ac:dyDescent="0.25">
      <c r="A1152">
        <v>11532929</v>
      </c>
      <c r="B1152" t="s">
        <v>12</v>
      </c>
    </row>
    <row r="1153" spans="1:3" x14ac:dyDescent="0.25">
      <c r="A1153">
        <v>11371194</v>
      </c>
      <c r="B1153" t="s">
        <v>12</v>
      </c>
    </row>
    <row r="1154" spans="1:3" x14ac:dyDescent="0.25">
      <c r="A1154">
        <v>11374054</v>
      </c>
      <c r="B1154" t="s">
        <v>12</v>
      </c>
    </row>
    <row r="1155" spans="1:3" x14ac:dyDescent="0.25">
      <c r="A1155">
        <v>11280510</v>
      </c>
      <c r="B1155" t="s">
        <v>12</v>
      </c>
    </row>
    <row r="1156" spans="1:3" x14ac:dyDescent="0.25">
      <c r="A1156">
        <v>11266691</v>
      </c>
      <c r="B1156" t="s">
        <v>12</v>
      </c>
    </row>
    <row r="1157" spans="1:3" x14ac:dyDescent="0.25">
      <c r="A1157">
        <v>10781923</v>
      </c>
      <c r="B1157" t="s">
        <v>12</v>
      </c>
    </row>
    <row r="1158" spans="1:3" x14ac:dyDescent="0.25">
      <c r="A1158">
        <v>10802554</v>
      </c>
      <c r="B1158" t="s">
        <v>12</v>
      </c>
    </row>
    <row r="1159" spans="1:3" x14ac:dyDescent="0.25">
      <c r="A1159">
        <v>10860208</v>
      </c>
      <c r="B1159" t="s">
        <v>12</v>
      </c>
    </row>
    <row r="1160" spans="1:3" x14ac:dyDescent="0.25">
      <c r="A1160">
        <v>10868752</v>
      </c>
      <c r="B1160" t="s">
        <v>12</v>
      </c>
    </row>
    <row r="1161" spans="1:3" x14ac:dyDescent="0.25">
      <c r="A1161">
        <v>10929665</v>
      </c>
      <c r="B1161" t="s">
        <v>9</v>
      </c>
      <c r="C1161" t="s">
        <v>8</v>
      </c>
    </row>
    <row r="1162" spans="1:3" x14ac:dyDescent="0.25">
      <c r="A1162">
        <v>10714150</v>
      </c>
      <c r="B1162" t="s">
        <v>9</v>
      </c>
      <c r="C1162" t="s">
        <v>8</v>
      </c>
    </row>
    <row r="1163" spans="1:3" x14ac:dyDescent="0.25">
      <c r="A1163">
        <v>10680002</v>
      </c>
      <c r="B1163" t="s">
        <v>9</v>
      </c>
      <c r="C1163" t="s">
        <v>8</v>
      </c>
    </row>
    <row r="1164" spans="1:3" x14ac:dyDescent="0.25">
      <c r="A1164">
        <v>10680115</v>
      </c>
      <c r="B1164" t="s">
        <v>9</v>
      </c>
      <c r="C1164" t="s">
        <v>8</v>
      </c>
    </row>
    <row r="1165" spans="1:3" x14ac:dyDescent="0.25">
      <c r="A1165">
        <v>11863999</v>
      </c>
      <c r="B1165" t="s">
        <v>12</v>
      </c>
    </row>
    <row r="1166" spans="1:3" x14ac:dyDescent="0.25">
      <c r="A1166">
        <v>11876754</v>
      </c>
      <c r="B1166" t="s">
        <v>12</v>
      </c>
    </row>
    <row r="1167" spans="1:3" x14ac:dyDescent="0.25">
      <c r="A1167">
        <v>11386795</v>
      </c>
      <c r="B1167" t="s">
        <v>12</v>
      </c>
    </row>
    <row r="1168" spans="1:3" x14ac:dyDescent="0.25">
      <c r="A1168">
        <v>11523849</v>
      </c>
      <c r="B1168" t="s">
        <v>12</v>
      </c>
    </row>
    <row r="1169" spans="1:3" x14ac:dyDescent="0.25">
      <c r="A1169">
        <v>11450806</v>
      </c>
      <c r="B1169" t="s">
        <v>12</v>
      </c>
    </row>
    <row r="1170" spans="1:3" x14ac:dyDescent="0.25">
      <c r="A1170">
        <v>11001197</v>
      </c>
      <c r="B1170" t="s">
        <v>12</v>
      </c>
    </row>
    <row r="1171" spans="1:3" x14ac:dyDescent="0.25">
      <c r="A1171">
        <v>11213616</v>
      </c>
      <c r="B1171" t="s">
        <v>12</v>
      </c>
    </row>
    <row r="1172" spans="1:3" x14ac:dyDescent="0.25">
      <c r="A1172">
        <v>10853754</v>
      </c>
      <c r="B1172" t="s">
        <v>12</v>
      </c>
    </row>
    <row r="1173" spans="1:3" x14ac:dyDescent="0.25">
      <c r="A1173">
        <v>10794410</v>
      </c>
      <c r="B1173" t="s">
        <v>12</v>
      </c>
    </row>
    <row r="1174" spans="1:3" x14ac:dyDescent="0.25">
      <c r="A1174">
        <v>10777788</v>
      </c>
      <c r="B1174" t="s">
        <v>12</v>
      </c>
    </row>
    <row r="1175" spans="1:3" x14ac:dyDescent="0.25">
      <c r="A1175">
        <v>11746277</v>
      </c>
      <c r="B1175" t="s">
        <v>9</v>
      </c>
      <c r="C1175" t="s">
        <v>8</v>
      </c>
    </row>
    <row r="1176" spans="1:3" x14ac:dyDescent="0.25">
      <c r="A1176">
        <v>11746703</v>
      </c>
      <c r="B1176" t="s">
        <v>9</v>
      </c>
      <c r="C1176" t="s">
        <v>8</v>
      </c>
    </row>
    <row r="1177" spans="1:3" x14ac:dyDescent="0.25">
      <c r="A1177">
        <v>11708222</v>
      </c>
      <c r="B1177" t="s">
        <v>9</v>
      </c>
      <c r="C1177" t="s">
        <v>8</v>
      </c>
    </row>
    <row r="1178" spans="1:3" x14ac:dyDescent="0.25">
      <c r="A1178">
        <v>11823878</v>
      </c>
      <c r="B1178" t="s">
        <v>9</v>
      </c>
      <c r="C1178" t="s">
        <v>8</v>
      </c>
    </row>
    <row r="1179" spans="1:3" x14ac:dyDescent="0.25">
      <c r="A1179">
        <v>11825217</v>
      </c>
      <c r="B1179" t="s">
        <v>9</v>
      </c>
      <c r="C1179" t="s">
        <v>8</v>
      </c>
    </row>
    <row r="1180" spans="1:3" x14ac:dyDescent="0.25">
      <c r="A1180">
        <v>11644925</v>
      </c>
      <c r="B1180" t="s">
        <v>9</v>
      </c>
    </row>
    <row r="1181" spans="1:3" x14ac:dyDescent="0.25">
      <c r="A1181">
        <v>11658815</v>
      </c>
      <c r="B1181" t="s">
        <v>9</v>
      </c>
    </row>
    <row r="1182" spans="1:3" x14ac:dyDescent="0.25">
      <c r="A1182">
        <v>11516321</v>
      </c>
      <c r="B1182" t="s">
        <v>9</v>
      </c>
    </row>
    <row r="1183" spans="1:3" x14ac:dyDescent="0.25">
      <c r="A1183">
        <v>11948603</v>
      </c>
      <c r="B1183" t="s">
        <v>20</v>
      </c>
    </row>
    <row r="1184" spans="1:3" x14ac:dyDescent="0.25">
      <c r="A1184">
        <v>11953784</v>
      </c>
      <c r="B1184" t="s">
        <v>9</v>
      </c>
    </row>
    <row r="1185" spans="1:3" x14ac:dyDescent="0.25">
      <c r="A1185">
        <v>11772314</v>
      </c>
      <c r="B1185" t="s">
        <v>9</v>
      </c>
    </row>
    <row r="1186" spans="1:3" x14ac:dyDescent="0.25">
      <c r="A1186">
        <v>11742873</v>
      </c>
      <c r="B1186" t="s">
        <v>9</v>
      </c>
    </row>
    <row r="1187" spans="1:3" x14ac:dyDescent="0.25">
      <c r="A1187">
        <v>11700307</v>
      </c>
      <c r="B1187" t="s">
        <v>9</v>
      </c>
      <c r="C1187" t="s">
        <v>8</v>
      </c>
    </row>
    <row r="1188" spans="1:3" x14ac:dyDescent="0.25">
      <c r="A1188">
        <v>11709120</v>
      </c>
      <c r="B1188" t="s">
        <v>9</v>
      </c>
      <c r="C1188" t="s">
        <v>8</v>
      </c>
    </row>
    <row r="1189" spans="1:3" x14ac:dyDescent="0.25">
      <c r="A1189">
        <v>11709795</v>
      </c>
      <c r="B1189" t="s">
        <v>9</v>
      </c>
      <c r="C1189" t="s">
        <v>8</v>
      </c>
    </row>
    <row r="1190" spans="1:3" x14ac:dyDescent="0.25">
      <c r="A1190">
        <v>11395137</v>
      </c>
      <c r="B1190" t="s">
        <v>7</v>
      </c>
      <c r="C1190" t="s">
        <v>6</v>
      </c>
    </row>
    <row r="1191" spans="1:3" x14ac:dyDescent="0.25">
      <c r="A1191">
        <v>11395185</v>
      </c>
      <c r="B1191" t="s">
        <v>7</v>
      </c>
      <c r="C1191" t="s">
        <v>6</v>
      </c>
    </row>
    <row r="1192" spans="1:3" x14ac:dyDescent="0.25">
      <c r="A1192">
        <v>11398767</v>
      </c>
      <c r="B1192" t="s">
        <v>7</v>
      </c>
      <c r="C1192" t="s">
        <v>6</v>
      </c>
    </row>
    <row r="1193" spans="1:3" x14ac:dyDescent="0.25">
      <c r="A1193">
        <v>11399132</v>
      </c>
      <c r="B1193" t="s">
        <v>7</v>
      </c>
      <c r="C1193" t="s">
        <v>6</v>
      </c>
    </row>
    <row r="1194" spans="1:3" x14ac:dyDescent="0.25">
      <c r="A1194">
        <v>11396122</v>
      </c>
      <c r="B1194" t="s">
        <v>7</v>
      </c>
      <c r="C1194" t="s">
        <v>6</v>
      </c>
    </row>
    <row r="1195" spans="1:3" x14ac:dyDescent="0.25">
      <c r="A1195">
        <v>11394238</v>
      </c>
      <c r="B1195" t="s">
        <v>7</v>
      </c>
      <c r="C1195" t="s">
        <v>6</v>
      </c>
    </row>
    <row r="1196" spans="1:3" x14ac:dyDescent="0.25">
      <c r="A1196">
        <v>11382898</v>
      </c>
      <c r="B1196" t="s">
        <v>7</v>
      </c>
      <c r="C1196" t="s">
        <v>6</v>
      </c>
    </row>
    <row r="1197" spans="1:3" x14ac:dyDescent="0.25">
      <c r="A1197">
        <v>11382846</v>
      </c>
      <c r="B1197" t="s">
        <v>7</v>
      </c>
      <c r="C1197" t="s">
        <v>6</v>
      </c>
    </row>
    <row r="1198" spans="1:3" x14ac:dyDescent="0.25">
      <c r="A1198">
        <v>11378858</v>
      </c>
      <c r="B1198" t="s">
        <v>7</v>
      </c>
      <c r="C1198" t="s">
        <v>6</v>
      </c>
    </row>
    <row r="1199" spans="1:3" x14ac:dyDescent="0.25">
      <c r="A1199">
        <v>11382113</v>
      </c>
      <c r="B1199" t="s">
        <v>7</v>
      </c>
      <c r="C1199" t="s">
        <v>6</v>
      </c>
    </row>
    <row r="1200" spans="1:3" x14ac:dyDescent="0.25">
      <c r="A1200">
        <v>11382242</v>
      </c>
      <c r="B1200" t="s">
        <v>7</v>
      </c>
      <c r="C1200" t="s">
        <v>6</v>
      </c>
    </row>
    <row r="1201" spans="1:3" x14ac:dyDescent="0.25">
      <c r="A1201">
        <v>11359909</v>
      </c>
      <c r="B1201" t="s">
        <v>7</v>
      </c>
      <c r="C1201" t="s">
        <v>6</v>
      </c>
    </row>
    <row r="1202" spans="1:3" x14ac:dyDescent="0.25">
      <c r="A1202">
        <v>11358113</v>
      </c>
      <c r="B1202" t="s">
        <v>7</v>
      </c>
      <c r="C1202" t="s">
        <v>6</v>
      </c>
    </row>
    <row r="1203" spans="1:3" x14ac:dyDescent="0.25">
      <c r="A1203">
        <v>11347949</v>
      </c>
      <c r="B1203" t="s">
        <v>7</v>
      </c>
      <c r="C1203" t="s">
        <v>6</v>
      </c>
    </row>
    <row r="1204" spans="1:3" x14ac:dyDescent="0.25">
      <c r="A1204">
        <v>11348439</v>
      </c>
      <c r="B1204" t="s">
        <v>7</v>
      </c>
      <c r="C1204" t="s">
        <v>6</v>
      </c>
    </row>
    <row r="1205" spans="1:3" x14ac:dyDescent="0.25">
      <c r="A1205">
        <v>11375162</v>
      </c>
      <c r="B1205" t="s">
        <v>7</v>
      </c>
      <c r="C1205" t="s">
        <v>6</v>
      </c>
    </row>
    <row r="1206" spans="1:3" x14ac:dyDescent="0.25">
      <c r="A1206">
        <v>11371200</v>
      </c>
      <c r="B1206" t="s">
        <v>7</v>
      </c>
      <c r="C1206" t="s">
        <v>6</v>
      </c>
    </row>
    <row r="1207" spans="1:3" x14ac:dyDescent="0.25">
      <c r="A1207">
        <v>11371220</v>
      </c>
      <c r="B1207" t="s">
        <v>7</v>
      </c>
      <c r="C1207" t="s">
        <v>6</v>
      </c>
    </row>
    <row r="1208" spans="1:3" x14ac:dyDescent="0.25">
      <c r="A1208">
        <v>11371133</v>
      </c>
      <c r="B1208" t="s">
        <v>7</v>
      </c>
      <c r="C1208" t="s">
        <v>6</v>
      </c>
    </row>
    <row r="1209" spans="1:3" x14ac:dyDescent="0.25">
      <c r="A1209">
        <v>11370871</v>
      </c>
      <c r="B1209" t="s">
        <v>7</v>
      </c>
      <c r="C1209" t="s">
        <v>6</v>
      </c>
    </row>
    <row r="1210" spans="1:3" x14ac:dyDescent="0.25">
      <c r="A1210">
        <v>11941024</v>
      </c>
      <c r="B1210" t="s">
        <v>28</v>
      </c>
      <c r="C1210" t="s">
        <v>27</v>
      </c>
    </row>
    <row r="1211" spans="1:3" x14ac:dyDescent="0.25">
      <c r="A1211">
        <v>11577236</v>
      </c>
      <c r="B1211" t="s">
        <v>7</v>
      </c>
      <c r="C1211" t="s">
        <v>6</v>
      </c>
    </row>
    <row r="1212" spans="1:3" x14ac:dyDescent="0.25">
      <c r="A1212">
        <v>11578205</v>
      </c>
      <c r="B1212" t="s">
        <v>7</v>
      </c>
      <c r="C1212" t="s">
        <v>6</v>
      </c>
    </row>
    <row r="1213" spans="1:3" x14ac:dyDescent="0.25">
      <c r="A1213">
        <v>11657292</v>
      </c>
      <c r="B1213" t="s">
        <v>9</v>
      </c>
    </row>
    <row r="1214" spans="1:3" x14ac:dyDescent="0.25">
      <c r="A1214">
        <v>11826426</v>
      </c>
      <c r="B1214" t="s">
        <v>9</v>
      </c>
    </row>
    <row r="1215" spans="1:3" x14ac:dyDescent="0.25">
      <c r="A1215">
        <v>11543455</v>
      </c>
      <c r="B1215" t="s">
        <v>7</v>
      </c>
      <c r="C1215" t="s">
        <v>6</v>
      </c>
    </row>
    <row r="1216" spans="1:3" x14ac:dyDescent="0.25">
      <c r="A1216">
        <v>11407479</v>
      </c>
      <c r="B1216" t="s">
        <v>7</v>
      </c>
      <c r="C1216" t="s">
        <v>6</v>
      </c>
    </row>
    <row r="1217" spans="1:3" x14ac:dyDescent="0.25">
      <c r="A1217">
        <v>11550494</v>
      </c>
      <c r="B1217" t="s">
        <v>7</v>
      </c>
      <c r="C1217" t="s">
        <v>6</v>
      </c>
    </row>
    <row r="1218" spans="1:3" x14ac:dyDescent="0.25">
      <c r="A1218">
        <v>11544084</v>
      </c>
      <c r="B1218" t="s">
        <v>7</v>
      </c>
      <c r="C1218" t="s">
        <v>6</v>
      </c>
    </row>
    <row r="1219" spans="1:3" x14ac:dyDescent="0.25">
      <c r="A1219">
        <v>11982710</v>
      </c>
      <c r="B1219" t="s">
        <v>9</v>
      </c>
      <c r="C1219" t="s">
        <v>8</v>
      </c>
    </row>
    <row r="1220" spans="1:3" x14ac:dyDescent="0.25">
      <c r="A1220">
        <v>11976488</v>
      </c>
      <c r="B1220" t="s">
        <v>9</v>
      </c>
      <c r="C1220" t="s">
        <v>8</v>
      </c>
    </row>
    <row r="1221" spans="1:3" x14ac:dyDescent="0.25">
      <c r="A1221">
        <v>11931087</v>
      </c>
      <c r="B1221" t="s">
        <v>9</v>
      </c>
      <c r="C1221" t="s">
        <v>8</v>
      </c>
    </row>
    <row r="1222" spans="1:3" x14ac:dyDescent="0.25">
      <c r="A1222">
        <v>12004346</v>
      </c>
      <c r="B1222" t="s">
        <v>9</v>
      </c>
      <c r="C1222" t="s">
        <v>8</v>
      </c>
    </row>
    <row r="1223" spans="1:3" x14ac:dyDescent="0.25">
      <c r="A1223">
        <v>12018137</v>
      </c>
      <c r="B1223" t="s">
        <v>9</v>
      </c>
      <c r="C1223" t="s">
        <v>8</v>
      </c>
    </row>
    <row r="1224" spans="1:3" x14ac:dyDescent="0.25">
      <c r="A1224">
        <v>12018983</v>
      </c>
      <c r="B1224" t="s">
        <v>9</v>
      </c>
      <c r="C1224" t="s">
        <v>8</v>
      </c>
    </row>
    <row r="1225" spans="1:3" x14ac:dyDescent="0.25">
      <c r="A1225">
        <v>12020431</v>
      </c>
      <c r="B1225" t="s">
        <v>9</v>
      </c>
      <c r="C1225" t="s">
        <v>8</v>
      </c>
    </row>
    <row r="1226" spans="1:3" x14ac:dyDescent="0.25">
      <c r="A1226">
        <v>11881041</v>
      </c>
      <c r="B1226" t="s">
        <v>9</v>
      </c>
      <c r="C1226" t="s">
        <v>8</v>
      </c>
    </row>
    <row r="1227" spans="1:3" x14ac:dyDescent="0.25">
      <c r="A1227">
        <v>11871687</v>
      </c>
      <c r="B1227" t="s">
        <v>9</v>
      </c>
      <c r="C1227" t="s">
        <v>8</v>
      </c>
    </row>
    <row r="1228" spans="1:3" x14ac:dyDescent="0.25">
      <c r="A1228">
        <v>11875334</v>
      </c>
      <c r="B1228" t="s">
        <v>9</v>
      </c>
      <c r="C1228" t="s">
        <v>8</v>
      </c>
    </row>
    <row r="1229" spans="1:3" x14ac:dyDescent="0.25">
      <c r="A1229">
        <v>11867063</v>
      </c>
      <c r="B1229" t="s">
        <v>9</v>
      </c>
      <c r="C1229" t="s">
        <v>8</v>
      </c>
    </row>
    <row r="1230" spans="1:3" x14ac:dyDescent="0.25">
      <c r="A1230">
        <v>11856564</v>
      </c>
      <c r="B1230" t="s">
        <v>9</v>
      </c>
      <c r="C1230" t="s">
        <v>8</v>
      </c>
    </row>
    <row r="1231" spans="1:3" x14ac:dyDescent="0.25">
      <c r="A1231">
        <v>11854163</v>
      </c>
      <c r="B1231" t="s">
        <v>9</v>
      </c>
      <c r="C1231" t="s">
        <v>8</v>
      </c>
    </row>
    <row r="1232" spans="1:3" x14ac:dyDescent="0.25">
      <c r="A1232">
        <v>11855844</v>
      </c>
      <c r="B1232" t="s">
        <v>9</v>
      </c>
      <c r="C1232" t="s">
        <v>8</v>
      </c>
    </row>
    <row r="1233" spans="1:3" x14ac:dyDescent="0.25">
      <c r="A1233">
        <v>11847974</v>
      </c>
      <c r="B1233" t="s">
        <v>9</v>
      </c>
      <c r="C1233" t="s">
        <v>8</v>
      </c>
    </row>
    <row r="1234" spans="1:3" x14ac:dyDescent="0.25">
      <c r="A1234">
        <v>11858379</v>
      </c>
      <c r="B1234" t="s">
        <v>9</v>
      </c>
      <c r="C1234" t="s">
        <v>8</v>
      </c>
    </row>
    <row r="1235" spans="1:3" x14ac:dyDescent="0.25">
      <c r="A1235">
        <v>11859733</v>
      </c>
      <c r="B1235" t="s">
        <v>9</v>
      </c>
      <c r="C1235" t="s">
        <v>8</v>
      </c>
    </row>
    <row r="1236" spans="1:3" x14ac:dyDescent="0.25">
      <c r="A1236">
        <v>11860061</v>
      </c>
      <c r="B1236" t="s">
        <v>9</v>
      </c>
      <c r="C1236" t="s">
        <v>8</v>
      </c>
    </row>
    <row r="1237" spans="1:3" x14ac:dyDescent="0.25">
      <c r="A1237">
        <v>11940984</v>
      </c>
      <c r="B1237" t="s">
        <v>9</v>
      </c>
      <c r="C1237" t="s">
        <v>8</v>
      </c>
    </row>
    <row r="1238" spans="1:3" x14ac:dyDescent="0.25">
      <c r="A1238">
        <v>11969014</v>
      </c>
      <c r="B1238" t="s">
        <v>9</v>
      </c>
      <c r="C1238" t="s">
        <v>8</v>
      </c>
    </row>
    <row r="1239" spans="1:3" x14ac:dyDescent="0.25">
      <c r="A1239">
        <v>11935021</v>
      </c>
      <c r="B1239" t="s">
        <v>9</v>
      </c>
      <c r="C1239" t="s">
        <v>8</v>
      </c>
    </row>
    <row r="1240" spans="1:3" x14ac:dyDescent="0.25">
      <c r="A1240">
        <v>11890485</v>
      </c>
      <c r="B1240" t="s">
        <v>9</v>
      </c>
      <c r="C1240" t="s">
        <v>8</v>
      </c>
    </row>
    <row r="1241" spans="1:3" x14ac:dyDescent="0.25">
      <c r="A1241">
        <v>11896728</v>
      </c>
      <c r="B1241" t="s">
        <v>9</v>
      </c>
      <c r="C1241" t="s">
        <v>8</v>
      </c>
    </row>
    <row r="1242" spans="1:3" x14ac:dyDescent="0.25">
      <c r="A1242">
        <v>10622111</v>
      </c>
      <c r="B1242" t="s">
        <v>9</v>
      </c>
      <c r="C1242" t="s">
        <v>8</v>
      </c>
    </row>
    <row r="1243" spans="1:3" x14ac:dyDescent="0.25">
      <c r="A1243">
        <v>10622978</v>
      </c>
      <c r="B1243" t="s">
        <v>9</v>
      </c>
      <c r="C1243" t="s">
        <v>8</v>
      </c>
    </row>
    <row r="1244" spans="1:3" x14ac:dyDescent="0.25">
      <c r="A1244">
        <v>11278889</v>
      </c>
      <c r="B1244" t="s">
        <v>12</v>
      </c>
    </row>
    <row r="1245" spans="1:3" x14ac:dyDescent="0.25">
      <c r="A1245">
        <v>10624293</v>
      </c>
      <c r="B1245" t="s">
        <v>12</v>
      </c>
    </row>
    <row r="1246" spans="1:3" x14ac:dyDescent="0.25">
      <c r="A1246">
        <v>10784165</v>
      </c>
      <c r="B1246" t="s">
        <v>12</v>
      </c>
    </row>
    <row r="1247" spans="1:3" x14ac:dyDescent="0.25">
      <c r="A1247">
        <v>10826344</v>
      </c>
      <c r="B1247" t="s">
        <v>12</v>
      </c>
    </row>
    <row r="1248" spans="1:3" x14ac:dyDescent="0.25">
      <c r="A1248">
        <v>10891671</v>
      </c>
      <c r="B1248" t="s">
        <v>12</v>
      </c>
    </row>
    <row r="1249" spans="1:3" x14ac:dyDescent="0.25">
      <c r="A1249">
        <v>10771717</v>
      </c>
      <c r="B1249" t="s">
        <v>12</v>
      </c>
    </row>
    <row r="1250" spans="1:3" x14ac:dyDescent="0.25">
      <c r="A1250">
        <v>10856961</v>
      </c>
      <c r="B1250" t="s">
        <v>12</v>
      </c>
    </row>
    <row r="1251" spans="1:3" x14ac:dyDescent="0.25">
      <c r="A1251">
        <v>10809399</v>
      </c>
      <c r="B1251" t="s">
        <v>12</v>
      </c>
    </row>
    <row r="1252" spans="1:3" x14ac:dyDescent="0.25">
      <c r="A1252">
        <v>10930570</v>
      </c>
      <c r="B1252" t="s">
        <v>12</v>
      </c>
    </row>
    <row r="1253" spans="1:3" x14ac:dyDescent="0.25">
      <c r="A1253">
        <v>11330058</v>
      </c>
      <c r="B1253" t="s">
        <v>12</v>
      </c>
    </row>
    <row r="1254" spans="1:3" x14ac:dyDescent="0.25">
      <c r="A1254">
        <v>11335476</v>
      </c>
      <c r="B1254" t="s">
        <v>12</v>
      </c>
    </row>
    <row r="1255" spans="1:3" x14ac:dyDescent="0.25">
      <c r="A1255">
        <v>10858064</v>
      </c>
      <c r="B1255" t="s">
        <v>12</v>
      </c>
    </row>
    <row r="1256" spans="1:3" x14ac:dyDescent="0.25">
      <c r="A1256">
        <v>10589068</v>
      </c>
      <c r="B1256" t="s">
        <v>12</v>
      </c>
    </row>
    <row r="1257" spans="1:3" x14ac:dyDescent="0.25">
      <c r="A1257">
        <v>10911101</v>
      </c>
      <c r="B1257" t="s">
        <v>26</v>
      </c>
    </row>
    <row r="1258" spans="1:3" x14ac:dyDescent="0.25">
      <c r="A1258">
        <v>10580104</v>
      </c>
      <c r="B1258" t="s">
        <v>12</v>
      </c>
    </row>
    <row r="1259" spans="1:3" x14ac:dyDescent="0.25">
      <c r="A1259">
        <v>10814812</v>
      </c>
      <c r="B1259" t="s">
        <v>12</v>
      </c>
    </row>
    <row r="1260" spans="1:3" x14ac:dyDescent="0.25">
      <c r="A1260">
        <v>11574752</v>
      </c>
      <c r="B1260" t="s">
        <v>7</v>
      </c>
      <c r="C1260" t="s">
        <v>6</v>
      </c>
    </row>
    <row r="1261" spans="1:3" x14ac:dyDescent="0.25">
      <c r="A1261">
        <v>11559500</v>
      </c>
      <c r="B1261" t="s">
        <v>7</v>
      </c>
      <c r="C1261" t="s">
        <v>6</v>
      </c>
    </row>
    <row r="1262" spans="1:3" x14ac:dyDescent="0.25">
      <c r="A1262">
        <v>10751276</v>
      </c>
      <c r="B1262" t="s">
        <v>12</v>
      </c>
    </row>
    <row r="1263" spans="1:3" x14ac:dyDescent="0.25">
      <c r="A1263">
        <v>10752917</v>
      </c>
      <c r="B1263" t="s">
        <v>12</v>
      </c>
    </row>
    <row r="1264" spans="1:3" x14ac:dyDescent="0.25">
      <c r="A1264">
        <v>10757947</v>
      </c>
      <c r="B1264" t="s">
        <v>12</v>
      </c>
    </row>
    <row r="1265" spans="1:2" x14ac:dyDescent="0.25">
      <c r="A1265">
        <v>10781274</v>
      </c>
      <c r="B1265" t="s">
        <v>12</v>
      </c>
    </row>
    <row r="1266" spans="1:2" x14ac:dyDescent="0.25">
      <c r="A1266">
        <v>10781643</v>
      </c>
      <c r="B1266" t="s">
        <v>12</v>
      </c>
    </row>
    <row r="1267" spans="1:2" x14ac:dyDescent="0.25">
      <c r="A1267">
        <v>10782861</v>
      </c>
      <c r="B1267" t="s">
        <v>12</v>
      </c>
    </row>
    <row r="1268" spans="1:2" x14ac:dyDescent="0.25">
      <c r="A1268">
        <v>10786926</v>
      </c>
      <c r="B1268" t="s">
        <v>12</v>
      </c>
    </row>
    <row r="1269" spans="1:2" x14ac:dyDescent="0.25">
      <c r="A1269">
        <v>10722252</v>
      </c>
      <c r="B1269" t="s">
        <v>12</v>
      </c>
    </row>
    <row r="1270" spans="1:2" x14ac:dyDescent="0.25">
      <c r="A1270">
        <v>10723815</v>
      </c>
      <c r="B1270" t="s">
        <v>12</v>
      </c>
    </row>
    <row r="1271" spans="1:2" x14ac:dyDescent="0.25">
      <c r="A1271">
        <v>10719809</v>
      </c>
      <c r="B1271" t="s">
        <v>12</v>
      </c>
    </row>
    <row r="1272" spans="1:2" x14ac:dyDescent="0.25">
      <c r="A1272">
        <v>12019900</v>
      </c>
      <c r="B1272" t="s">
        <v>12</v>
      </c>
    </row>
    <row r="1273" spans="1:2" x14ac:dyDescent="0.25">
      <c r="A1273">
        <v>11960138</v>
      </c>
      <c r="B1273" t="s">
        <v>12</v>
      </c>
    </row>
    <row r="1274" spans="1:2" x14ac:dyDescent="0.25">
      <c r="A1274">
        <v>10732335</v>
      </c>
      <c r="B1274" t="s">
        <v>12</v>
      </c>
    </row>
    <row r="1275" spans="1:2" x14ac:dyDescent="0.25">
      <c r="A1275">
        <v>10737764</v>
      </c>
      <c r="B1275" t="s">
        <v>12</v>
      </c>
    </row>
    <row r="1276" spans="1:2" x14ac:dyDescent="0.25">
      <c r="A1276">
        <v>10676307</v>
      </c>
      <c r="B1276" t="s">
        <v>12</v>
      </c>
    </row>
    <row r="1277" spans="1:2" x14ac:dyDescent="0.25">
      <c r="A1277">
        <v>10695587</v>
      </c>
      <c r="B1277" t="s">
        <v>12</v>
      </c>
    </row>
    <row r="1278" spans="1:2" x14ac:dyDescent="0.25">
      <c r="A1278">
        <v>10700912</v>
      </c>
      <c r="B1278" t="s">
        <v>12</v>
      </c>
    </row>
    <row r="1279" spans="1:2" x14ac:dyDescent="0.25">
      <c r="A1279">
        <v>10676861</v>
      </c>
      <c r="B1279" t="s">
        <v>12</v>
      </c>
    </row>
    <row r="1280" spans="1:2" x14ac:dyDescent="0.25">
      <c r="A1280">
        <v>10847743</v>
      </c>
      <c r="B1280" t="s">
        <v>12</v>
      </c>
    </row>
    <row r="1281" spans="1:2" x14ac:dyDescent="0.25">
      <c r="A1281">
        <v>10853573</v>
      </c>
      <c r="B1281" t="s">
        <v>12</v>
      </c>
    </row>
    <row r="1282" spans="1:2" x14ac:dyDescent="0.25">
      <c r="A1282">
        <v>10875908</v>
      </c>
      <c r="B1282" t="s">
        <v>12</v>
      </c>
    </row>
    <row r="1283" spans="1:2" x14ac:dyDescent="0.25">
      <c r="A1283">
        <v>10869984</v>
      </c>
      <c r="B1283" t="s">
        <v>12</v>
      </c>
    </row>
    <row r="1284" spans="1:2" x14ac:dyDescent="0.25">
      <c r="A1284">
        <v>10867135</v>
      </c>
      <c r="B1284" t="s">
        <v>12</v>
      </c>
    </row>
    <row r="1285" spans="1:2" x14ac:dyDescent="0.25">
      <c r="A1285">
        <v>10869376</v>
      </c>
      <c r="B1285" t="s">
        <v>12</v>
      </c>
    </row>
    <row r="1286" spans="1:2" x14ac:dyDescent="0.25">
      <c r="A1286">
        <v>10900229</v>
      </c>
      <c r="B1286" t="s">
        <v>12</v>
      </c>
    </row>
    <row r="1287" spans="1:2" x14ac:dyDescent="0.25">
      <c r="A1287">
        <v>10902238</v>
      </c>
      <c r="B1287" t="s">
        <v>12</v>
      </c>
    </row>
    <row r="1288" spans="1:2" x14ac:dyDescent="0.25">
      <c r="A1288">
        <v>10919312</v>
      </c>
      <c r="B1288" t="s">
        <v>12</v>
      </c>
    </row>
    <row r="1289" spans="1:2" x14ac:dyDescent="0.25">
      <c r="A1289">
        <v>10919700</v>
      </c>
      <c r="B1289" t="s">
        <v>12</v>
      </c>
    </row>
    <row r="1290" spans="1:2" x14ac:dyDescent="0.25">
      <c r="A1290">
        <v>10904393</v>
      </c>
      <c r="B1290" t="s">
        <v>12</v>
      </c>
    </row>
    <row r="1291" spans="1:2" x14ac:dyDescent="0.25">
      <c r="A1291">
        <v>10906514</v>
      </c>
      <c r="B1291" t="s">
        <v>12</v>
      </c>
    </row>
    <row r="1292" spans="1:2" x14ac:dyDescent="0.25">
      <c r="A1292">
        <v>10907124</v>
      </c>
      <c r="B1292" t="s">
        <v>12</v>
      </c>
    </row>
    <row r="1293" spans="1:2" x14ac:dyDescent="0.25">
      <c r="A1293">
        <v>10892348</v>
      </c>
      <c r="B1293" t="s">
        <v>12</v>
      </c>
    </row>
    <row r="1294" spans="1:2" x14ac:dyDescent="0.25">
      <c r="A1294">
        <v>10881125</v>
      </c>
      <c r="B1294" t="s">
        <v>12</v>
      </c>
    </row>
    <row r="1295" spans="1:2" x14ac:dyDescent="0.25">
      <c r="A1295">
        <v>10881272</v>
      </c>
      <c r="B1295" t="s">
        <v>12</v>
      </c>
    </row>
    <row r="1296" spans="1:2" x14ac:dyDescent="0.25">
      <c r="A1296">
        <v>10881477</v>
      </c>
      <c r="B1296" t="s">
        <v>12</v>
      </c>
    </row>
    <row r="1297" spans="1:3" x14ac:dyDescent="0.25">
      <c r="A1297">
        <v>10890788</v>
      </c>
      <c r="B1297" t="s">
        <v>12</v>
      </c>
    </row>
    <row r="1298" spans="1:3" x14ac:dyDescent="0.25">
      <c r="A1298">
        <v>10891217</v>
      </c>
      <c r="B1298" t="s">
        <v>12</v>
      </c>
    </row>
    <row r="1299" spans="1:3" x14ac:dyDescent="0.25">
      <c r="A1299">
        <v>10818889</v>
      </c>
      <c r="B1299" t="s">
        <v>12</v>
      </c>
    </row>
    <row r="1300" spans="1:3" x14ac:dyDescent="0.25">
      <c r="A1300">
        <v>10819264</v>
      </c>
      <c r="B1300" t="s">
        <v>12</v>
      </c>
    </row>
    <row r="1301" spans="1:3" x14ac:dyDescent="0.25">
      <c r="A1301">
        <v>10835018</v>
      </c>
      <c r="B1301" t="s">
        <v>12</v>
      </c>
    </row>
    <row r="1302" spans="1:3" x14ac:dyDescent="0.25">
      <c r="A1302">
        <v>10835272</v>
      </c>
      <c r="B1302" t="s">
        <v>12</v>
      </c>
    </row>
    <row r="1303" spans="1:3" x14ac:dyDescent="0.25">
      <c r="A1303">
        <v>10843941</v>
      </c>
      <c r="B1303" t="s">
        <v>12</v>
      </c>
    </row>
    <row r="1304" spans="1:3" x14ac:dyDescent="0.25">
      <c r="A1304">
        <v>10804250</v>
      </c>
      <c r="B1304" t="s">
        <v>12</v>
      </c>
    </row>
    <row r="1305" spans="1:3" x14ac:dyDescent="0.25">
      <c r="A1305">
        <v>11277930</v>
      </c>
      <c r="B1305" t="s">
        <v>26</v>
      </c>
    </row>
    <row r="1306" spans="1:3" x14ac:dyDescent="0.25">
      <c r="A1306">
        <v>11363733</v>
      </c>
      <c r="B1306" t="s">
        <v>7</v>
      </c>
      <c r="C1306" t="s">
        <v>6</v>
      </c>
    </row>
    <row r="1307" spans="1:3" x14ac:dyDescent="0.25">
      <c r="A1307">
        <v>11378708</v>
      </c>
      <c r="B1307" t="s">
        <v>7</v>
      </c>
      <c r="C1307" t="s">
        <v>6</v>
      </c>
    </row>
    <row r="1308" spans="1:3" x14ac:dyDescent="0.25">
      <c r="A1308">
        <v>11381737</v>
      </c>
      <c r="B1308" t="s">
        <v>7</v>
      </c>
      <c r="C1308" t="s">
        <v>6</v>
      </c>
    </row>
    <row r="1309" spans="1:3" x14ac:dyDescent="0.25">
      <c r="A1309">
        <v>11386198</v>
      </c>
      <c r="B1309" t="s">
        <v>7</v>
      </c>
      <c r="C1309" t="s">
        <v>6</v>
      </c>
    </row>
    <row r="1310" spans="1:3" x14ac:dyDescent="0.25">
      <c r="A1310">
        <v>11386957</v>
      </c>
      <c r="B1310" t="s">
        <v>7</v>
      </c>
      <c r="C1310" t="s">
        <v>6</v>
      </c>
    </row>
    <row r="1311" spans="1:3" x14ac:dyDescent="0.25">
      <c r="A1311">
        <v>11393433</v>
      </c>
      <c r="B1311" t="s">
        <v>7</v>
      </c>
      <c r="C1311" t="s">
        <v>6</v>
      </c>
    </row>
    <row r="1312" spans="1:3" x14ac:dyDescent="0.25">
      <c r="A1312">
        <v>11394670</v>
      </c>
      <c r="B1312" t="s">
        <v>7</v>
      </c>
      <c r="C1312" t="s">
        <v>6</v>
      </c>
    </row>
    <row r="1313" spans="1:3" x14ac:dyDescent="0.25">
      <c r="A1313">
        <v>11707158</v>
      </c>
      <c r="B1313" t="s">
        <v>9</v>
      </c>
      <c r="C1313" t="s">
        <v>8</v>
      </c>
    </row>
    <row r="1314" spans="1:3" x14ac:dyDescent="0.25">
      <c r="A1314">
        <v>11774152</v>
      </c>
      <c r="B1314" t="s">
        <v>9</v>
      </c>
      <c r="C1314" t="s">
        <v>8</v>
      </c>
    </row>
    <row r="1315" spans="1:3" x14ac:dyDescent="0.25">
      <c r="A1315">
        <v>11782560</v>
      </c>
      <c r="B1315" t="s">
        <v>9</v>
      </c>
      <c r="C1315" t="s">
        <v>8</v>
      </c>
    </row>
    <row r="1316" spans="1:3" x14ac:dyDescent="0.25">
      <c r="A1316">
        <v>11743832</v>
      </c>
      <c r="B1316" t="s">
        <v>9</v>
      </c>
      <c r="C1316" t="s">
        <v>8</v>
      </c>
    </row>
    <row r="1317" spans="1:3" x14ac:dyDescent="0.25">
      <c r="A1317">
        <v>11769641</v>
      </c>
      <c r="B1317" t="s">
        <v>9</v>
      </c>
      <c r="C1317" t="s">
        <v>8</v>
      </c>
    </row>
    <row r="1318" spans="1:3" x14ac:dyDescent="0.25">
      <c r="A1318">
        <v>11751698</v>
      </c>
      <c r="B1318" t="s">
        <v>9</v>
      </c>
      <c r="C1318" t="s">
        <v>8</v>
      </c>
    </row>
    <row r="1319" spans="1:3" x14ac:dyDescent="0.25">
      <c r="A1319">
        <v>11790582</v>
      </c>
      <c r="B1319" t="s">
        <v>9</v>
      </c>
      <c r="C1319" t="s">
        <v>8</v>
      </c>
    </row>
    <row r="1320" spans="1:3" x14ac:dyDescent="0.25">
      <c r="A1320">
        <v>11791566</v>
      </c>
      <c r="B1320" t="s">
        <v>9</v>
      </c>
      <c r="C1320" t="s">
        <v>8</v>
      </c>
    </row>
    <row r="1321" spans="1:3" x14ac:dyDescent="0.25">
      <c r="A1321">
        <v>11808710</v>
      </c>
      <c r="B1321" t="s">
        <v>9</v>
      </c>
      <c r="C1321" t="s">
        <v>8</v>
      </c>
    </row>
    <row r="1322" spans="1:3" x14ac:dyDescent="0.25">
      <c r="A1322">
        <v>11724691</v>
      </c>
      <c r="B1322" t="s">
        <v>9</v>
      </c>
      <c r="C1322" t="s">
        <v>8</v>
      </c>
    </row>
    <row r="1323" spans="1:3" x14ac:dyDescent="0.25">
      <c r="A1323">
        <v>11731181</v>
      </c>
      <c r="B1323" t="s">
        <v>9</v>
      </c>
      <c r="C1323" t="s">
        <v>8</v>
      </c>
    </row>
    <row r="1324" spans="1:3" x14ac:dyDescent="0.25">
      <c r="A1324">
        <v>11733769</v>
      </c>
      <c r="B1324" t="s">
        <v>9</v>
      </c>
      <c r="C1324" t="s">
        <v>8</v>
      </c>
    </row>
    <row r="1325" spans="1:3" x14ac:dyDescent="0.25">
      <c r="A1325">
        <v>11891688</v>
      </c>
      <c r="B1325" t="s">
        <v>9</v>
      </c>
      <c r="C1325" t="s">
        <v>8</v>
      </c>
    </row>
    <row r="1326" spans="1:3" x14ac:dyDescent="0.25">
      <c r="A1326">
        <v>11595124</v>
      </c>
      <c r="B1326" t="s">
        <v>9</v>
      </c>
      <c r="C1326" t="s">
        <v>8</v>
      </c>
    </row>
    <row r="1327" spans="1:3" x14ac:dyDescent="0.25">
      <c r="A1327">
        <v>11591965</v>
      </c>
      <c r="B1327" t="s">
        <v>9</v>
      </c>
      <c r="C1327" t="s">
        <v>8</v>
      </c>
    </row>
    <row r="1328" spans="1:3" x14ac:dyDescent="0.25">
      <c r="A1328">
        <v>11709317</v>
      </c>
      <c r="B1328" t="s">
        <v>9</v>
      </c>
      <c r="C1328" t="s">
        <v>8</v>
      </c>
    </row>
    <row r="1329" spans="1:3" x14ac:dyDescent="0.25">
      <c r="A1329">
        <v>11679154</v>
      </c>
      <c r="B1329" t="s">
        <v>9</v>
      </c>
      <c r="C1329" t="s">
        <v>8</v>
      </c>
    </row>
    <row r="1330" spans="1:3" x14ac:dyDescent="0.25">
      <c r="A1330">
        <v>11846530</v>
      </c>
      <c r="B1330" t="s">
        <v>9</v>
      </c>
      <c r="C1330" t="s">
        <v>8</v>
      </c>
    </row>
    <row r="1331" spans="1:3" x14ac:dyDescent="0.25">
      <c r="A1331">
        <v>11897685</v>
      </c>
      <c r="B1331" t="s">
        <v>9</v>
      </c>
      <c r="C1331" t="s">
        <v>8</v>
      </c>
    </row>
    <row r="1332" spans="1:3" x14ac:dyDescent="0.25">
      <c r="A1332">
        <v>11902488</v>
      </c>
      <c r="B1332" t="s">
        <v>9</v>
      </c>
      <c r="C1332" t="s">
        <v>8</v>
      </c>
    </row>
    <row r="1333" spans="1:3" x14ac:dyDescent="0.25">
      <c r="A1333">
        <v>11927761</v>
      </c>
      <c r="B1333" t="s">
        <v>9</v>
      </c>
      <c r="C1333" t="s">
        <v>8</v>
      </c>
    </row>
    <row r="1334" spans="1:3" x14ac:dyDescent="0.25">
      <c r="A1334">
        <v>11925799</v>
      </c>
      <c r="B1334" t="s">
        <v>9</v>
      </c>
      <c r="C1334" t="s">
        <v>8</v>
      </c>
    </row>
    <row r="1335" spans="1:3" x14ac:dyDescent="0.25">
      <c r="A1335">
        <v>11600105</v>
      </c>
      <c r="B1335" t="s">
        <v>7</v>
      </c>
      <c r="C1335" t="s">
        <v>6</v>
      </c>
    </row>
    <row r="1336" spans="1:3" x14ac:dyDescent="0.25">
      <c r="A1336">
        <v>11600363</v>
      </c>
      <c r="B1336" t="s">
        <v>7</v>
      </c>
      <c r="C1336" t="s">
        <v>6</v>
      </c>
    </row>
    <row r="1337" spans="1:3" x14ac:dyDescent="0.25">
      <c r="A1337">
        <v>11593118</v>
      </c>
      <c r="B1337" t="s">
        <v>7</v>
      </c>
      <c r="C1337" t="s">
        <v>6</v>
      </c>
    </row>
    <row r="1338" spans="1:3" x14ac:dyDescent="0.25">
      <c r="A1338">
        <v>11543721</v>
      </c>
      <c r="B1338" t="s">
        <v>7</v>
      </c>
      <c r="C1338" t="s">
        <v>6</v>
      </c>
    </row>
    <row r="1339" spans="1:3" x14ac:dyDescent="0.25">
      <c r="A1339">
        <v>11543815</v>
      </c>
      <c r="B1339" t="s">
        <v>7</v>
      </c>
      <c r="C1339" t="s">
        <v>6</v>
      </c>
    </row>
    <row r="1340" spans="1:3" x14ac:dyDescent="0.25">
      <c r="A1340">
        <v>11543517</v>
      </c>
      <c r="B1340" t="s">
        <v>7</v>
      </c>
      <c r="C1340" t="s">
        <v>6</v>
      </c>
    </row>
    <row r="1341" spans="1:3" x14ac:dyDescent="0.25">
      <c r="A1341">
        <v>11543679</v>
      </c>
      <c r="B1341" t="s">
        <v>7</v>
      </c>
      <c r="C1341" t="s">
        <v>6</v>
      </c>
    </row>
    <row r="1342" spans="1:3" x14ac:dyDescent="0.25">
      <c r="A1342">
        <v>11548811</v>
      </c>
      <c r="B1342" t="s">
        <v>7</v>
      </c>
      <c r="C1342" t="s">
        <v>6</v>
      </c>
    </row>
    <row r="1343" spans="1:3" x14ac:dyDescent="0.25">
      <c r="A1343">
        <v>11551054</v>
      </c>
      <c r="B1343" t="s">
        <v>7</v>
      </c>
      <c r="C1343" t="s">
        <v>6</v>
      </c>
    </row>
    <row r="1344" spans="1:3" x14ac:dyDescent="0.25">
      <c r="A1344">
        <v>11554257</v>
      </c>
      <c r="B1344" t="s">
        <v>7</v>
      </c>
      <c r="C1344" t="s">
        <v>6</v>
      </c>
    </row>
    <row r="1345" spans="1:3" x14ac:dyDescent="0.25">
      <c r="A1345">
        <v>11555555</v>
      </c>
      <c r="B1345" t="s">
        <v>7</v>
      </c>
      <c r="C1345" t="s">
        <v>6</v>
      </c>
    </row>
    <row r="1346" spans="1:3" x14ac:dyDescent="0.25">
      <c r="A1346">
        <v>11556695</v>
      </c>
      <c r="B1346" t="s">
        <v>7</v>
      </c>
      <c r="C1346" t="s">
        <v>6</v>
      </c>
    </row>
    <row r="1347" spans="1:3" x14ac:dyDescent="0.25">
      <c r="A1347">
        <v>11557008</v>
      </c>
      <c r="B1347" t="s">
        <v>7</v>
      </c>
      <c r="C1347" t="s">
        <v>6</v>
      </c>
    </row>
    <row r="1348" spans="1:3" x14ac:dyDescent="0.25">
      <c r="A1348">
        <v>11612198</v>
      </c>
      <c r="B1348" t="s">
        <v>7</v>
      </c>
      <c r="C1348" t="s">
        <v>6</v>
      </c>
    </row>
    <row r="1349" spans="1:3" x14ac:dyDescent="0.25">
      <c r="A1349">
        <v>11613069</v>
      </c>
      <c r="B1349" t="s">
        <v>7</v>
      </c>
      <c r="C1349" t="s">
        <v>6</v>
      </c>
    </row>
    <row r="1350" spans="1:3" x14ac:dyDescent="0.25">
      <c r="A1350">
        <v>11616837</v>
      </c>
      <c r="B1350" t="s">
        <v>7</v>
      </c>
      <c r="C1350" t="s">
        <v>6</v>
      </c>
    </row>
    <row r="1351" spans="1:3" x14ac:dyDescent="0.25">
      <c r="A1351">
        <v>11616890</v>
      </c>
      <c r="B1351" t="s">
        <v>7</v>
      </c>
      <c r="C1351" t="s">
        <v>6</v>
      </c>
    </row>
    <row r="1352" spans="1:3" x14ac:dyDescent="0.25">
      <c r="A1352">
        <v>11622611</v>
      </c>
      <c r="B1352" t="s">
        <v>7</v>
      </c>
      <c r="C1352" t="s">
        <v>6</v>
      </c>
    </row>
    <row r="1353" spans="1:3" x14ac:dyDescent="0.25">
      <c r="A1353">
        <v>11627170</v>
      </c>
      <c r="B1353" t="s">
        <v>7</v>
      </c>
      <c r="C1353" t="s">
        <v>6</v>
      </c>
    </row>
    <row r="1354" spans="1:3" x14ac:dyDescent="0.25">
      <c r="A1354">
        <v>11630049</v>
      </c>
      <c r="B1354" t="s">
        <v>7</v>
      </c>
      <c r="C1354" t="s">
        <v>6</v>
      </c>
    </row>
    <row r="1355" spans="1:3" x14ac:dyDescent="0.25">
      <c r="A1355">
        <v>11631525</v>
      </c>
      <c r="B1355" t="s">
        <v>7</v>
      </c>
      <c r="C1355" t="s">
        <v>6</v>
      </c>
    </row>
    <row r="1356" spans="1:3" x14ac:dyDescent="0.25">
      <c r="A1356">
        <v>11681229</v>
      </c>
      <c r="B1356" t="s">
        <v>9</v>
      </c>
      <c r="C1356" t="s">
        <v>8</v>
      </c>
    </row>
    <row r="1357" spans="1:3" x14ac:dyDescent="0.25">
      <c r="A1357">
        <v>11683887</v>
      </c>
      <c r="B1357" t="s">
        <v>9</v>
      </c>
      <c r="C1357" t="s">
        <v>8</v>
      </c>
    </row>
    <row r="1358" spans="1:3" x14ac:dyDescent="0.25">
      <c r="A1358">
        <v>11967038</v>
      </c>
      <c r="B1358" t="s">
        <v>9</v>
      </c>
      <c r="C1358" t="s">
        <v>8</v>
      </c>
    </row>
    <row r="1359" spans="1:3" x14ac:dyDescent="0.25">
      <c r="A1359">
        <v>11891246</v>
      </c>
      <c r="B1359" t="s">
        <v>9</v>
      </c>
      <c r="C1359" t="s">
        <v>8</v>
      </c>
    </row>
    <row r="1360" spans="1:3" x14ac:dyDescent="0.25">
      <c r="A1360">
        <v>11218881</v>
      </c>
      <c r="B1360" t="s">
        <v>9</v>
      </c>
      <c r="C1360" t="s">
        <v>8</v>
      </c>
    </row>
    <row r="1361" spans="1:3" x14ac:dyDescent="0.25">
      <c r="A1361">
        <v>11048263</v>
      </c>
      <c r="B1361" t="s">
        <v>9</v>
      </c>
      <c r="C1361" t="s">
        <v>8</v>
      </c>
    </row>
    <row r="1362" spans="1:3" x14ac:dyDescent="0.25">
      <c r="A1362">
        <v>11047039</v>
      </c>
      <c r="B1362" t="s">
        <v>9</v>
      </c>
      <c r="C1362" t="s">
        <v>8</v>
      </c>
    </row>
    <row r="1363" spans="1:3" x14ac:dyDescent="0.25">
      <c r="A1363">
        <v>11406886</v>
      </c>
      <c r="B1363" t="s">
        <v>7</v>
      </c>
      <c r="C1363" t="s">
        <v>6</v>
      </c>
    </row>
    <row r="1364" spans="1:3" x14ac:dyDescent="0.25">
      <c r="A1364">
        <v>10667200</v>
      </c>
      <c r="B1364" t="s">
        <v>11</v>
      </c>
      <c r="C1364" t="s">
        <v>29</v>
      </c>
    </row>
    <row r="1365" spans="1:3" x14ac:dyDescent="0.25">
      <c r="A1365">
        <v>11911048</v>
      </c>
      <c r="B1365" t="s">
        <v>9</v>
      </c>
      <c r="C1365" t="s">
        <v>8</v>
      </c>
    </row>
    <row r="1366" spans="1:3" x14ac:dyDescent="0.25">
      <c r="A1366">
        <v>11853229</v>
      </c>
      <c r="B1366" t="s">
        <v>9</v>
      </c>
      <c r="C1366" t="s">
        <v>8</v>
      </c>
    </row>
    <row r="1367" spans="1:3" x14ac:dyDescent="0.25">
      <c r="A1367">
        <v>11856405</v>
      </c>
      <c r="B1367" t="s">
        <v>9</v>
      </c>
      <c r="C1367" t="s">
        <v>8</v>
      </c>
    </row>
    <row r="1368" spans="1:3" x14ac:dyDescent="0.25">
      <c r="A1368">
        <v>11858399</v>
      </c>
      <c r="B1368" t="s">
        <v>9</v>
      </c>
      <c r="C1368" t="s">
        <v>8</v>
      </c>
    </row>
    <row r="1369" spans="1:3" x14ac:dyDescent="0.25">
      <c r="A1369">
        <v>11858400</v>
      </c>
      <c r="B1369" t="s">
        <v>9</v>
      </c>
      <c r="C1369" t="s">
        <v>8</v>
      </c>
    </row>
    <row r="1370" spans="1:3" x14ac:dyDescent="0.25">
      <c r="A1370">
        <v>11858510</v>
      </c>
      <c r="B1370" t="s">
        <v>9</v>
      </c>
      <c r="C1370" t="s">
        <v>8</v>
      </c>
    </row>
    <row r="1371" spans="1:3" x14ac:dyDescent="0.25">
      <c r="A1371">
        <v>11858333</v>
      </c>
      <c r="B1371" t="s">
        <v>9</v>
      </c>
      <c r="C1371" t="s">
        <v>8</v>
      </c>
    </row>
    <row r="1372" spans="1:3" x14ac:dyDescent="0.25">
      <c r="A1372">
        <v>11860891</v>
      </c>
      <c r="B1372" t="s">
        <v>9</v>
      </c>
      <c r="C1372" t="s">
        <v>8</v>
      </c>
    </row>
    <row r="1373" spans="1:3" x14ac:dyDescent="0.25">
      <c r="A1373">
        <v>11861264</v>
      </c>
      <c r="B1373" t="s">
        <v>9</v>
      </c>
      <c r="C1373" t="s">
        <v>8</v>
      </c>
    </row>
    <row r="1374" spans="1:3" x14ac:dyDescent="0.25">
      <c r="A1374">
        <v>11864208</v>
      </c>
      <c r="B1374" t="s">
        <v>9</v>
      </c>
      <c r="C1374" t="s">
        <v>8</v>
      </c>
    </row>
    <row r="1375" spans="1:3" x14ac:dyDescent="0.25">
      <c r="A1375">
        <v>11869281</v>
      </c>
      <c r="B1375" t="s">
        <v>9</v>
      </c>
      <c r="C1375" t="s">
        <v>8</v>
      </c>
    </row>
    <row r="1376" spans="1:3" x14ac:dyDescent="0.25">
      <c r="A1376">
        <v>11873177</v>
      </c>
      <c r="B1376" t="s">
        <v>9</v>
      </c>
      <c r="C1376" t="s">
        <v>8</v>
      </c>
    </row>
    <row r="1377" spans="1:3" x14ac:dyDescent="0.25">
      <c r="A1377">
        <v>11873320</v>
      </c>
      <c r="B1377" t="s">
        <v>9</v>
      </c>
      <c r="C1377" t="s">
        <v>8</v>
      </c>
    </row>
    <row r="1378" spans="1:3" x14ac:dyDescent="0.25">
      <c r="A1378">
        <v>11829866</v>
      </c>
      <c r="B1378" t="s">
        <v>9</v>
      </c>
      <c r="C1378" t="s">
        <v>8</v>
      </c>
    </row>
    <row r="1379" spans="1:3" x14ac:dyDescent="0.25">
      <c r="A1379">
        <v>12024396</v>
      </c>
      <c r="B1379" t="s">
        <v>9</v>
      </c>
      <c r="C1379" t="s">
        <v>8</v>
      </c>
    </row>
    <row r="1380" spans="1:3" x14ac:dyDescent="0.25">
      <c r="A1380">
        <v>12025481</v>
      </c>
      <c r="B1380" t="s">
        <v>9</v>
      </c>
      <c r="C1380" t="s">
        <v>8</v>
      </c>
    </row>
    <row r="1381" spans="1:3" x14ac:dyDescent="0.25">
      <c r="A1381">
        <v>12021721</v>
      </c>
      <c r="B1381" t="s">
        <v>9</v>
      </c>
      <c r="C1381" t="s">
        <v>8</v>
      </c>
    </row>
    <row r="1382" spans="1:3" x14ac:dyDescent="0.25">
      <c r="A1382">
        <v>12020242</v>
      </c>
      <c r="B1382" t="s">
        <v>9</v>
      </c>
      <c r="C1382" t="s">
        <v>8</v>
      </c>
    </row>
    <row r="1383" spans="1:3" x14ac:dyDescent="0.25">
      <c r="A1383">
        <v>12019279</v>
      </c>
      <c r="B1383" t="s">
        <v>9</v>
      </c>
      <c r="C1383" t="s">
        <v>8</v>
      </c>
    </row>
    <row r="1384" spans="1:3" x14ac:dyDescent="0.25">
      <c r="A1384">
        <v>12022000</v>
      </c>
      <c r="B1384" t="s">
        <v>9</v>
      </c>
      <c r="C1384" t="s">
        <v>8</v>
      </c>
    </row>
    <row r="1385" spans="1:3" x14ac:dyDescent="0.25">
      <c r="A1385">
        <v>12022134</v>
      </c>
      <c r="B1385" t="s">
        <v>9</v>
      </c>
      <c r="C1385" t="s">
        <v>8</v>
      </c>
    </row>
    <row r="1386" spans="1:3" x14ac:dyDescent="0.25">
      <c r="A1386">
        <v>12022332</v>
      </c>
      <c r="B1386" t="s">
        <v>9</v>
      </c>
      <c r="C1386" t="s">
        <v>8</v>
      </c>
    </row>
    <row r="1387" spans="1:3" x14ac:dyDescent="0.25">
      <c r="A1387">
        <v>12022510</v>
      </c>
      <c r="B1387" t="s">
        <v>9</v>
      </c>
      <c r="C1387" t="s">
        <v>8</v>
      </c>
    </row>
    <row r="1388" spans="1:3" x14ac:dyDescent="0.25">
      <c r="A1388">
        <v>12023201</v>
      </c>
      <c r="B1388" t="s">
        <v>9</v>
      </c>
      <c r="C1388" t="s">
        <v>8</v>
      </c>
    </row>
    <row r="1389" spans="1:3" x14ac:dyDescent="0.25">
      <c r="A1389">
        <v>11890561</v>
      </c>
      <c r="B1389" t="s">
        <v>9</v>
      </c>
      <c r="C1389" t="s">
        <v>8</v>
      </c>
    </row>
    <row r="1390" spans="1:3" x14ac:dyDescent="0.25">
      <c r="A1390">
        <v>11995589</v>
      </c>
      <c r="B1390" t="s">
        <v>9</v>
      </c>
      <c r="C1390" t="s">
        <v>8</v>
      </c>
    </row>
    <row r="1391" spans="1:3" x14ac:dyDescent="0.25">
      <c r="A1391">
        <v>11941048</v>
      </c>
      <c r="B1391" t="s">
        <v>9</v>
      </c>
      <c r="C1391" t="s">
        <v>8</v>
      </c>
    </row>
    <row r="1392" spans="1:3" x14ac:dyDescent="0.25">
      <c r="A1392">
        <v>12007708</v>
      </c>
      <c r="B1392" t="s">
        <v>9</v>
      </c>
      <c r="C1392" t="s">
        <v>8</v>
      </c>
    </row>
    <row r="1393" spans="1:3" x14ac:dyDescent="0.25">
      <c r="A1393">
        <v>12008251</v>
      </c>
      <c r="B1393" t="s">
        <v>9</v>
      </c>
      <c r="C1393" t="s">
        <v>8</v>
      </c>
    </row>
    <row r="1394" spans="1:3" x14ac:dyDescent="0.25">
      <c r="A1394">
        <v>12008872</v>
      </c>
      <c r="B1394" t="s">
        <v>9</v>
      </c>
      <c r="C1394" t="s">
        <v>8</v>
      </c>
    </row>
    <row r="1395" spans="1:3" x14ac:dyDescent="0.25">
      <c r="A1395">
        <v>11933359</v>
      </c>
      <c r="B1395" t="s">
        <v>9</v>
      </c>
      <c r="C1395" t="s">
        <v>8</v>
      </c>
    </row>
    <row r="1396" spans="1:3" x14ac:dyDescent="0.25">
      <c r="A1396">
        <v>11971676</v>
      </c>
      <c r="B1396" t="s">
        <v>9</v>
      </c>
      <c r="C1396" t="s">
        <v>8</v>
      </c>
    </row>
    <row r="1397" spans="1:3" x14ac:dyDescent="0.25">
      <c r="A1397">
        <v>11967846</v>
      </c>
      <c r="B1397" t="s">
        <v>9</v>
      </c>
      <c r="C1397" t="s">
        <v>8</v>
      </c>
    </row>
    <row r="1398" spans="1:3" x14ac:dyDescent="0.25">
      <c r="A1398">
        <v>11969025</v>
      </c>
      <c r="B1398" t="s">
        <v>9</v>
      </c>
      <c r="C1398" t="s">
        <v>8</v>
      </c>
    </row>
    <row r="1399" spans="1:3" x14ac:dyDescent="0.25">
      <c r="A1399">
        <v>11953055</v>
      </c>
      <c r="B1399" t="s">
        <v>9</v>
      </c>
      <c r="C1399" t="s">
        <v>8</v>
      </c>
    </row>
    <row r="1400" spans="1:3" x14ac:dyDescent="0.25">
      <c r="A1400">
        <v>11644204</v>
      </c>
      <c r="B1400" t="s">
        <v>12</v>
      </c>
    </row>
    <row r="1401" spans="1:3" x14ac:dyDescent="0.25">
      <c r="A1401">
        <v>11552801</v>
      </c>
      <c r="B1401" t="s">
        <v>12</v>
      </c>
    </row>
    <row r="1402" spans="1:3" x14ac:dyDescent="0.25">
      <c r="A1402">
        <v>11553834</v>
      </c>
      <c r="B1402" t="s">
        <v>12</v>
      </c>
    </row>
    <row r="1403" spans="1:3" x14ac:dyDescent="0.25">
      <c r="A1403">
        <v>11560796</v>
      </c>
      <c r="B1403" t="s">
        <v>12</v>
      </c>
    </row>
    <row r="1404" spans="1:3" x14ac:dyDescent="0.25">
      <c r="A1404">
        <v>11570699</v>
      </c>
      <c r="B1404" t="s">
        <v>12</v>
      </c>
    </row>
    <row r="1405" spans="1:3" x14ac:dyDescent="0.25">
      <c r="A1405">
        <v>11570745</v>
      </c>
      <c r="B1405" t="s">
        <v>12</v>
      </c>
    </row>
    <row r="1406" spans="1:3" x14ac:dyDescent="0.25">
      <c r="A1406">
        <v>11591073</v>
      </c>
      <c r="B1406" t="s">
        <v>12</v>
      </c>
    </row>
    <row r="1407" spans="1:3" x14ac:dyDescent="0.25">
      <c r="A1407">
        <v>11592268</v>
      </c>
      <c r="B1407" t="s">
        <v>12</v>
      </c>
    </row>
    <row r="1408" spans="1:3" x14ac:dyDescent="0.25">
      <c r="A1408">
        <v>11592429</v>
      </c>
      <c r="B1408" t="s">
        <v>12</v>
      </c>
    </row>
    <row r="1409" spans="1:2" x14ac:dyDescent="0.25">
      <c r="A1409">
        <v>11592898</v>
      </c>
      <c r="B1409" t="s">
        <v>12</v>
      </c>
    </row>
    <row r="1410" spans="1:2" x14ac:dyDescent="0.25">
      <c r="A1410">
        <v>11598519</v>
      </c>
      <c r="B1410" t="s">
        <v>12</v>
      </c>
    </row>
    <row r="1411" spans="1:2" x14ac:dyDescent="0.25">
      <c r="A1411">
        <v>11663071</v>
      </c>
      <c r="B1411" t="s">
        <v>12</v>
      </c>
    </row>
    <row r="1412" spans="1:2" x14ac:dyDescent="0.25">
      <c r="A1412">
        <v>11663580</v>
      </c>
      <c r="B1412" t="s">
        <v>12</v>
      </c>
    </row>
    <row r="1413" spans="1:2" x14ac:dyDescent="0.25">
      <c r="A1413">
        <v>11666828</v>
      </c>
      <c r="B1413" t="s">
        <v>12</v>
      </c>
    </row>
    <row r="1414" spans="1:2" x14ac:dyDescent="0.25">
      <c r="A1414">
        <v>10954443</v>
      </c>
      <c r="B1414" t="s">
        <v>12</v>
      </c>
    </row>
    <row r="1415" spans="1:2" x14ac:dyDescent="0.25">
      <c r="A1415">
        <v>11860332</v>
      </c>
      <c r="B1415" t="s">
        <v>12</v>
      </c>
    </row>
    <row r="1416" spans="1:2" x14ac:dyDescent="0.25">
      <c r="A1416">
        <v>11865775</v>
      </c>
      <c r="B1416" t="s">
        <v>12</v>
      </c>
    </row>
    <row r="1417" spans="1:2" x14ac:dyDescent="0.25">
      <c r="A1417">
        <v>11892084</v>
      </c>
      <c r="B1417" t="s">
        <v>12</v>
      </c>
    </row>
    <row r="1418" spans="1:2" x14ac:dyDescent="0.25">
      <c r="A1418">
        <v>11939049</v>
      </c>
      <c r="B1418" t="s">
        <v>12</v>
      </c>
    </row>
    <row r="1419" spans="1:2" x14ac:dyDescent="0.25">
      <c r="A1419">
        <v>11806457</v>
      </c>
      <c r="B1419" t="s">
        <v>12</v>
      </c>
    </row>
    <row r="1420" spans="1:2" x14ac:dyDescent="0.25">
      <c r="A1420">
        <v>11616387</v>
      </c>
      <c r="B1420" t="s">
        <v>12</v>
      </c>
    </row>
    <row r="1421" spans="1:2" x14ac:dyDescent="0.25">
      <c r="A1421">
        <v>11623516</v>
      </c>
      <c r="B1421" t="s">
        <v>12</v>
      </c>
    </row>
    <row r="1422" spans="1:2" x14ac:dyDescent="0.25">
      <c r="A1422">
        <v>11736808</v>
      </c>
      <c r="B1422" t="s">
        <v>12</v>
      </c>
    </row>
    <row r="1423" spans="1:2" x14ac:dyDescent="0.25">
      <c r="A1423">
        <v>11707790</v>
      </c>
      <c r="B1423" t="s">
        <v>12</v>
      </c>
    </row>
    <row r="1424" spans="1:2" x14ac:dyDescent="0.25">
      <c r="A1424">
        <v>11756567</v>
      </c>
      <c r="B1424" t="s">
        <v>12</v>
      </c>
    </row>
    <row r="1425" spans="1:2" x14ac:dyDescent="0.25">
      <c r="A1425">
        <v>10940074</v>
      </c>
      <c r="B1425" t="s">
        <v>12</v>
      </c>
    </row>
    <row r="1426" spans="1:2" x14ac:dyDescent="0.25">
      <c r="A1426">
        <v>11787509</v>
      </c>
      <c r="B1426" t="s">
        <v>12</v>
      </c>
    </row>
    <row r="1427" spans="1:2" x14ac:dyDescent="0.25">
      <c r="A1427">
        <v>11787607</v>
      </c>
      <c r="B1427" t="s">
        <v>12</v>
      </c>
    </row>
    <row r="1428" spans="1:2" x14ac:dyDescent="0.25">
      <c r="A1428">
        <v>11788827</v>
      </c>
      <c r="B1428" t="s">
        <v>12</v>
      </c>
    </row>
    <row r="1429" spans="1:2" x14ac:dyDescent="0.25">
      <c r="A1429">
        <v>11058513</v>
      </c>
      <c r="B1429" t="s">
        <v>12</v>
      </c>
    </row>
    <row r="1430" spans="1:2" x14ac:dyDescent="0.25">
      <c r="A1430">
        <v>11058003</v>
      </c>
      <c r="B1430" t="s">
        <v>12</v>
      </c>
    </row>
    <row r="1431" spans="1:2" x14ac:dyDescent="0.25">
      <c r="A1431">
        <v>11046834</v>
      </c>
      <c r="B1431" t="s">
        <v>12</v>
      </c>
    </row>
    <row r="1432" spans="1:2" x14ac:dyDescent="0.25">
      <c r="A1432">
        <v>11047063</v>
      </c>
      <c r="B1432" t="s">
        <v>12</v>
      </c>
    </row>
    <row r="1433" spans="1:2" x14ac:dyDescent="0.25">
      <c r="A1433">
        <v>11007414</v>
      </c>
      <c r="B1433" t="s">
        <v>12</v>
      </c>
    </row>
    <row r="1434" spans="1:2" x14ac:dyDescent="0.25">
      <c r="A1434">
        <v>11007850</v>
      </c>
      <c r="B1434" t="s">
        <v>12</v>
      </c>
    </row>
    <row r="1435" spans="1:2" x14ac:dyDescent="0.25">
      <c r="A1435">
        <v>11028212</v>
      </c>
      <c r="B1435" t="s">
        <v>12</v>
      </c>
    </row>
    <row r="1436" spans="1:2" x14ac:dyDescent="0.25">
      <c r="A1436">
        <v>11028705</v>
      </c>
      <c r="B1436" t="s">
        <v>12</v>
      </c>
    </row>
    <row r="1437" spans="1:2" x14ac:dyDescent="0.25">
      <c r="A1437">
        <v>10981395</v>
      </c>
      <c r="B1437" t="s">
        <v>12</v>
      </c>
    </row>
    <row r="1438" spans="1:2" x14ac:dyDescent="0.25">
      <c r="A1438">
        <v>10981593</v>
      </c>
      <c r="B1438" t="s">
        <v>12</v>
      </c>
    </row>
    <row r="1439" spans="1:2" x14ac:dyDescent="0.25">
      <c r="A1439">
        <v>10961649</v>
      </c>
      <c r="B1439" t="s">
        <v>12</v>
      </c>
    </row>
    <row r="1440" spans="1:2" x14ac:dyDescent="0.25">
      <c r="A1440">
        <v>10992161</v>
      </c>
      <c r="B1440" t="s">
        <v>12</v>
      </c>
    </row>
    <row r="1441" spans="1:2" x14ac:dyDescent="0.25">
      <c r="A1441">
        <v>10992174</v>
      </c>
      <c r="B1441" t="s">
        <v>12</v>
      </c>
    </row>
    <row r="1442" spans="1:2" x14ac:dyDescent="0.25">
      <c r="A1442">
        <v>11003012</v>
      </c>
      <c r="B1442" t="s">
        <v>12</v>
      </c>
    </row>
    <row r="1443" spans="1:2" x14ac:dyDescent="0.25">
      <c r="A1443">
        <v>11007926</v>
      </c>
      <c r="B1443" t="s">
        <v>12</v>
      </c>
    </row>
    <row r="1444" spans="1:2" x14ac:dyDescent="0.25">
      <c r="A1444">
        <v>11008930</v>
      </c>
      <c r="B1444" t="s">
        <v>12</v>
      </c>
    </row>
    <row r="1445" spans="1:2" x14ac:dyDescent="0.25">
      <c r="A1445">
        <v>10934164</v>
      </c>
      <c r="B1445" t="s">
        <v>12</v>
      </c>
    </row>
    <row r="1446" spans="1:2" x14ac:dyDescent="0.25">
      <c r="A1446">
        <v>10934175</v>
      </c>
      <c r="B1446" t="s">
        <v>12</v>
      </c>
    </row>
    <row r="1447" spans="1:2" x14ac:dyDescent="0.25">
      <c r="A1447">
        <v>10934885</v>
      </c>
      <c r="B1447" t="s">
        <v>12</v>
      </c>
    </row>
    <row r="1448" spans="1:2" x14ac:dyDescent="0.25">
      <c r="A1448">
        <v>10935826</v>
      </c>
      <c r="B1448" t="s">
        <v>12</v>
      </c>
    </row>
    <row r="1449" spans="1:2" x14ac:dyDescent="0.25">
      <c r="A1449">
        <v>10920794</v>
      </c>
      <c r="B1449" t="s">
        <v>12</v>
      </c>
    </row>
    <row r="1450" spans="1:2" x14ac:dyDescent="0.25">
      <c r="A1450">
        <v>10920847</v>
      </c>
      <c r="B1450" t="s">
        <v>12</v>
      </c>
    </row>
    <row r="1451" spans="1:2" x14ac:dyDescent="0.25">
      <c r="A1451">
        <v>10920931</v>
      </c>
      <c r="B1451" t="s">
        <v>12</v>
      </c>
    </row>
    <row r="1452" spans="1:2" x14ac:dyDescent="0.25">
      <c r="A1452">
        <v>10921537</v>
      </c>
      <c r="B1452" t="s">
        <v>12</v>
      </c>
    </row>
    <row r="1453" spans="1:2" x14ac:dyDescent="0.25">
      <c r="A1453">
        <v>10922017</v>
      </c>
      <c r="B1453" t="s">
        <v>12</v>
      </c>
    </row>
    <row r="1454" spans="1:2" x14ac:dyDescent="0.25">
      <c r="A1454">
        <v>10922129</v>
      </c>
      <c r="B1454" t="s">
        <v>12</v>
      </c>
    </row>
    <row r="1455" spans="1:2" x14ac:dyDescent="0.25">
      <c r="A1455">
        <v>10922222</v>
      </c>
      <c r="B1455" t="s">
        <v>12</v>
      </c>
    </row>
    <row r="1456" spans="1:2" x14ac:dyDescent="0.25">
      <c r="A1456">
        <v>10923561</v>
      </c>
      <c r="B1456" t="s">
        <v>12</v>
      </c>
    </row>
    <row r="1457" spans="1:3" x14ac:dyDescent="0.25">
      <c r="A1457">
        <v>10924032</v>
      </c>
      <c r="B1457" t="s">
        <v>12</v>
      </c>
    </row>
    <row r="1458" spans="1:3" x14ac:dyDescent="0.25">
      <c r="A1458">
        <v>10925401</v>
      </c>
      <c r="B1458" t="s">
        <v>12</v>
      </c>
    </row>
    <row r="1459" spans="1:3" x14ac:dyDescent="0.25">
      <c r="A1459">
        <v>11739168</v>
      </c>
      <c r="B1459" t="s">
        <v>12</v>
      </c>
    </row>
    <row r="1460" spans="1:3" x14ac:dyDescent="0.25">
      <c r="A1460">
        <v>11729594</v>
      </c>
      <c r="B1460" t="s">
        <v>12</v>
      </c>
    </row>
    <row r="1461" spans="1:3" x14ac:dyDescent="0.25">
      <c r="A1461">
        <v>11730136</v>
      </c>
      <c r="B1461" t="s">
        <v>12</v>
      </c>
    </row>
    <row r="1462" spans="1:3" x14ac:dyDescent="0.25">
      <c r="A1462">
        <v>11543162</v>
      </c>
      <c r="B1462" t="s">
        <v>7</v>
      </c>
      <c r="C1462" t="s">
        <v>6</v>
      </c>
    </row>
    <row r="1463" spans="1:3" x14ac:dyDescent="0.25">
      <c r="A1463">
        <v>11946313</v>
      </c>
      <c r="B1463" t="s">
        <v>9</v>
      </c>
    </row>
    <row r="1464" spans="1:3" x14ac:dyDescent="0.25">
      <c r="A1464">
        <v>11667087</v>
      </c>
      <c r="B1464" t="s">
        <v>9</v>
      </c>
    </row>
    <row r="1465" spans="1:3" x14ac:dyDescent="0.25">
      <c r="A1465">
        <v>11577546</v>
      </c>
      <c r="B1465" t="s">
        <v>7</v>
      </c>
      <c r="C1465" t="s">
        <v>6</v>
      </c>
    </row>
    <row r="1466" spans="1:3" x14ac:dyDescent="0.25">
      <c r="A1466">
        <v>11562515</v>
      </c>
      <c r="B1466" t="s">
        <v>7</v>
      </c>
      <c r="C1466" t="s">
        <v>6</v>
      </c>
    </row>
    <row r="1467" spans="1:3" x14ac:dyDescent="0.25">
      <c r="A1467">
        <v>11569480</v>
      </c>
      <c r="B1467" t="s">
        <v>7</v>
      </c>
      <c r="C1467" t="s">
        <v>6</v>
      </c>
    </row>
    <row r="1468" spans="1:3" x14ac:dyDescent="0.25">
      <c r="A1468">
        <v>11562083</v>
      </c>
      <c r="B1468" t="s">
        <v>7</v>
      </c>
      <c r="C1468" t="s">
        <v>6</v>
      </c>
    </row>
    <row r="1469" spans="1:3" x14ac:dyDescent="0.25">
      <c r="A1469">
        <v>11562391</v>
      </c>
      <c r="B1469" t="s">
        <v>7</v>
      </c>
      <c r="C1469" t="s">
        <v>6</v>
      </c>
    </row>
    <row r="1470" spans="1:3" x14ac:dyDescent="0.25">
      <c r="A1470">
        <v>11557651</v>
      </c>
      <c r="B1470" t="s">
        <v>7</v>
      </c>
      <c r="C1470" t="s">
        <v>6</v>
      </c>
    </row>
    <row r="1471" spans="1:3" x14ac:dyDescent="0.25">
      <c r="A1471">
        <v>11557901</v>
      </c>
      <c r="B1471" t="s">
        <v>7</v>
      </c>
      <c r="C1471" t="s">
        <v>6</v>
      </c>
    </row>
    <row r="1472" spans="1:3" x14ac:dyDescent="0.25">
      <c r="A1472">
        <v>11558254</v>
      </c>
      <c r="B1472" t="s">
        <v>7</v>
      </c>
      <c r="C1472" t="s">
        <v>6</v>
      </c>
    </row>
    <row r="1473" spans="1:3" x14ac:dyDescent="0.25">
      <c r="A1473">
        <v>11558657</v>
      </c>
      <c r="B1473" t="s">
        <v>7</v>
      </c>
      <c r="C1473" t="s">
        <v>6</v>
      </c>
    </row>
    <row r="1474" spans="1:3" x14ac:dyDescent="0.25">
      <c r="A1474">
        <v>11559057</v>
      </c>
      <c r="B1474" t="s">
        <v>7</v>
      </c>
      <c r="C1474" t="s">
        <v>6</v>
      </c>
    </row>
    <row r="1475" spans="1:3" x14ac:dyDescent="0.25">
      <c r="A1475">
        <v>11560307</v>
      </c>
      <c r="B1475" t="s">
        <v>7</v>
      </c>
      <c r="C1475" t="s">
        <v>6</v>
      </c>
    </row>
    <row r="1476" spans="1:3" x14ac:dyDescent="0.25">
      <c r="A1476">
        <v>11272837</v>
      </c>
      <c r="B1476" t="s">
        <v>12</v>
      </c>
    </row>
    <row r="1477" spans="1:3" x14ac:dyDescent="0.25">
      <c r="A1477">
        <v>11305477</v>
      </c>
      <c r="B1477" t="s">
        <v>12</v>
      </c>
    </row>
    <row r="1478" spans="1:3" x14ac:dyDescent="0.25">
      <c r="A1478">
        <v>11298984</v>
      </c>
      <c r="B1478" t="s">
        <v>12</v>
      </c>
    </row>
    <row r="1479" spans="1:3" x14ac:dyDescent="0.25">
      <c r="A1479">
        <v>11269572</v>
      </c>
      <c r="B1479" t="s">
        <v>12</v>
      </c>
    </row>
    <row r="1480" spans="1:3" x14ac:dyDescent="0.25">
      <c r="A1480">
        <v>11229397</v>
      </c>
      <c r="B1480" t="s">
        <v>12</v>
      </c>
    </row>
    <row r="1481" spans="1:3" x14ac:dyDescent="0.25">
      <c r="A1481">
        <v>11238632</v>
      </c>
      <c r="B1481" t="s">
        <v>12</v>
      </c>
    </row>
    <row r="1482" spans="1:3" x14ac:dyDescent="0.25">
      <c r="A1482">
        <v>11241375</v>
      </c>
      <c r="B1482" t="s">
        <v>12</v>
      </c>
    </row>
    <row r="1483" spans="1:3" x14ac:dyDescent="0.25">
      <c r="A1483">
        <v>11302947</v>
      </c>
      <c r="B1483" t="s">
        <v>12</v>
      </c>
    </row>
    <row r="1484" spans="1:3" x14ac:dyDescent="0.25">
      <c r="A1484">
        <v>11331246</v>
      </c>
      <c r="B1484" t="s">
        <v>12</v>
      </c>
    </row>
    <row r="1485" spans="1:3" x14ac:dyDescent="0.25">
      <c r="A1485">
        <v>11338338</v>
      </c>
      <c r="B1485" t="s">
        <v>12</v>
      </c>
    </row>
    <row r="1486" spans="1:3" x14ac:dyDescent="0.25">
      <c r="A1486">
        <v>11344378</v>
      </c>
      <c r="B1486" t="s">
        <v>12</v>
      </c>
    </row>
    <row r="1487" spans="1:3" x14ac:dyDescent="0.25">
      <c r="A1487">
        <v>11345547</v>
      </c>
      <c r="B1487" t="s">
        <v>12</v>
      </c>
    </row>
    <row r="1488" spans="1:3" x14ac:dyDescent="0.25">
      <c r="A1488">
        <v>11345826</v>
      </c>
      <c r="B1488" t="s">
        <v>12</v>
      </c>
    </row>
    <row r="1489" spans="1:2" x14ac:dyDescent="0.25">
      <c r="A1489">
        <v>11348282</v>
      </c>
      <c r="B1489" t="s">
        <v>12</v>
      </c>
    </row>
    <row r="1490" spans="1:2" x14ac:dyDescent="0.25">
      <c r="A1490">
        <v>11359877</v>
      </c>
      <c r="B1490" t="s">
        <v>12</v>
      </c>
    </row>
    <row r="1491" spans="1:2" x14ac:dyDescent="0.25">
      <c r="A1491">
        <v>11409218</v>
      </c>
      <c r="B1491" t="s">
        <v>12</v>
      </c>
    </row>
    <row r="1492" spans="1:2" x14ac:dyDescent="0.25">
      <c r="A1492">
        <v>11440238</v>
      </c>
      <c r="B1492" t="s">
        <v>12</v>
      </c>
    </row>
    <row r="1493" spans="1:2" x14ac:dyDescent="0.25">
      <c r="A1493">
        <v>11518743</v>
      </c>
      <c r="B1493" t="s">
        <v>12</v>
      </c>
    </row>
    <row r="1494" spans="1:2" x14ac:dyDescent="0.25">
      <c r="A1494">
        <v>11520506</v>
      </c>
      <c r="B1494" t="s">
        <v>12</v>
      </c>
    </row>
    <row r="1495" spans="1:2" x14ac:dyDescent="0.25">
      <c r="A1495">
        <v>11462140</v>
      </c>
      <c r="B1495" t="s">
        <v>12</v>
      </c>
    </row>
    <row r="1496" spans="1:2" x14ac:dyDescent="0.25">
      <c r="A1496">
        <v>11472198</v>
      </c>
      <c r="B1496" t="s">
        <v>12</v>
      </c>
    </row>
    <row r="1497" spans="1:2" x14ac:dyDescent="0.25">
      <c r="A1497">
        <v>11445743</v>
      </c>
      <c r="B1497" t="s">
        <v>12</v>
      </c>
    </row>
    <row r="1498" spans="1:2" x14ac:dyDescent="0.25">
      <c r="A1498">
        <v>11446310</v>
      </c>
      <c r="B1498" t="s">
        <v>12</v>
      </c>
    </row>
    <row r="1499" spans="1:2" x14ac:dyDescent="0.25">
      <c r="A1499">
        <v>11223824</v>
      </c>
      <c r="B1499" t="s">
        <v>12</v>
      </c>
    </row>
    <row r="1500" spans="1:2" x14ac:dyDescent="0.25">
      <c r="A1500">
        <v>11214324</v>
      </c>
      <c r="B1500" t="s">
        <v>12</v>
      </c>
    </row>
    <row r="1501" spans="1:2" x14ac:dyDescent="0.25">
      <c r="A1501">
        <v>11206139</v>
      </c>
      <c r="B1501" t="s">
        <v>12</v>
      </c>
    </row>
    <row r="1502" spans="1:2" x14ac:dyDescent="0.25">
      <c r="A1502">
        <v>11166775</v>
      </c>
      <c r="B1502" t="s">
        <v>12</v>
      </c>
    </row>
    <row r="1503" spans="1:2" x14ac:dyDescent="0.25">
      <c r="A1503">
        <v>11170231</v>
      </c>
      <c r="B1503" t="s">
        <v>12</v>
      </c>
    </row>
    <row r="1504" spans="1:2" x14ac:dyDescent="0.25">
      <c r="A1504">
        <v>11182612</v>
      </c>
      <c r="B1504" t="s">
        <v>12</v>
      </c>
    </row>
    <row r="1505" spans="1:3" x14ac:dyDescent="0.25">
      <c r="A1505">
        <v>11194510</v>
      </c>
      <c r="B1505" t="s">
        <v>12</v>
      </c>
    </row>
    <row r="1506" spans="1:3" x14ac:dyDescent="0.25">
      <c r="A1506">
        <v>11081282</v>
      </c>
      <c r="B1506" t="s">
        <v>12</v>
      </c>
    </row>
    <row r="1507" spans="1:3" x14ac:dyDescent="0.25">
      <c r="A1507">
        <v>10846796</v>
      </c>
      <c r="B1507" t="s">
        <v>7</v>
      </c>
      <c r="C1507" t="s">
        <v>6</v>
      </c>
    </row>
    <row r="1508" spans="1:3" x14ac:dyDescent="0.25">
      <c r="A1508">
        <v>11336228</v>
      </c>
      <c r="B1508" t="s">
        <v>7</v>
      </c>
      <c r="C1508" t="s">
        <v>6</v>
      </c>
    </row>
    <row r="1509" spans="1:3" x14ac:dyDescent="0.25">
      <c r="A1509">
        <v>10838812</v>
      </c>
      <c r="B1509" t="s">
        <v>7</v>
      </c>
      <c r="C1509" t="s">
        <v>6</v>
      </c>
    </row>
    <row r="1510" spans="1:3" x14ac:dyDescent="0.25">
      <c r="A1510">
        <v>11067784</v>
      </c>
      <c r="B1510" t="s">
        <v>22</v>
      </c>
    </row>
    <row r="1511" spans="1:3" x14ac:dyDescent="0.25">
      <c r="A1511">
        <v>11067828</v>
      </c>
      <c r="B1511" t="s">
        <v>22</v>
      </c>
    </row>
    <row r="1512" spans="1:3" x14ac:dyDescent="0.25">
      <c r="A1512">
        <v>11068056</v>
      </c>
      <c r="B1512" t="s">
        <v>22</v>
      </c>
    </row>
    <row r="1513" spans="1:3" x14ac:dyDescent="0.25">
      <c r="A1513">
        <v>11068081</v>
      </c>
      <c r="B1513" t="s">
        <v>22</v>
      </c>
    </row>
    <row r="1514" spans="1:3" x14ac:dyDescent="0.25">
      <c r="A1514">
        <v>11068126</v>
      </c>
      <c r="B1514" t="s">
        <v>22</v>
      </c>
    </row>
    <row r="1515" spans="1:3" x14ac:dyDescent="0.25">
      <c r="A1515">
        <v>11068184</v>
      </c>
      <c r="B1515" t="s">
        <v>22</v>
      </c>
    </row>
    <row r="1516" spans="1:3" x14ac:dyDescent="0.25">
      <c r="A1516">
        <v>11068200</v>
      </c>
      <c r="B1516" t="s">
        <v>22</v>
      </c>
    </row>
    <row r="1517" spans="1:3" x14ac:dyDescent="0.25">
      <c r="A1517">
        <v>11068221</v>
      </c>
      <c r="B1517" t="s">
        <v>22</v>
      </c>
    </row>
    <row r="1518" spans="1:3" x14ac:dyDescent="0.25">
      <c r="A1518">
        <v>11068372</v>
      </c>
      <c r="B1518" t="s">
        <v>22</v>
      </c>
    </row>
    <row r="1519" spans="1:3" x14ac:dyDescent="0.25">
      <c r="A1519">
        <v>11070025</v>
      </c>
      <c r="B1519" t="s">
        <v>22</v>
      </c>
    </row>
    <row r="1520" spans="1:3" x14ac:dyDescent="0.25">
      <c r="A1520">
        <v>11067233</v>
      </c>
      <c r="B1520" t="s">
        <v>22</v>
      </c>
    </row>
    <row r="1521" spans="1:3" x14ac:dyDescent="0.25">
      <c r="A1521">
        <v>11067257</v>
      </c>
      <c r="B1521" t="s">
        <v>22</v>
      </c>
    </row>
    <row r="1522" spans="1:3" x14ac:dyDescent="0.25">
      <c r="A1522">
        <v>11067273</v>
      </c>
      <c r="B1522" t="s">
        <v>22</v>
      </c>
    </row>
    <row r="1523" spans="1:3" x14ac:dyDescent="0.25">
      <c r="A1523">
        <v>10613590</v>
      </c>
      <c r="B1523" t="s">
        <v>12</v>
      </c>
    </row>
    <row r="1524" spans="1:3" x14ac:dyDescent="0.25">
      <c r="A1524">
        <v>11461136</v>
      </c>
      <c r="B1524" t="s">
        <v>9</v>
      </c>
      <c r="C1524" t="s">
        <v>8</v>
      </c>
    </row>
    <row r="1525" spans="1:3" x14ac:dyDescent="0.25">
      <c r="A1525">
        <v>11479039</v>
      </c>
      <c r="B1525" t="s">
        <v>9</v>
      </c>
      <c r="C1525" t="s">
        <v>8</v>
      </c>
    </row>
    <row r="1526" spans="1:3" x14ac:dyDescent="0.25">
      <c r="A1526">
        <v>11454152</v>
      </c>
      <c r="B1526" t="s">
        <v>9</v>
      </c>
      <c r="C1526" t="s">
        <v>8</v>
      </c>
    </row>
    <row r="1527" spans="1:3" x14ac:dyDescent="0.25">
      <c r="A1527">
        <v>11425020</v>
      </c>
      <c r="B1527" t="s">
        <v>9</v>
      </c>
      <c r="C1527" t="s">
        <v>8</v>
      </c>
    </row>
    <row r="1528" spans="1:3" x14ac:dyDescent="0.25">
      <c r="A1528">
        <v>11425395</v>
      </c>
      <c r="B1528" t="s">
        <v>9</v>
      </c>
      <c r="C1528" t="s">
        <v>8</v>
      </c>
    </row>
    <row r="1529" spans="1:3" x14ac:dyDescent="0.25">
      <c r="A1529">
        <v>11390282</v>
      </c>
      <c r="B1529" t="s">
        <v>9</v>
      </c>
      <c r="C1529" t="s">
        <v>8</v>
      </c>
    </row>
    <row r="1530" spans="1:3" x14ac:dyDescent="0.25">
      <c r="A1530">
        <v>11406911</v>
      </c>
      <c r="B1530" t="s">
        <v>9</v>
      </c>
      <c r="C1530" t="s">
        <v>8</v>
      </c>
    </row>
    <row r="1531" spans="1:3" x14ac:dyDescent="0.25">
      <c r="A1531">
        <v>11402207</v>
      </c>
      <c r="B1531" t="s">
        <v>9</v>
      </c>
      <c r="C1531" t="s">
        <v>8</v>
      </c>
    </row>
    <row r="1532" spans="1:3" x14ac:dyDescent="0.25">
      <c r="A1532">
        <v>11409145</v>
      </c>
      <c r="B1532" t="s">
        <v>9</v>
      </c>
      <c r="C1532" t="s">
        <v>8</v>
      </c>
    </row>
    <row r="1533" spans="1:3" x14ac:dyDescent="0.25">
      <c r="A1533">
        <v>11409637</v>
      </c>
      <c r="B1533" t="s">
        <v>9</v>
      </c>
      <c r="C1533" t="s">
        <v>8</v>
      </c>
    </row>
    <row r="1534" spans="1:3" x14ac:dyDescent="0.25">
      <c r="A1534">
        <v>11391608</v>
      </c>
      <c r="B1534" t="s">
        <v>9</v>
      </c>
      <c r="C1534" t="s">
        <v>8</v>
      </c>
    </row>
    <row r="1535" spans="1:3" x14ac:dyDescent="0.25">
      <c r="A1535">
        <v>11380143</v>
      </c>
      <c r="B1535" t="s">
        <v>12</v>
      </c>
    </row>
    <row r="1536" spans="1:3" x14ac:dyDescent="0.25">
      <c r="A1536">
        <v>11379368</v>
      </c>
      <c r="B1536" t="s">
        <v>9</v>
      </c>
      <c r="C1536" t="s">
        <v>8</v>
      </c>
    </row>
    <row r="1537" spans="1:3" x14ac:dyDescent="0.25">
      <c r="A1537">
        <v>11361973</v>
      </c>
      <c r="B1537" t="s">
        <v>9</v>
      </c>
      <c r="C1537" t="s">
        <v>8</v>
      </c>
    </row>
    <row r="1538" spans="1:3" x14ac:dyDescent="0.25">
      <c r="A1538">
        <v>11357653</v>
      </c>
      <c r="B1538" t="s">
        <v>9</v>
      </c>
      <c r="C1538" t="s">
        <v>8</v>
      </c>
    </row>
    <row r="1539" spans="1:3" x14ac:dyDescent="0.25">
      <c r="A1539">
        <v>11363311</v>
      </c>
      <c r="B1539" t="s">
        <v>9</v>
      </c>
      <c r="C1539" t="s">
        <v>8</v>
      </c>
    </row>
    <row r="1540" spans="1:3" x14ac:dyDescent="0.25">
      <c r="A1540">
        <v>11348490</v>
      </c>
      <c r="B1540" t="s">
        <v>9</v>
      </c>
      <c r="C1540" t="s">
        <v>8</v>
      </c>
    </row>
    <row r="1541" spans="1:3" x14ac:dyDescent="0.25">
      <c r="A1541">
        <v>11349932</v>
      </c>
      <c r="B1541" t="s">
        <v>9</v>
      </c>
      <c r="C1541" t="s">
        <v>8</v>
      </c>
    </row>
    <row r="1542" spans="1:3" x14ac:dyDescent="0.25">
      <c r="A1542">
        <v>11350424</v>
      </c>
      <c r="B1542" t="s">
        <v>9</v>
      </c>
      <c r="C1542" t="s">
        <v>8</v>
      </c>
    </row>
    <row r="1543" spans="1:3" x14ac:dyDescent="0.25">
      <c r="A1543">
        <v>11351897</v>
      </c>
      <c r="B1543" t="s">
        <v>9</v>
      </c>
      <c r="C1543" t="s">
        <v>8</v>
      </c>
    </row>
    <row r="1544" spans="1:3" x14ac:dyDescent="0.25">
      <c r="A1544">
        <v>11348628</v>
      </c>
      <c r="B1544" t="s">
        <v>14</v>
      </c>
      <c r="C1544" t="s">
        <v>13</v>
      </c>
    </row>
    <row r="1545" spans="1:3" x14ac:dyDescent="0.25">
      <c r="A1545">
        <v>11348719</v>
      </c>
      <c r="B1545" t="s">
        <v>14</v>
      </c>
      <c r="C1545" t="s">
        <v>13</v>
      </c>
    </row>
    <row r="1546" spans="1:3" x14ac:dyDescent="0.25">
      <c r="A1546">
        <v>11349608</v>
      </c>
      <c r="B1546" t="s">
        <v>14</v>
      </c>
      <c r="C1546" t="s">
        <v>13</v>
      </c>
    </row>
    <row r="1547" spans="1:3" x14ac:dyDescent="0.25">
      <c r="A1547">
        <v>11441042</v>
      </c>
      <c r="B1547" t="s">
        <v>14</v>
      </c>
      <c r="C1547" t="s">
        <v>13</v>
      </c>
    </row>
    <row r="1548" spans="1:3" x14ac:dyDescent="0.25">
      <c r="A1548">
        <v>11482585</v>
      </c>
      <c r="B1548" t="s">
        <v>14</v>
      </c>
      <c r="C1548" t="s">
        <v>13</v>
      </c>
    </row>
    <row r="1549" spans="1:3" x14ac:dyDescent="0.25">
      <c r="A1549">
        <v>11408638</v>
      </c>
      <c r="B1549" t="s">
        <v>14</v>
      </c>
      <c r="C1549" t="s">
        <v>13</v>
      </c>
    </row>
    <row r="1550" spans="1:3" x14ac:dyDescent="0.25">
      <c r="A1550">
        <v>11562442</v>
      </c>
      <c r="B1550" t="s">
        <v>14</v>
      </c>
      <c r="C1550" t="s">
        <v>13</v>
      </c>
    </row>
    <row r="1551" spans="1:3" x14ac:dyDescent="0.25">
      <c r="A1551">
        <v>11572631</v>
      </c>
      <c r="B1551" t="s">
        <v>14</v>
      </c>
      <c r="C1551" t="s">
        <v>13</v>
      </c>
    </row>
    <row r="1552" spans="1:3" x14ac:dyDescent="0.25">
      <c r="A1552">
        <v>11585282</v>
      </c>
      <c r="B1552" t="s">
        <v>14</v>
      </c>
      <c r="C1552" t="s">
        <v>13</v>
      </c>
    </row>
    <row r="1553" spans="1:3" x14ac:dyDescent="0.25">
      <c r="A1553">
        <v>11607816</v>
      </c>
      <c r="B1553" t="s">
        <v>14</v>
      </c>
      <c r="C1553" t="s">
        <v>13</v>
      </c>
    </row>
    <row r="1554" spans="1:3" x14ac:dyDescent="0.25">
      <c r="A1554">
        <v>11617032</v>
      </c>
      <c r="B1554" t="s">
        <v>14</v>
      </c>
      <c r="C1554" t="s">
        <v>13</v>
      </c>
    </row>
    <row r="1555" spans="1:3" x14ac:dyDescent="0.25">
      <c r="A1555">
        <v>11324040</v>
      </c>
      <c r="B1555" t="s">
        <v>14</v>
      </c>
      <c r="C1555" t="s">
        <v>13</v>
      </c>
    </row>
    <row r="1556" spans="1:3" x14ac:dyDescent="0.25">
      <c r="A1556">
        <v>10855107</v>
      </c>
      <c r="B1556" t="s">
        <v>9</v>
      </c>
      <c r="C1556" t="s">
        <v>8</v>
      </c>
    </row>
    <row r="1557" spans="1:3" x14ac:dyDescent="0.25">
      <c r="A1557">
        <v>10868647</v>
      </c>
      <c r="B1557" t="s">
        <v>9</v>
      </c>
      <c r="C1557" t="s">
        <v>8</v>
      </c>
    </row>
    <row r="1558" spans="1:3" x14ac:dyDescent="0.25">
      <c r="A1558">
        <v>10868908</v>
      </c>
      <c r="B1558" t="s">
        <v>9</v>
      </c>
      <c r="C1558" t="s">
        <v>8</v>
      </c>
    </row>
    <row r="1559" spans="1:3" x14ac:dyDescent="0.25">
      <c r="A1559">
        <v>10869521</v>
      </c>
      <c r="B1559" t="s">
        <v>9</v>
      </c>
      <c r="C1559" t="s">
        <v>8</v>
      </c>
    </row>
    <row r="1560" spans="1:3" x14ac:dyDescent="0.25">
      <c r="A1560">
        <v>10906664</v>
      </c>
      <c r="B1560" t="s">
        <v>9</v>
      </c>
      <c r="C1560" t="s">
        <v>8</v>
      </c>
    </row>
    <row r="1561" spans="1:3" x14ac:dyDescent="0.25">
      <c r="A1561">
        <v>10923727</v>
      </c>
      <c r="B1561" t="s">
        <v>9</v>
      </c>
      <c r="C1561" t="s">
        <v>8</v>
      </c>
    </row>
    <row r="1562" spans="1:3" x14ac:dyDescent="0.25">
      <c r="A1562">
        <v>10934309</v>
      </c>
      <c r="B1562" t="s">
        <v>9</v>
      </c>
      <c r="C1562" t="s">
        <v>8</v>
      </c>
    </row>
    <row r="1563" spans="1:3" x14ac:dyDescent="0.25">
      <c r="A1563">
        <v>10894019</v>
      </c>
      <c r="B1563" t="s">
        <v>9</v>
      </c>
      <c r="C1563" t="s">
        <v>8</v>
      </c>
    </row>
    <row r="1564" spans="1:3" x14ac:dyDescent="0.25">
      <c r="A1564">
        <v>10881130</v>
      </c>
      <c r="B1564" t="s">
        <v>9</v>
      </c>
      <c r="C1564" t="s">
        <v>8</v>
      </c>
    </row>
    <row r="1565" spans="1:3" x14ac:dyDescent="0.25">
      <c r="A1565">
        <v>10806010</v>
      </c>
      <c r="B1565" t="s">
        <v>9</v>
      </c>
      <c r="C1565" t="s">
        <v>8</v>
      </c>
    </row>
    <row r="1566" spans="1:3" x14ac:dyDescent="0.25">
      <c r="A1566">
        <v>10810914</v>
      </c>
      <c r="B1566" t="s">
        <v>9</v>
      </c>
      <c r="C1566" t="s">
        <v>8</v>
      </c>
    </row>
    <row r="1567" spans="1:3" x14ac:dyDescent="0.25">
      <c r="A1567">
        <v>10802696</v>
      </c>
      <c r="B1567" t="s">
        <v>9</v>
      </c>
      <c r="C1567" t="s">
        <v>8</v>
      </c>
    </row>
    <row r="1568" spans="1:3" x14ac:dyDescent="0.25">
      <c r="A1568">
        <v>10802712</v>
      </c>
      <c r="B1568" t="s">
        <v>9</v>
      </c>
      <c r="C1568" t="s">
        <v>8</v>
      </c>
    </row>
    <row r="1569" spans="1:3" x14ac:dyDescent="0.25">
      <c r="A1569">
        <v>10802724</v>
      </c>
      <c r="B1569" t="s">
        <v>9</v>
      </c>
      <c r="C1569" t="s">
        <v>8</v>
      </c>
    </row>
    <row r="1570" spans="1:3" x14ac:dyDescent="0.25">
      <c r="A1570">
        <v>10915409</v>
      </c>
      <c r="B1570" t="s">
        <v>9</v>
      </c>
      <c r="C1570" t="s">
        <v>8</v>
      </c>
    </row>
    <row r="1571" spans="1:3" x14ac:dyDescent="0.25">
      <c r="A1571">
        <v>10778995</v>
      </c>
      <c r="B1571" t="s">
        <v>9</v>
      </c>
      <c r="C1571" t="s">
        <v>8</v>
      </c>
    </row>
    <row r="1572" spans="1:3" x14ac:dyDescent="0.25">
      <c r="A1572">
        <v>10781034</v>
      </c>
      <c r="B1572" t="s">
        <v>9</v>
      </c>
      <c r="C1572" t="s">
        <v>8</v>
      </c>
    </row>
    <row r="1573" spans="1:3" x14ac:dyDescent="0.25">
      <c r="A1573">
        <v>11326094</v>
      </c>
      <c r="B1573" t="s">
        <v>9</v>
      </c>
      <c r="C1573" t="s">
        <v>8</v>
      </c>
    </row>
    <row r="1574" spans="1:3" x14ac:dyDescent="0.25">
      <c r="A1574">
        <v>11303107</v>
      </c>
      <c r="B1574" t="s">
        <v>9</v>
      </c>
      <c r="C1574" t="s">
        <v>8</v>
      </c>
    </row>
    <row r="1575" spans="1:3" x14ac:dyDescent="0.25">
      <c r="A1575">
        <v>11307544</v>
      </c>
      <c r="B1575" t="s">
        <v>9</v>
      </c>
      <c r="C1575" t="s">
        <v>8</v>
      </c>
    </row>
    <row r="1576" spans="1:3" x14ac:dyDescent="0.25">
      <c r="A1576">
        <v>11308459</v>
      </c>
      <c r="B1576" t="s">
        <v>9</v>
      </c>
      <c r="C1576" t="s">
        <v>8</v>
      </c>
    </row>
    <row r="1577" spans="1:3" x14ac:dyDescent="0.25">
      <c r="A1577">
        <v>11333960</v>
      </c>
      <c r="B1577" t="s">
        <v>9</v>
      </c>
      <c r="C1577" t="s">
        <v>8</v>
      </c>
    </row>
    <row r="1578" spans="1:3" x14ac:dyDescent="0.25">
      <c r="A1578">
        <v>11344134</v>
      </c>
      <c r="B1578" t="s">
        <v>9</v>
      </c>
      <c r="C1578" t="s">
        <v>8</v>
      </c>
    </row>
    <row r="1579" spans="1:3" x14ac:dyDescent="0.25">
      <c r="A1579">
        <v>11330139</v>
      </c>
      <c r="B1579" t="s">
        <v>9</v>
      </c>
      <c r="C1579" t="s">
        <v>8</v>
      </c>
    </row>
    <row r="1580" spans="1:3" x14ac:dyDescent="0.25">
      <c r="A1580">
        <v>11347272</v>
      </c>
      <c r="B1580" t="s">
        <v>9</v>
      </c>
      <c r="C1580" t="s">
        <v>8</v>
      </c>
    </row>
    <row r="1581" spans="1:3" x14ac:dyDescent="0.25">
      <c r="A1581">
        <v>11347944</v>
      </c>
      <c r="B1581" t="s">
        <v>9</v>
      </c>
      <c r="C1581" t="s">
        <v>8</v>
      </c>
    </row>
    <row r="1582" spans="1:3" x14ac:dyDescent="0.25">
      <c r="A1582">
        <v>11348225</v>
      </c>
      <c r="B1582" t="s">
        <v>9</v>
      </c>
      <c r="C1582" t="s">
        <v>8</v>
      </c>
    </row>
    <row r="1583" spans="1:3" x14ac:dyDescent="0.25">
      <c r="A1583">
        <v>11225044</v>
      </c>
      <c r="B1583" t="s">
        <v>9</v>
      </c>
      <c r="C1583" t="s">
        <v>8</v>
      </c>
    </row>
    <row r="1584" spans="1:3" x14ac:dyDescent="0.25">
      <c r="A1584">
        <v>11268960</v>
      </c>
      <c r="B1584" t="s">
        <v>9</v>
      </c>
      <c r="C1584" t="s">
        <v>8</v>
      </c>
    </row>
    <row r="1585" spans="1:3" x14ac:dyDescent="0.25">
      <c r="A1585">
        <v>11271430</v>
      </c>
      <c r="B1585" t="s">
        <v>9</v>
      </c>
      <c r="C1585" t="s">
        <v>8</v>
      </c>
    </row>
    <row r="1586" spans="1:3" x14ac:dyDescent="0.25">
      <c r="A1586">
        <v>11010709</v>
      </c>
      <c r="B1586" t="s">
        <v>9</v>
      </c>
      <c r="C1586" t="s">
        <v>8</v>
      </c>
    </row>
    <row r="1587" spans="1:3" x14ac:dyDescent="0.25">
      <c r="A1587">
        <v>11012688</v>
      </c>
      <c r="B1587" t="s">
        <v>9</v>
      </c>
      <c r="C1587" t="s">
        <v>8</v>
      </c>
    </row>
    <row r="1588" spans="1:3" x14ac:dyDescent="0.25">
      <c r="A1588">
        <v>10967086</v>
      </c>
      <c r="B1588" t="s">
        <v>9</v>
      </c>
      <c r="C1588" t="s">
        <v>8</v>
      </c>
    </row>
    <row r="1589" spans="1:3" x14ac:dyDescent="0.25">
      <c r="A1589">
        <v>10961452</v>
      </c>
      <c r="B1589" t="s">
        <v>9</v>
      </c>
      <c r="C1589" t="s">
        <v>8</v>
      </c>
    </row>
    <row r="1590" spans="1:3" x14ac:dyDescent="0.25">
      <c r="A1590">
        <v>10999282</v>
      </c>
      <c r="B1590" t="s">
        <v>9</v>
      </c>
      <c r="C1590" t="s">
        <v>8</v>
      </c>
    </row>
    <row r="1591" spans="1:3" x14ac:dyDescent="0.25">
      <c r="A1591">
        <v>11000643</v>
      </c>
      <c r="B1591" t="s">
        <v>9</v>
      </c>
      <c r="C1591" t="s">
        <v>8</v>
      </c>
    </row>
    <row r="1592" spans="1:3" x14ac:dyDescent="0.25">
      <c r="A1592">
        <v>11001069</v>
      </c>
      <c r="B1592" t="s">
        <v>9</v>
      </c>
      <c r="C1592" t="s">
        <v>8</v>
      </c>
    </row>
    <row r="1593" spans="1:3" x14ac:dyDescent="0.25">
      <c r="A1593">
        <v>10766163</v>
      </c>
      <c r="B1593" t="s">
        <v>9</v>
      </c>
      <c r="C1593" t="s">
        <v>8</v>
      </c>
    </row>
    <row r="1594" spans="1:3" x14ac:dyDescent="0.25">
      <c r="A1594">
        <v>10742848</v>
      </c>
      <c r="B1594" t="s">
        <v>9</v>
      </c>
      <c r="C1594" t="s">
        <v>8</v>
      </c>
    </row>
    <row r="1595" spans="1:3" x14ac:dyDescent="0.25">
      <c r="A1595">
        <v>10745945</v>
      </c>
      <c r="B1595" t="s">
        <v>9</v>
      </c>
      <c r="C1595" t="s">
        <v>8</v>
      </c>
    </row>
    <row r="1596" spans="1:3" x14ac:dyDescent="0.25">
      <c r="A1596">
        <v>10747062</v>
      </c>
      <c r="B1596" t="s">
        <v>9</v>
      </c>
      <c r="C1596" t="s">
        <v>8</v>
      </c>
    </row>
    <row r="1597" spans="1:3" x14ac:dyDescent="0.25">
      <c r="A1597">
        <v>11312751</v>
      </c>
      <c r="B1597" t="s">
        <v>9</v>
      </c>
      <c r="C1597" t="s">
        <v>8</v>
      </c>
    </row>
    <row r="1598" spans="1:3" x14ac:dyDescent="0.25">
      <c r="A1598">
        <v>11617904</v>
      </c>
      <c r="B1598" t="s">
        <v>9</v>
      </c>
      <c r="C1598" t="s">
        <v>8</v>
      </c>
    </row>
    <row r="1599" spans="1:3" x14ac:dyDescent="0.25">
      <c r="A1599">
        <v>11621193</v>
      </c>
      <c r="B1599" t="s">
        <v>9</v>
      </c>
      <c r="C1599" t="s">
        <v>8</v>
      </c>
    </row>
    <row r="1600" spans="1:3" x14ac:dyDescent="0.25">
      <c r="A1600">
        <v>11622531</v>
      </c>
      <c r="B1600" t="s">
        <v>9</v>
      </c>
      <c r="C1600" t="s">
        <v>8</v>
      </c>
    </row>
    <row r="1601" spans="1:3" x14ac:dyDescent="0.25">
      <c r="A1601">
        <v>11612211</v>
      </c>
      <c r="B1601" t="s">
        <v>9</v>
      </c>
      <c r="C1601" t="s">
        <v>8</v>
      </c>
    </row>
    <row r="1602" spans="1:3" x14ac:dyDescent="0.25">
      <c r="A1602">
        <v>11601342</v>
      </c>
      <c r="B1602" t="s">
        <v>9</v>
      </c>
      <c r="C1602" t="s">
        <v>8</v>
      </c>
    </row>
    <row r="1603" spans="1:3" x14ac:dyDescent="0.25">
      <c r="A1603">
        <v>11604471</v>
      </c>
      <c r="B1603" t="s">
        <v>9</v>
      </c>
      <c r="C1603" t="s">
        <v>8</v>
      </c>
    </row>
    <row r="1604" spans="1:3" x14ac:dyDescent="0.25">
      <c r="A1604">
        <v>11609072</v>
      </c>
      <c r="B1604" t="s">
        <v>9</v>
      </c>
      <c r="C1604" t="s">
        <v>8</v>
      </c>
    </row>
    <row r="1605" spans="1:3" x14ac:dyDescent="0.25">
      <c r="A1605">
        <v>11631802</v>
      </c>
      <c r="B1605" t="s">
        <v>9</v>
      </c>
      <c r="C1605" t="s">
        <v>8</v>
      </c>
    </row>
    <row r="1606" spans="1:3" x14ac:dyDescent="0.25">
      <c r="A1606">
        <v>11632799</v>
      </c>
      <c r="B1606" t="s">
        <v>9</v>
      </c>
      <c r="C1606" t="s">
        <v>8</v>
      </c>
    </row>
    <row r="1607" spans="1:3" x14ac:dyDescent="0.25">
      <c r="A1607">
        <v>11632836</v>
      </c>
      <c r="B1607" t="s">
        <v>9</v>
      </c>
      <c r="C1607" t="s">
        <v>8</v>
      </c>
    </row>
    <row r="1608" spans="1:3" x14ac:dyDescent="0.25">
      <c r="A1608">
        <v>11634514</v>
      </c>
      <c r="B1608" t="s">
        <v>9</v>
      </c>
      <c r="C1608" t="s">
        <v>8</v>
      </c>
    </row>
    <row r="1609" spans="1:3" x14ac:dyDescent="0.25">
      <c r="A1609">
        <v>11629601</v>
      </c>
      <c r="B1609" t="s">
        <v>9</v>
      </c>
      <c r="C1609" t="s">
        <v>8</v>
      </c>
    </row>
    <row r="1610" spans="1:3" x14ac:dyDescent="0.25">
      <c r="A1610">
        <v>11718354</v>
      </c>
      <c r="B1610" t="s">
        <v>9</v>
      </c>
      <c r="C1610" t="s">
        <v>8</v>
      </c>
    </row>
    <row r="1611" spans="1:3" x14ac:dyDescent="0.25">
      <c r="A1611">
        <v>11668066</v>
      </c>
      <c r="B1611" t="s">
        <v>9</v>
      </c>
      <c r="C1611" t="s">
        <v>8</v>
      </c>
    </row>
    <row r="1612" spans="1:3" x14ac:dyDescent="0.25">
      <c r="A1612">
        <v>11669920</v>
      </c>
      <c r="B1612" t="s">
        <v>9</v>
      </c>
      <c r="C1612" t="s">
        <v>8</v>
      </c>
    </row>
    <row r="1613" spans="1:3" x14ac:dyDescent="0.25">
      <c r="A1613">
        <v>11670354</v>
      </c>
      <c r="B1613" t="s">
        <v>9</v>
      </c>
      <c r="C1613" t="s">
        <v>8</v>
      </c>
    </row>
    <row r="1614" spans="1:3" x14ac:dyDescent="0.25">
      <c r="A1614">
        <v>11664229</v>
      </c>
      <c r="B1614" t="s">
        <v>9</v>
      </c>
      <c r="C1614" t="s">
        <v>8</v>
      </c>
    </row>
    <row r="1615" spans="1:3" x14ac:dyDescent="0.25">
      <c r="A1615">
        <v>11256419</v>
      </c>
      <c r="B1615" t="s">
        <v>28</v>
      </c>
      <c r="C1615" t="s">
        <v>27</v>
      </c>
    </row>
    <row r="1616" spans="1:3" x14ac:dyDescent="0.25">
      <c r="A1616">
        <v>11348055</v>
      </c>
      <c r="B1616" t="s">
        <v>14</v>
      </c>
      <c r="C1616" t="s">
        <v>13</v>
      </c>
    </row>
    <row r="1617" spans="1:3" x14ac:dyDescent="0.25">
      <c r="A1617">
        <v>11348066</v>
      </c>
      <c r="B1617" t="s">
        <v>14</v>
      </c>
      <c r="C1617" t="s">
        <v>13</v>
      </c>
    </row>
    <row r="1618" spans="1:3" x14ac:dyDescent="0.25">
      <c r="A1618">
        <v>11348071</v>
      </c>
      <c r="B1618" t="s">
        <v>14</v>
      </c>
      <c r="C1618" t="s">
        <v>13</v>
      </c>
    </row>
    <row r="1619" spans="1:3" x14ac:dyDescent="0.25">
      <c r="A1619">
        <v>11348115</v>
      </c>
      <c r="B1619" t="s">
        <v>14</v>
      </c>
      <c r="C1619" t="s">
        <v>13</v>
      </c>
    </row>
    <row r="1620" spans="1:3" x14ac:dyDescent="0.25">
      <c r="A1620">
        <v>11348193</v>
      </c>
      <c r="B1620" t="s">
        <v>14</v>
      </c>
      <c r="C1620" t="s">
        <v>13</v>
      </c>
    </row>
    <row r="1621" spans="1:3" x14ac:dyDescent="0.25">
      <c r="A1621">
        <v>11348291</v>
      </c>
      <c r="B1621" t="s">
        <v>14</v>
      </c>
      <c r="C1621" t="s">
        <v>13</v>
      </c>
    </row>
    <row r="1622" spans="1:3" x14ac:dyDescent="0.25">
      <c r="A1622">
        <v>11607995</v>
      </c>
      <c r="B1622" t="s">
        <v>16</v>
      </c>
      <c r="C1622" t="s">
        <v>15</v>
      </c>
    </row>
    <row r="1623" spans="1:3" x14ac:dyDescent="0.25">
      <c r="A1623">
        <v>11817966</v>
      </c>
      <c r="B1623" t="s">
        <v>16</v>
      </c>
      <c r="C1623" t="s">
        <v>15</v>
      </c>
    </row>
    <row r="1624" spans="1:3" x14ac:dyDescent="0.25">
      <c r="A1624">
        <v>11818002</v>
      </c>
      <c r="B1624" t="s">
        <v>16</v>
      </c>
      <c r="C1624" t="s">
        <v>15</v>
      </c>
    </row>
    <row r="1625" spans="1:3" x14ac:dyDescent="0.25">
      <c r="A1625">
        <v>11851375</v>
      </c>
      <c r="B1625" t="s">
        <v>16</v>
      </c>
      <c r="C1625" t="s">
        <v>15</v>
      </c>
    </row>
    <row r="1626" spans="1:3" x14ac:dyDescent="0.25">
      <c r="A1626">
        <v>11660141</v>
      </c>
      <c r="B1626" t="s">
        <v>16</v>
      </c>
      <c r="C1626" t="s">
        <v>15</v>
      </c>
    </row>
    <row r="1627" spans="1:3" x14ac:dyDescent="0.25">
      <c r="A1627">
        <v>11543436</v>
      </c>
      <c r="B1627" t="s">
        <v>16</v>
      </c>
      <c r="C1627" t="s">
        <v>15</v>
      </c>
    </row>
    <row r="1628" spans="1:3" x14ac:dyDescent="0.25">
      <c r="A1628">
        <v>11407860</v>
      </c>
      <c r="B1628" t="s">
        <v>16</v>
      </c>
      <c r="C1628" t="s">
        <v>15</v>
      </c>
    </row>
    <row r="1629" spans="1:3" x14ac:dyDescent="0.25">
      <c r="A1629">
        <v>11465990</v>
      </c>
      <c r="B1629" t="s">
        <v>16</v>
      </c>
      <c r="C1629" t="s">
        <v>15</v>
      </c>
    </row>
    <row r="1630" spans="1:3" x14ac:dyDescent="0.25">
      <c r="A1630">
        <v>11345590</v>
      </c>
      <c r="B1630" t="s">
        <v>16</v>
      </c>
      <c r="C1630" t="s">
        <v>15</v>
      </c>
    </row>
    <row r="1631" spans="1:3" x14ac:dyDescent="0.25">
      <c r="A1631">
        <v>11391351</v>
      </c>
      <c r="B1631" t="s">
        <v>16</v>
      </c>
      <c r="C1631" t="s">
        <v>15</v>
      </c>
    </row>
    <row r="1632" spans="1:3" x14ac:dyDescent="0.25">
      <c r="A1632">
        <v>11284380</v>
      </c>
      <c r="B1632" t="s">
        <v>16</v>
      </c>
      <c r="C1632" t="s">
        <v>15</v>
      </c>
    </row>
    <row r="1633" spans="1:3" x14ac:dyDescent="0.25">
      <c r="A1633">
        <v>11092543</v>
      </c>
      <c r="B1633" t="s">
        <v>16</v>
      </c>
      <c r="C1633" t="s">
        <v>15</v>
      </c>
    </row>
    <row r="1634" spans="1:3" x14ac:dyDescent="0.25">
      <c r="A1634">
        <v>11094076</v>
      </c>
      <c r="B1634" t="s">
        <v>16</v>
      </c>
      <c r="C1634" t="s">
        <v>15</v>
      </c>
    </row>
    <row r="1635" spans="1:3" x14ac:dyDescent="0.25">
      <c r="A1635">
        <v>11183749</v>
      </c>
      <c r="B1635" t="s">
        <v>16</v>
      </c>
      <c r="C1635" t="s">
        <v>15</v>
      </c>
    </row>
    <row r="1636" spans="1:3" x14ac:dyDescent="0.25">
      <c r="A1636">
        <v>11194335</v>
      </c>
      <c r="B1636" t="s">
        <v>16</v>
      </c>
      <c r="C1636" t="s">
        <v>15</v>
      </c>
    </row>
    <row r="1637" spans="1:3" x14ac:dyDescent="0.25">
      <c r="A1637">
        <v>10954754</v>
      </c>
      <c r="B1637" t="s">
        <v>16</v>
      </c>
      <c r="C1637" t="s">
        <v>15</v>
      </c>
    </row>
    <row r="1638" spans="1:3" x14ac:dyDescent="0.25">
      <c r="A1638">
        <v>11008827</v>
      </c>
      <c r="B1638" t="s">
        <v>16</v>
      </c>
      <c r="C1638" t="s">
        <v>15</v>
      </c>
    </row>
    <row r="1639" spans="1:3" x14ac:dyDescent="0.25">
      <c r="A1639">
        <v>11715359</v>
      </c>
      <c r="B1639" t="s">
        <v>18</v>
      </c>
      <c r="C1639" t="s">
        <v>17</v>
      </c>
    </row>
    <row r="1640" spans="1:3" x14ac:dyDescent="0.25">
      <c r="A1640">
        <v>11630850</v>
      </c>
      <c r="B1640" t="s">
        <v>18</v>
      </c>
      <c r="C1640" t="s">
        <v>17</v>
      </c>
    </row>
    <row r="1641" spans="1:3" x14ac:dyDescent="0.25">
      <c r="A1641">
        <v>11496682</v>
      </c>
      <c r="B1641" t="s">
        <v>18</v>
      </c>
      <c r="C1641" t="s">
        <v>17</v>
      </c>
    </row>
    <row r="1642" spans="1:3" x14ac:dyDescent="0.25">
      <c r="A1642">
        <v>11483552</v>
      </c>
      <c r="B1642" t="s">
        <v>18</v>
      </c>
      <c r="C1642" t="s">
        <v>17</v>
      </c>
    </row>
    <row r="1643" spans="1:3" x14ac:dyDescent="0.25">
      <c r="A1643">
        <v>11607873</v>
      </c>
      <c r="B1643" t="s">
        <v>18</v>
      </c>
      <c r="C1643" t="s">
        <v>17</v>
      </c>
    </row>
    <row r="1644" spans="1:3" x14ac:dyDescent="0.25">
      <c r="A1644">
        <v>11694919</v>
      </c>
      <c r="B1644" t="s">
        <v>18</v>
      </c>
      <c r="C1644" t="s">
        <v>24</v>
      </c>
    </row>
    <row r="1645" spans="1:3" x14ac:dyDescent="0.25">
      <c r="A1645">
        <v>11856048</v>
      </c>
      <c r="B1645" t="s">
        <v>18</v>
      </c>
      <c r="C1645" t="s">
        <v>17</v>
      </c>
    </row>
    <row r="1646" spans="1:3" x14ac:dyDescent="0.25">
      <c r="A1646">
        <v>11300762</v>
      </c>
      <c r="B1646" t="s">
        <v>18</v>
      </c>
      <c r="C1646" t="s">
        <v>17</v>
      </c>
    </row>
    <row r="1647" spans="1:3" x14ac:dyDescent="0.25">
      <c r="A1647">
        <v>11708055</v>
      </c>
      <c r="B1647" t="s">
        <v>18</v>
      </c>
      <c r="C1647" t="s">
        <v>17</v>
      </c>
    </row>
    <row r="1648" spans="1:3" x14ac:dyDescent="0.25">
      <c r="A1648">
        <v>11345411</v>
      </c>
      <c r="B1648" t="s">
        <v>18</v>
      </c>
      <c r="C1648" t="s">
        <v>17</v>
      </c>
    </row>
    <row r="1649" spans="1:3" x14ac:dyDescent="0.25">
      <c r="A1649">
        <v>11347478</v>
      </c>
      <c r="B1649" t="s">
        <v>18</v>
      </c>
      <c r="C1649" t="s">
        <v>17</v>
      </c>
    </row>
    <row r="1650" spans="1:3" x14ac:dyDescent="0.25">
      <c r="A1650">
        <v>11382988</v>
      </c>
      <c r="B1650" t="s">
        <v>18</v>
      </c>
      <c r="C1650" t="s">
        <v>17</v>
      </c>
    </row>
    <row r="1651" spans="1:3" x14ac:dyDescent="0.25">
      <c r="A1651">
        <v>11396053</v>
      </c>
      <c r="B1651" t="s">
        <v>18</v>
      </c>
      <c r="C1651" t="s">
        <v>17</v>
      </c>
    </row>
    <row r="1652" spans="1:3" x14ac:dyDescent="0.25">
      <c r="A1652">
        <v>11408282</v>
      </c>
      <c r="B1652" t="s">
        <v>18</v>
      </c>
      <c r="C1652" t="s">
        <v>17</v>
      </c>
    </row>
    <row r="1653" spans="1:3" x14ac:dyDescent="0.25">
      <c r="A1653">
        <v>11408945</v>
      </c>
      <c r="B1653" t="s">
        <v>18</v>
      </c>
      <c r="C1653" t="s">
        <v>17</v>
      </c>
    </row>
    <row r="1654" spans="1:3" x14ac:dyDescent="0.25">
      <c r="A1654">
        <v>10721281</v>
      </c>
      <c r="B1654" t="s">
        <v>9</v>
      </c>
      <c r="C1654" t="s">
        <v>8</v>
      </c>
    </row>
    <row r="1655" spans="1:3" x14ac:dyDescent="0.25">
      <c r="A1655">
        <v>10722962</v>
      </c>
      <c r="B1655" t="s">
        <v>9</v>
      </c>
      <c r="C1655" t="s">
        <v>8</v>
      </c>
    </row>
    <row r="1656" spans="1:3" x14ac:dyDescent="0.25">
      <c r="A1656">
        <v>10724692</v>
      </c>
      <c r="B1656" t="s">
        <v>9</v>
      </c>
      <c r="C1656" t="s">
        <v>8</v>
      </c>
    </row>
    <row r="1657" spans="1:3" x14ac:dyDescent="0.25">
      <c r="A1657">
        <v>10704307</v>
      </c>
      <c r="B1657" t="s">
        <v>9</v>
      </c>
      <c r="C1657" t="s">
        <v>8</v>
      </c>
    </row>
    <row r="1658" spans="1:3" x14ac:dyDescent="0.25">
      <c r="A1658">
        <v>10705066</v>
      </c>
      <c r="B1658" t="s">
        <v>9</v>
      </c>
      <c r="C1658" t="s">
        <v>8</v>
      </c>
    </row>
    <row r="1659" spans="1:3" x14ac:dyDescent="0.25">
      <c r="A1659">
        <v>10705414</v>
      </c>
      <c r="B1659" t="s">
        <v>9</v>
      </c>
      <c r="C1659" t="s">
        <v>8</v>
      </c>
    </row>
    <row r="1660" spans="1:3" x14ac:dyDescent="0.25">
      <c r="A1660">
        <v>10698064</v>
      </c>
      <c r="B1660" t="s">
        <v>9</v>
      </c>
      <c r="C1660" t="s">
        <v>8</v>
      </c>
    </row>
    <row r="1661" spans="1:3" x14ac:dyDescent="0.25">
      <c r="A1661">
        <v>11626985</v>
      </c>
      <c r="B1661" t="s">
        <v>14</v>
      </c>
      <c r="C1661" t="s">
        <v>13</v>
      </c>
    </row>
    <row r="1662" spans="1:3" x14ac:dyDescent="0.25">
      <c r="A1662">
        <v>11617902</v>
      </c>
      <c r="B1662" t="s">
        <v>14</v>
      </c>
      <c r="C1662" t="s">
        <v>13</v>
      </c>
    </row>
    <row r="1663" spans="1:3" x14ac:dyDescent="0.25">
      <c r="A1663">
        <v>11617974</v>
      </c>
      <c r="B1663" t="s">
        <v>14</v>
      </c>
      <c r="C1663" t="s">
        <v>13</v>
      </c>
    </row>
    <row r="1664" spans="1:3" x14ac:dyDescent="0.25">
      <c r="A1664">
        <v>11618283</v>
      </c>
      <c r="B1664" t="s">
        <v>14</v>
      </c>
      <c r="C1664" t="s">
        <v>13</v>
      </c>
    </row>
    <row r="1665" spans="1:3" x14ac:dyDescent="0.25">
      <c r="A1665">
        <v>11111175</v>
      </c>
      <c r="B1665" t="s">
        <v>20</v>
      </c>
      <c r="C1665" t="s">
        <v>19</v>
      </c>
    </row>
    <row r="1666" spans="1:3" x14ac:dyDescent="0.25">
      <c r="A1666">
        <v>11112751</v>
      </c>
      <c r="B1666" t="s">
        <v>20</v>
      </c>
      <c r="C1666" t="s">
        <v>19</v>
      </c>
    </row>
    <row r="1667" spans="1:3" x14ac:dyDescent="0.25">
      <c r="A1667">
        <v>10791477</v>
      </c>
      <c r="B1667" t="s">
        <v>20</v>
      </c>
      <c r="C1667" t="s">
        <v>19</v>
      </c>
    </row>
    <row r="1668" spans="1:3" x14ac:dyDescent="0.25">
      <c r="A1668">
        <v>10791560</v>
      </c>
      <c r="B1668" t="s">
        <v>20</v>
      </c>
      <c r="C1668" t="s">
        <v>19</v>
      </c>
    </row>
    <row r="1669" spans="1:3" x14ac:dyDescent="0.25">
      <c r="A1669">
        <v>10794152</v>
      </c>
      <c r="B1669" t="s">
        <v>20</v>
      </c>
      <c r="C1669" t="s">
        <v>19</v>
      </c>
    </row>
    <row r="1670" spans="1:3" x14ac:dyDescent="0.25">
      <c r="A1670">
        <v>10796317</v>
      </c>
      <c r="B1670" t="s">
        <v>20</v>
      </c>
      <c r="C1670" t="s">
        <v>19</v>
      </c>
    </row>
    <row r="1671" spans="1:3" x14ac:dyDescent="0.25">
      <c r="A1671">
        <v>11282991</v>
      </c>
      <c r="B1671" t="s">
        <v>20</v>
      </c>
      <c r="C1671" t="s">
        <v>19</v>
      </c>
    </row>
    <row r="1672" spans="1:3" x14ac:dyDescent="0.25">
      <c r="A1672">
        <v>11284023</v>
      </c>
      <c r="B1672" t="s">
        <v>20</v>
      </c>
      <c r="C1672" t="s">
        <v>19</v>
      </c>
    </row>
    <row r="1673" spans="1:3" x14ac:dyDescent="0.25">
      <c r="A1673">
        <v>11070606</v>
      </c>
      <c r="B1673" t="s">
        <v>22</v>
      </c>
    </row>
    <row r="1674" spans="1:3" x14ac:dyDescent="0.25">
      <c r="A1674">
        <v>11071869</v>
      </c>
      <c r="B1674" t="s">
        <v>22</v>
      </c>
    </row>
    <row r="1675" spans="1:3" x14ac:dyDescent="0.25">
      <c r="A1675">
        <v>11068504</v>
      </c>
      <c r="B1675" t="s">
        <v>22</v>
      </c>
    </row>
    <row r="1676" spans="1:3" x14ac:dyDescent="0.25">
      <c r="A1676">
        <v>11599703</v>
      </c>
      <c r="B1676" t="s">
        <v>22</v>
      </c>
    </row>
    <row r="1677" spans="1:3" x14ac:dyDescent="0.25">
      <c r="A1677">
        <v>11344704</v>
      </c>
      <c r="B1677" t="s">
        <v>7</v>
      </c>
      <c r="C1677" t="s">
        <v>6</v>
      </c>
    </row>
    <row r="1678" spans="1:3" x14ac:dyDescent="0.25">
      <c r="A1678">
        <v>11264792</v>
      </c>
      <c r="B1678" t="s">
        <v>12</v>
      </c>
    </row>
    <row r="1679" spans="1:3" x14ac:dyDescent="0.25">
      <c r="A1679">
        <v>11933972</v>
      </c>
      <c r="B1679" t="s">
        <v>9</v>
      </c>
    </row>
    <row r="1680" spans="1:3" x14ac:dyDescent="0.25">
      <c r="A1680">
        <v>11290065</v>
      </c>
      <c r="B1680" t="s">
        <v>12</v>
      </c>
    </row>
    <row r="1681" spans="1:2" x14ac:dyDescent="0.25">
      <c r="A1681">
        <v>11334533</v>
      </c>
      <c r="B1681" t="s">
        <v>12</v>
      </c>
    </row>
    <row r="1682" spans="1:2" x14ac:dyDescent="0.25">
      <c r="A1682">
        <v>11346530</v>
      </c>
      <c r="B1682" t="s">
        <v>12</v>
      </c>
    </row>
    <row r="1683" spans="1:2" x14ac:dyDescent="0.25">
      <c r="A1683">
        <v>11421234</v>
      </c>
      <c r="B1683" t="s">
        <v>12</v>
      </c>
    </row>
    <row r="1684" spans="1:2" x14ac:dyDescent="0.25">
      <c r="A1684">
        <v>11715844</v>
      </c>
      <c r="B1684" t="s">
        <v>12</v>
      </c>
    </row>
    <row r="1685" spans="1:2" x14ac:dyDescent="0.25">
      <c r="A1685">
        <v>11724450</v>
      </c>
      <c r="B1685" t="s">
        <v>12</v>
      </c>
    </row>
    <row r="1686" spans="1:2" x14ac:dyDescent="0.25">
      <c r="A1686">
        <v>11461300</v>
      </c>
      <c r="B1686" t="s">
        <v>12</v>
      </c>
    </row>
    <row r="1687" spans="1:2" x14ac:dyDescent="0.25">
      <c r="A1687">
        <v>11445191</v>
      </c>
      <c r="B1687" t="s">
        <v>12</v>
      </c>
    </row>
    <row r="1688" spans="1:2" x14ac:dyDescent="0.25">
      <c r="A1688">
        <v>11453877</v>
      </c>
      <c r="B1688" t="s">
        <v>12</v>
      </c>
    </row>
    <row r="1689" spans="1:2" x14ac:dyDescent="0.25">
      <c r="A1689">
        <v>11520708</v>
      </c>
      <c r="B1689" t="s">
        <v>12</v>
      </c>
    </row>
    <row r="1690" spans="1:2" x14ac:dyDescent="0.25">
      <c r="A1690">
        <v>11091695</v>
      </c>
      <c r="B1690" t="s">
        <v>12</v>
      </c>
    </row>
    <row r="1691" spans="1:2" x14ac:dyDescent="0.25">
      <c r="A1691">
        <v>11047536</v>
      </c>
      <c r="B1691" t="s">
        <v>12</v>
      </c>
    </row>
    <row r="1692" spans="1:2" x14ac:dyDescent="0.25">
      <c r="A1692">
        <v>10958736</v>
      </c>
      <c r="B1692" t="s">
        <v>12</v>
      </c>
    </row>
    <row r="1693" spans="1:2" x14ac:dyDescent="0.25">
      <c r="A1693">
        <v>10961624</v>
      </c>
      <c r="B1693" t="s">
        <v>12</v>
      </c>
    </row>
    <row r="1694" spans="1:2" x14ac:dyDescent="0.25">
      <c r="A1694">
        <v>10980224</v>
      </c>
      <c r="B1694" t="s">
        <v>12</v>
      </c>
    </row>
    <row r="1695" spans="1:2" x14ac:dyDescent="0.25">
      <c r="A1695">
        <v>10853591</v>
      </c>
      <c r="B1695" t="s">
        <v>12</v>
      </c>
    </row>
    <row r="1696" spans="1:2" x14ac:dyDescent="0.25">
      <c r="A1696">
        <v>10919276</v>
      </c>
      <c r="B1696" t="s">
        <v>12</v>
      </c>
    </row>
    <row r="1697" spans="1:3" x14ac:dyDescent="0.25">
      <c r="A1697">
        <v>10640009</v>
      </c>
      <c r="B1697" t="s">
        <v>12</v>
      </c>
    </row>
    <row r="1698" spans="1:3" x14ac:dyDescent="0.25">
      <c r="A1698">
        <v>10676449</v>
      </c>
      <c r="B1698" t="s">
        <v>12</v>
      </c>
    </row>
    <row r="1699" spans="1:3" x14ac:dyDescent="0.25">
      <c r="A1699">
        <v>10696938</v>
      </c>
      <c r="B1699" t="s">
        <v>12</v>
      </c>
    </row>
    <row r="1700" spans="1:3" x14ac:dyDescent="0.25">
      <c r="A1700">
        <v>10705532</v>
      </c>
      <c r="B1700" t="s">
        <v>12</v>
      </c>
    </row>
    <row r="1701" spans="1:3" x14ac:dyDescent="0.25">
      <c r="A1701">
        <v>10885182</v>
      </c>
      <c r="B1701" t="s">
        <v>12</v>
      </c>
    </row>
    <row r="1702" spans="1:3" x14ac:dyDescent="0.25">
      <c r="A1702">
        <v>10913550</v>
      </c>
      <c r="B1702" t="s">
        <v>12</v>
      </c>
    </row>
    <row r="1703" spans="1:3" x14ac:dyDescent="0.25">
      <c r="A1703">
        <v>10964224</v>
      </c>
      <c r="B1703" t="s">
        <v>9</v>
      </c>
      <c r="C1703" t="s">
        <v>8</v>
      </c>
    </row>
    <row r="1704" spans="1:3" x14ac:dyDescent="0.25">
      <c r="A1704">
        <v>11023211</v>
      </c>
      <c r="B1704" t="s">
        <v>9</v>
      </c>
      <c r="C1704" t="s">
        <v>8</v>
      </c>
    </row>
    <row r="1705" spans="1:3" x14ac:dyDescent="0.25">
      <c r="A1705">
        <v>11311517</v>
      </c>
      <c r="B1705" t="s">
        <v>9</v>
      </c>
      <c r="C1705" t="s">
        <v>8</v>
      </c>
    </row>
    <row r="1706" spans="1:3" x14ac:dyDescent="0.25">
      <c r="A1706">
        <v>11581769</v>
      </c>
      <c r="B1706" t="s">
        <v>9</v>
      </c>
      <c r="C1706" t="s">
        <v>8</v>
      </c>
    </row>
    <row r="1707" spans="1:3" x14ac:dyDescent="0.25">
      <c r="A1707">
        <v>11824982</v>
      </c>
      <c r="B1707" t="s">
        <v>11</v>
      </c>
      <c r="C1707" t="s">
        <v>10</v>
      </c>
    </row>
    <row r="1708" spans="1:3" x14ac:dyDescent="0.25">
      <c r="A1708">
        <v>11613507</v>
      </c>
      <c r="B1708" t="s">
        <v>9</v>
      </c>
      <c r="C1708" t="s">
        <v>8</v>
      </c>
    </row>
    <row r="1709" spans="1:3" x14ac:dyDescent="0.25">
      <c r="A1709">
        <v>11592974</v>
      </c>
      <c r="B1709" t="s">
        <v>9</v>
      </c>
      <c r="C1709" t="s">
        <v>8</v>
      </c>
    </row>
    <row r="1710" spans="1:3" x14ac:dyDescent="0.25">
      <c r="A1710">
        <v>11627077</v>
      </c>
      <c r="B1710" t="s">
        <v>9</v>
      </c>
    </row>
    <row r="1711" spans="1:3" x14ac:dyDescent="0.25">
      <c r="A1711">
        <v>11574073</v>
      </c>
      <c r="B1711" t="s">
        <v>7</v>
      </c>
      <c r="C1711" t="s">
        <v>6</v>
      </c>
    </row>
    <row r="1712" spans="1:3" x14ac:dyDescent="0.25">
      <c r="A1712">
        <v>11643814</v>
      </c>
      <c r="B1712" t="s">
        <v>9</v>
      </c>
      <c r="C1712" t="s">
        <v>8</v>
      </c>
    </row>
    <row r="1713" spans="1:3" x14ac:dyDescent="0.25">
      <c r="A1713">
        <v>11740769</v>
      </c>
      <c r="B1713" t="s">
        <v>9</v>
      </c>
      <c r="C1713" t="s">
        <v>8</v>
      </c>
    </row>
    <row r="1714" spans="1:3" x14ac:dyDescent="0.25">
      <c r="A1714">
        <v>11645505</v>
      </c>
      <c r="B1714" t="s">
        <v>23</v>
      </c>
    </row>
    <row r="1715" spans="1:3" x14ac:dyDescent="0.25">
      <c r="A1715">
        <v>11971167</v>
      </c>
      <c r="B1715" t="s">
        <v>9</v>
      </c>
      <c r="C1715" t="s">
        <v>8</v>
      </c>
    </row>
    <row r="1716" spans="1:3" x14ac:dyDescent="0.25">
      <c r="A1716">
        <v>11937987</v>
      </c>
      <c r="B1716" t="s">
        <v>9</v>
      </c>
      <c r="C1716" t="s">
        <v>8</v>
      </c>
    </row>
    <row r="1717" spans="1:3" x14ac:dyDescent="0.25">
      <c r="A1717">
        <v>11942566</v>
      </c>
      <c r="B1717" t="s">
        <v>9</v>
      </c>
      <c r="C1717" t="s">
        <v>8</v>
      </c>
    </row>
    <row r="1718" spans="1:3" x14ac:dyDescent="0.25">
      <c r="A1718">
        <v>11993184</v>
      </c>
      <c r="B1718" t="s">
        <v>9</v>
      </c>
      <c r="C1718" t="s">
        <v>8</v>
      </c>
    </row>
    <row r="1719" spans="1:3" x14ac:dyDescent="0.25">
      <c r="A1719">
        <v>11999840</v>
      </c>
      <c r="B1719" t="s">
        <v>9</v>
      </c>
      <c r="C1719" t="s">
        <v>8</v>
      </c>
    </row>
    <row r="1720" spans="1:3" x14ac:dyDescent="0.25">
      <c r="A1720">
        <v>12015655</v>
      </c>
      <c r="B1720" t="s">
        <v>9</v>
      </c>
      <c r="C1720" t="s">
        <v>8</v>
      </c>
    </row>
    <row r="1721" spans="1:3" x14ac:dyDescent="0.25">
      <c r="A1721">
        <v>12019895</v>
      </c>
      <c r="B1721" t="s">
        <v>9</v>
      </c>
      <c r="C1721" t="s">
        <v>8</v>
      </c>
    </row>
    <row r="1722" spans="1:3" x14ac:dyDescent="0.25">
      <c r="A1722">
        <v>12020519</v>
      </c>
      <c r="B1722" t="s">
        <v>9</v>
      </c>
      <c r="C1722" t="s">
        <v>8</v>
      </c>
    </row>
    <row r="1723" spans="1:3" x14ac:dyDescent="0.25">
      <c r="A1723">
        <v>12025673</v>
      </c>
      <c r="B1723" t="s">
        <v>9</v>
      </c>
      <c r="C1723" t="s">
        <v>8</v>
      </c>
    </row>
    <row r="1724" spans="1:3" x14ac:dyDescent="0.25">
      <c r="A1724">
        <v>11594118</v>
      </c>
      <c r="B1724" t="s">
        <v>7</v>
      </c>
      <c r="C1724" t="s">
        <v>6</v>
      </c>
    </row>
    <row r="1725" spans="1:3" x14ac:dyDescent="0.25">
      <c r="A1725">
        <v>11594788</v>
      </c>
      <c r="B1725" t="s">
        <v>7</v>
      </c>
      <c r="C1725" t="s">
        <v>6</v>
      </c>
    </row>
    <row r="1726" spans="1:3" x14ac:dyDescent="0.25">
      <c r="A1726">
        <v>11600231</v>
      </c>
      <c r="B1726" t="s">
        <v>22</v>
      </c>
      <c r="C1726" t="s">
        <v>21</v>
      </c>
    </row>
    <row r="1727" spans="1:3" x14ac:dyDescent="0.25">
      <c r="A1727">
        <v>11630105</v>
      </c>
      <c r="B1727" t="s">
        <v>18</v>
      </c>
      <c r="C1727" t="s">
        <v>17</v>
      </c>
    </row>
    <row r="1728" spans="1:3" x14ac:dyDescent="0.25">
      <c r="A1728">
        <v>10623424</v>
      </c>
      <c r="B1728" t="s">
        <v>9</v>
      </c>
      <c r="C1728" t="s">
        <v>8</v>
      </c>
    </row>
    <row r="1729" spans="1:3" x14ac:dyDescent="0.25">
      <c r="A1729">
        <v>11047468</v>
      </c>
      <c r="B1729" t="s">
        <v>26</v>
      </c>
    </row>
    <row r="1730" spans="1:3" x14ac:dyDescent="0.25">
      <c r="A1730">
        <v>10645204</v>
      </c>
      <c r="B1730" t="s">
        <v>12</v>
      </c>
    </row>
    <row r="1731" spans="1:3" x14ac:dyDescent="0.25">
      <c r="A1731">
        <v>10860175</v>
      </c>
      <c r="B1731" t="s">
        <v>12</v>
      </c>
    </row>
    <row r="1732" spans="1:3" x14ac:dyDescent="0.25">
      <c r="A1732">
        <v>11530289</v>
      </c>
      <c r="B1732" t="s">
        <v>23</v>
      </c>
      <c r="C1732" t="s">
        <v>25</v>
      </c>
    </row>
    <row r="1733" spans="1:3" x14ac:dyDescent="0.25">
      <c r="A1733">
        <v>11453301</v>
      </c>
      <c r="B1733" t="s">
        <v>9</v>
      </c>
      <c r="C1733" t="s">
        <v>8</v>
      </c>
    </row>
    <row r="1734" spans="1:3" x14ac:dyDescent="0.25">
      <c r="A1734">
        <v>11461317</v>
      </c>
      <c r="B1734" t="s">
        <v>9</v>
      </c>
      <c r="C1734" t="s">
        <v>8</v>
      </c>
    </row>
    <row r="1735" spans="1:3" x14ac:dyDescent="0.25">
      <c r="A1735">
        <v>11361866</v>
      </c>
      <c r="B1735" t="s">
        <v>9</v>
      </c>
      <c r="C1735" t="s">
        <v>8</v>
      </c>
    </row>
    <row r="1736" spans="1:3" x14ac:dyDescent="0.25">
      <c r="A1736">
        <v>11391005</v>
      </c>
      <c r="B1736" t="s">
        <v>9</v>
      </c>
      <c r="C1736" t="s">
        <v>8</v>
      </c>
    </row>
    <row r="1737" spans="1:3" x14ac:dyDescent="0.25">
      <c r="A1737">
        <v>10621522</v>
      </c>
      <c r="B1737" t="s">
        <v>9</v>
      </c>
      <c r="C1737" t="s">
        <v>8</v>
      </c>
    </row>
    <row r="1738" spans="1:3" x14ac:dyDescent="0.25">
      <c r="A1738">
        <v>11422047</v>
      </c>
      <c r="B1738" t="s">
        <v>9</v>
      </c>
      <c r="C1738" t="s">
        <v>8</v>
      </c>
    </row>
    <row r="1739" spans="1:3" x14ac:dyDescent="0.25">
      <c r="A1739">
        <v>11047537</v>
      </c>
      <c r="B1739" t="s">
        <v>9</v>
      </c>
      <c r="C1739" t="s">
        <v>8</v>
      </c>
    </row>
    <row r="1740" spans="1:3" x14ac:dyDescent="0.25">
      <c r="A1740">
        <v>11222406</v>
      </c>
      <c r="B1740" t="s">
        <v>9</v>
      </c>
      <c r="C1740" t="s">
        <v>8</v>
      </c>
    </row>
    <row r="1741" spans="1:3" x14ac:dyDescent="0.25">
      <c r="A1741">
        <v>11290662</v>
      </c>
      <c r="B1741" t="s">
        <v>9</v>
      </c>
      <c r="C1741" t="s">
        <v>8</v>
      </c>
    </row>
    <row r="1742" spans="1:3" x14ac:dyDescent="0.25">
      <c r="A1742">
        <v>10803939</v>
      </c>
      <c r="B1742" t="s">
        <v>9</v>
      </c>
      <c r="C1742" t="s">
        <v>8</v>
      </c>
    </row>
    <row r="1743" spans="1:3" x14ac:dyDescent="0.25">
      <c r="A1743">
        <v>10808217</v>
      </c>
      <c r="B1743" t="s">
        <v>9</v>
      </c>
      <c r="C1743" t="s">
        <v>8</v>
      </c>
    </row>
    <row r="1744" spans="1:3" x14ac:dyDescent="0.25">
      <c r="A1744">
        <v>10809356</v>
      </c>
      <c r="B1744" t="s">
        <v>9</v>
      </c>
      <c r="C1744" t="s">
        <v>8</v>
      </c>
    </row>
    <row r="1745" spans="1:3" x14ac:dyDescent="0.25">
      <c r="A1745">
        <v>10849290</v>
      </c>
      <c r="B1745" t="s">
        <v>9</v>
      </c>
      <c r="C1745" t="s">
        <v>8</v>
      </c>
    </row>
    <row r="1746" spans="1:3" x14ac:dyDescent="0.25">
      <c r="A1746">
        <v>10891107</v>
      </c>
      <c r="B1746" t="s">
        <v>9</v>
      </c>
      <c r="C1746" t="s">
        <v>8</v>
      </c>
    </row>
    <row r="1747" spans="1:3" x14ac:dyDescent="0.25">
      <c r="A1747">
        <v>10891198</v>
      </c>
      <c r="B1747" t="s">
        <v>9</v>
      </c>
      <c r="C1747" t="s">
        <v>8</v>
      </c>
    </row>
    <row r="1748" spans="1:3" x14ac:dyDescent="0.25">
      <c r="A1748">
        <v>10749434</v>
      </c>
      <c r="B1748" t="s">
        <v>9</v>
      </c>
      <c r="C1748" t="s">
        <v>8</v>
      </c>
    </row>
    <row r="1749" spans="1:3" x14ac:dyDescent="0.25">
      <c r="A1749">
        <v>10777652</v>
      </c>
      <c r="B1749" t="s">
        <v>9</v>
      </c>
      <c r="C1749" t="s">
        <v>8</v>
      </c>
    </row>
    <row r="1750" spans="1:3" x14ac:dyDescent="0.25">
      <c r="A1750">
        <v>10703830</v>
      </c>
      <c r="B1750" t="s">
        <v>9</v>
      </c>
      <c r="C1750" t="s">
        <v>8</v>
      </c>
    </row>
    <row r="1751" spans="1:3" x14ac:dyDescent="0.25">
      <c r="A1751">
        <v>10719260</v>
      </c>
      <c r="B1751" t="s">
        <v>9</v>
      </c>
      <c r="C1751" t="s">
        <v>8</v>
      </c>
    </row>
    <row r="1752" spans="1:3" x14ac:dyDescent="0.25">
      <c r="A1752">
        <v>10719817</v>
      </c>
      <c r="B1752" t="s">
        <v>9</v>
      </c>
      <c r="C1752" t="s">
        <v>8</v>
      </c>
    </row>
    <row r="1753" spans="1:3" x14ac:dyDescent="0.25">
      <c r="A1753">
        <v>11684528</v>
      </c>
      <c r="B1753" t="s">
        <v>22</v>
      </c>
      <c r="C1753" t="s">
        <v>21</v>
      </c>
    </row>
    <row r="1754" spans="1:3" x14ac:dyDescent="0.25">
      <c r="A1754">
        <v>11699064</v>
      </c>
      <c r="B1754" t="s">
        <v>22</v>
      </c>
      <c r="C1754" t="s">
        <v>21</v>
      </c>
    </row>
    <row r="1755" spans="1:3" x14ac:dyDescent="0.25">
      <c r="A1755">
        <v>11272773</v>
      </c>
      <c r="B1755" t="s">
        <v>14</v>
      </c>
      <c r="C1755" t="s">
        <v>13</v>
      </c>
    </row>
    <row r="1756" spans="1:3" x14ac:dyDescent="0.25">
      <c r="A1756">
        <v>11349650</v>
      </c>
      <c r="B1756" t="s">
        <v>14</v>
      </c>
      <c r="C1756" t="s">
        <v>13</v>
      </c>
    </row>
    <row r="1757" spans="1:3" x14ac:dyDescent="0.25">
      <c r="A1757">
        <v>11775697</v>
      </c>
      <c r="B1757" t="s">
        <v>14</v>
      </c>
      <c r="C1757" t="s">
        <v>13</v>
      </c>
    </row>
    <row r="1758" spans="1:3" x14ac:dyDescent="0.25">
      <c r="A1758">
        <v>10806920</v>
      </c>
      <c r="B1758" t="s">
        <v>20</v>
      </c>
      <c r="C1758" t="s">
        <v>19</v>
      </c>
    </row>
    <row r="1759" spans="1:3" x14ac:dyDescent="0.25">
      <c r="A1759">
        <v>10691204</v>
      </c>
      <c r="B1759" t="s">
        <v>9</v>
      </c>
      <c r="C1759" t="s">
        <v>8</v>
      </c>
    </row>
    <row r="1760" spans="1:3" x14ac:dyDescent="0.25">
      <c r="A1760">
        <v>10939465</v>
      </c>
      <c r="B1760" t="s">
        <v>9</v>
      </c>
      <c r="C1760" t="s">
        <v>8</v>
      </c>
    </row>
    <row r="1761" spans="1:3" x14ac:dyDescent="0.25">
      <c r="A1761">
        <v>10935283</v>
      </c>
      <c r="B1761" t="s">
        <v>9</v>
      </c>
      <c r="C1761" t="s">
        <v>8</v>
      </c>
    </row>
    <row r="1762" spans="1:3" x14ac:dyDescent="0.25">
      <c r="A1762">
        <v>10936560</v>
      </c>
      <c r="B1762" t="s">
        <v>9</v>
      </c>
      <c r="C1762" t="s">
        <v>8</v>
      </c>
    </row>
    <row r="1763" spans="1:3" x14ac:dyDescent="0.25">
      <c r="A1763">
        <v>10933651</v>
      </c>
      <c r="B1763" t="s">
        <v>9</v>
      </c>
      <c r="C1763" t="s">
        <v>8</v>
      </c>
    </row>
    <row r="1764" spans="1:3" x14ac:dyDescent="0.25">
      <c r="A1764">
        <v>11267521</v>
      </c>
      <c r="B1764" t="s">
        <v>9</v>
      </c>
      <c r="C1764" t="s">
        <v>8</v>
      </c>
    </row>
    <row r="1765" spans="1:3" x14ac:dyDescent="0.25">
      <c r="A1765">
        <v>11347589</v>
      </c>
      <c r="B1765" t="s">
        <v>9</v>
      </c>
      <c r="C1765" t="s">
        <v>8</v>
      </c>
    </row>
    <row r="1766" spans="1:3" x14ac:dyDescent="0.25">
      <c r="A1766">
        <v>11282555</v>
      </c>
      <c r="B1766" t="s">
        <v>9</v>
      </c>
      <c r="C1766" t="s">
        <v>8</v>
      </c>
    </row>
    <row r="1767" spans="1:3" x14ac:dyDescent="0.25">
      <c r="A1767">
        <v>11273353</v>
      </c>
      <c r="B1767" t="s">
        <v>9</v>
      </c>
      <c r="C1767" t="s">
        <v>8</v>
      </c>
    </row>
    <row r="1768" spans="1:3" x14ac:dyDescent="0.25">
      <c r="A1768">
        <v>11673966</v>
      </c>
      <c r="B1768" t="s">
        <v>9</v>
      </c>
      <c r="C1768" t="s">
        <v>8</v>
      </c>
    </row>
    <row r="1769" spans="1:3" x14ac:dyDescent="0.25">
      <c r="A1769">
        <v>11674740</v>
      </c>
      <c r="B1769" t="s">
        <v>9</v>
      </c>
      <c r="C1769" t="s">
        <v>8</v>
      </c>
    </row>
    <row r="1770" spans="1:3" x14ac:dyDescent="0.25">
      <c r="A1770">
        <v>11646736</v>
      </c>
      <c r="B1770" t="s">
        <v>9</v>
      </c>
      <c r="C1770" t="s">
        <v>8</v>
      </c>
    </row>
    <row r="1771" spans="1:3" x14ac:dyDescent="0.25">
      <c r="A1771">
        <v>11666215</v>
      </c>
      <c r="B1771" t="s">
        <v>9</v>
      </c>
      <c r="C1771" t="s">
        <v>8</v>
      </c>
    </row>
    <row r="1772" spans="1:3" x14ac:dyDescent="0.25">
      <c r="A1772">
        <v>11650191</v>
      </c>
      <c r="B1772" t="s">
        <v>9</v>
      </c>
      <c r="C1772" t="s">
        <v>8</v>
      </c>
    </row>
    <row r="1773" spans="1:3" x14ac:dyDescent="0.25">
      <c r="A1773">
        <v>11717257</v>
      </c>
      <c r="B1773" t="s">
        <v>9</v>
      </c>
      <c r="C1773" t="s">
        <v>8</v>
      </c>
    </row>
    <row r="1774" spans="1:3" x14ac:dyDescent="0.25">
      <c r="A1774">
        <v>11623552</v>
      </c>
      <c r="B1774" t="s">
        <v>9</v>
      </c>
      <c r="C1774" t="s">
        <v>8</v>
      </c>
    </row>
    <row r="1775" spans="1:3" x14ac:dyDescent="0.25">
      <c r="A1775">
        <v>11579800</v>
      </c>
      <c r="B1775" t="s">
        <v>16</v>
      </c>
      <c r="C1775" t="s">
        <v>15</v>
      </c>
    </row>
    <row r="1776" spans="1:3" x14ac:dyDescent="0.25">
      <c r="A1776">
        <v>11608030</v>
      </c>
      <c r="B1776" t="s">
        <v>16</v>
      </c>
      <c r="C1776" t="s">
        <v>15</v>
      </c>
    </row>
    <row r="1777" spans="1:3" x14ac:dyDescent="0.25">
      <c r="A1777">
        <v>10747018</v>
      </c>
      <c r="B1777" t="s">
        <v>9</v>
      </c>
      <c r="C1777" t="s">
        <v>8</v>
      </c>
    </row>
    <row r="1778" spans="1:3" x14ac:dyDescent="0.25">
      <c r="A1778">
        <v>10745001</v>
      </c>
      <c r="B1778" t="s">
        <v>9</v>
      </c>
      <c r="C1778" t="s">
        <v>8</v>
      </c>
    </row>
    <row r="1779" spans="1:3" x14ac:dyDescent="0.25">
      <c r="A1779">
        <v>10737411</v>
      </c>
      <c r="B1779" t="s">
        <v>9</v>
      </c>
      <c r="C1779" t="s">
        <v>8</v>
      </c>
    </row>
    <row r="1780" spans="1:3" x14ac:dyDescent="0.25">
      <c r="A1780">
        <v>10846157</v>
      </c>
      <c r="B1780" t="s">
        <v>9</v>
      </c>
      <c r="C1780" t="s">
        <v>8</v>
      </c>
    </row>
    <row r="1781" spans="1:3" x14ac:dyDescent="0.25">
      <c r="A1781">
        <v>10834999</v>
      </c>
      <c r="B1781" t="s">
        <v>9</v>
      </c>
      <c r="C1781" t="s">
        <v>8</v>
      </c>
    </row>
    <row r="1782" spans="1:3" x14ac:dyDescent="0.25">
      <c r="A1782">
        <v>10826533</v>
      </c>
      <c r="B1782" t="s">
        <v>9</v>
      </c>
      <c r="C1782" t="s">
        <v>8</v>
      </c>
    </row>
    <row r="1783" spans="1:3" x14ac:dyDescent="0.25">
      <c r="A1783">
        <v>10817655</v>
      </c>
      <c r="B1783" t="s">
        <v>9</v>
      </c>
      <c r="C1783" t="s">
        <v>8</v>
      </c>
    </row>
    <row r="1784" spans="1:3" x14ac:dyDescent="0.25">
      <c r="A1784">
        <v>10818860</v>
      </c>
      <c r="B1784" t="s">
        <v>9</v>
      </c>
      <c r="C1784" t="s">
        <v>8</v>
      </c>
    </row>
    <row r="1785" spans="1:3" x14ac:dyDescent="0.25">
      <c r="A1785">
        <v>10824328</v>
      </c>
      <c r="B1785" t="s">
        <v>9</v>
      </c>
      <c r="C1785" t="s">
        <v>8</v>
      </c>
    </row>
    <row r="1786" spans="1:3" x14ac:dyDescent="0.25">
      <c r="A1786">
        <v>10804267</v>
      </c>
      <c r="B1786" t="s">
        <v>9</v>
      </c>
      <c r="C1786" t="s">
        <v>8</v>
      </c>
    </row>
    <row r="1787" spans="1:3" x14ac:dyDescent="0.25">
      <c r="A1787">
        <v>11216187</v>
      </c>
      <c r="B1787" t="s">
        <v>9</v>
      </c>
      <c r="C1787" t="s">
        <v>8</v>
      </c>
    </row>
    <row r="1788" spans="1:3" x14ac:dyDescent="0.25">
      <c r="A1788">
        <v>11070445</v>
      </c>
      <c r="B1788" t="s">
        <v>9</v>
      </c>
      <c r="C1788" t="s">
        <v>8</v>
      </c>
    </row>
    <row r="1789" spans="1:3" x14ac:dyDescent="0.25">
      <c r="A1789">
        <v>11008097</v>
      </c>
      <c r="B1789" t="s">
        <v>9</v>
      </c>
      <c r="C1789" t="s">
        <v>8</v>
      </c>
    </row>
    <row r="1790" spans="1:3" x14ac:dyDescent="0.25">
      <c r="A1790">
        <v>11012692</v>
      </c>
      <c r="B1790" t="s">
        <v>9</v>
      </c>
      <c r="C1790" t="s">
        <v>8</v>
      </c>
    </row>
    <row r="1791" spans="1:3" x14ac:dyDescent="0.25">
      <c r="A1791">
        <v>10997806</v>
      </c>
      <c r="B1791" t="s">
        <v>9</v>
      </c>
      <c r="C1791" t="s">
        <v>8</v>
      </c>
    </row>
    <row r="1792" spans="1:3" x14ac:dyDescent="0.25">
      <c r="A1792">
        <v>10964873</v>
      </c>
      <c r="B1792" t="s">
        <v>9</v>
      </c>
      <c r="C1792" t="s">
        <v>8</v>
      </c>
    </row>
    <row r="1793" spans="1:3" x14ac:dyDescent="0.25">
      <c r="A1793">
        <v>10950407</v>
      </c>
      <c r="B1793" t="s">
        <v>9</v>
      </c>
      <c r="C1793" t="s">
        <v>8</v>
      </c>
    </row>
    <row r="1794" spans="1:3" x14ac:dyDescent="0.25">
      <c r="A1794">
        <v>10953202</v>
      </c>
      <c r="B1794" t="s">
        <v>9</v>
      </c>
      <c r="C1794" t="s">
        <v>8</v>
      </c>
    </row>
    <row r="1795" spans="1:3" x14ac:dyDescent="0.25">
      <c r="A1795">
        <v>10958795</v>
      </c>
      <c r="B1795" t="s">
        <v>9</v>
      </c>
      <c r="C1795" t="s">
        <v>8</v>
      </c>
    </row>
    <row r="1796" spans="1:3" x14ac:dyDescent="0.25">
      <c r="A1796">
        <v>11317634</v>
      </c>
      <c r="B1796" t="s">
        <v>9</v>
      </c>
      <c r="C1796" t="s">
        <v>8</v>
      </c>
    </row>
    <row r="1797" spans="1:3" x14ac:dyDescent="0.25">
      <c r="A1797">
        <v>11242777</v>
      </c>
      <c r="B1797" t="s">
        <v>9</v>
      </c>
      <c r="C1797" t="s">
        <v>8</v>
      </c>
    </row>
    <row r="1798" spans="1:3" x14ac:dyDescent="0.25">
      <c r="A1798">
        <v>11268843</v>
      </c>
      <c r="B1798" t="s">
        <v>9</v>
      </c>
      <c r="C1798" t="s">
        <v>8</v>
      </c>
    </row>
    <row r="1799" spans="1:3" x14ac:dyDescent="0.25">
      <c r="A1799">
        <v>11386360</v>
      </c>
      <c r="B1799" t="s">
        <v>9</v>
      </c>
      <c r="C1799" t="s">
        <v>8</v>
      </c>
    </row>
    <row r="1800" spans="1:3" x14ac:dyDescent="0.25">
      <c r="A1800">
        <v>11353534</v>
      </c>
      <c r="B1800" t="s">
        <v>9</v>
      </c>
      <c r="C1800" t="s">
        <v>8</v>
      </c>
    </row>
    <row r="1801" spans="1:3" x14ac:dyDescent="0.25">
      <c r="A1801">
        <v>11580462</v>
      </c>
      <c r="B1801" t="s">
        <v>14</v>
      </c>
      <c r="C1801" t="s">
        <v>13</v>
      </c>
    </row>
    <row r="1802" spans="1:3" x14ac:dyDescent="0.25">
      <c r="A1802">
        <v>11507864</v>
      </c>
      <c r="B1802" t="s">
        <v>16</v>
      </c>
      <c r="C1802" t="s">
        <v>15</v>
      </c>
    </row>
    <row r="1803" spans="1:3" x14ac:dyDescent="0.25">
      <c r="A1803">
        <v>11435155</v>
      </c>
      <c r="B1803" t="s">
        <v>18</v>
      </c>
      <c r="C1803" t="s">
        <v>17</v>
      </c>
    </row>
    <row r="1804" spans="1:3" x14ac:dyDescent="0.25">
      <c r="A1804">
        <v>11457587</v>
      </c>
      <c r="B1804" t="s">
        <v>18</v>
      </c>
      <c r="C1804" t="s">
        <v>17</v>
      </c>
    </row>
    <row r="1805" spans="1:3" x14ac:dyDescent="0.25">
      <c r="A1805">
        <v>11419904</v>
      </c>
      <c r="B1805" t="s">
        <v>18</v>
      </c>
      <c r="C1805" t="s">
        <v>17</v>
      </c>
    </row>
    <row r="1806" spans="1:3" x14ac:dyDescent="0.25">
      <c r="A1806">
        <v>11710491</v>
      </c>
      <c r="B1806" t="s">
        <v>18</v>
      </c>
      <c r="C1806" t="s">
        <v>24</v>
      </c>
    </row>
    <row r="1807" spans="1:3" x14ac:dyDescent="0.25">
      <c r="A1807">
        <v>11997202</v>
      </c>
      <c r="B1807" t="s">
        <v>9</v>
      </c>
      <c r="C1807" t="s">
        <v>8</v>
      </c>
    </row>
    <row r="1808" spans="1:3" x14ac:dyDescent="0.25">
      <c r="A1808">
        <v>11930189</v>
      </c>
      <c r="B1808" t="s">
        <v>9</v>
      </c>
      <c r="C1808" t="s">
        <v>8</v>
      </c>
    </row>
    <row r="1809" spans="1:3" x14ac:dyDescent="0.25">
      <c r="A1809">
        <v>11967603</v>
      </c>
      <c r="B1809" t="s">
        <v>9</v>
      </c>
      <c r="C1809" t="s">
        <v>8</v>
      </c>
    </row>
    <row r="1810" spans="1:3" x14ac:dyDescent="0.25">
      <c r="A1810">
        <v>11949593</v>
      </c>
      <c r="B1810" t="s">
        <v>9</v>
      </c>
      <c r="C1810" t="s">
        <v>8</v>
      </c>
    </row>
    <row r="1811" spans="1:3" x14ac:dyDescent="0.25">
      <c r="A1811">
        <v>11382540</v>
      </c>
      <c r="B1811" t="s">
        <v>7</v>
      </c>
      <c r="C1811" t="s">
        <v>6</v>
      </c>
    </row>
    <row r="1812" spans="1:3" x14ac:dyDescent="0.25">
      <c r="A1812">
        <v>11382849</v>
      </c>
      <c r="B1812" t="s">
        <v>7</v>
      </c>
      <c r="C1812" t="s">
        <v>6</v>
      </c>
    </row>
    <row r="1813" spans="1:3" x14ac:dyDescent="0.25">
      <c r="A1813">
        <v>11300176</v>
      </c>
      <c r="B1813" t="s">
        <v>20</v>
      </c>
      <c r="C1813" t="s">
        <v>19</v>
      </c>
    </row>
    <row r="1814" spans="1:3" x14ac:dyDescent="0.25">
      <c r="A1814">
        <v>11300378</v>
      </c>
      <c r="B1814" t="s">
        <v>20</v>
      </c>
      <c r="C1814" t="s">
        <v>19</v>
      </c>
    </row>
    <row r="1815" spans="1:3" x14ac:dyDescent="0.25">
      <c r="A1815">
        <v>11868790</v>
      </c>
      <c r="B1815" t="s">
        <v>22</v>
      </c>
      <c r="C1815" t="s">
        <v>21</v>
      </c>
    </row>
    <row r="1816" spans="1:3" x14ac:dyDescent="0.25">
      <c r="A1816">
        <v>11911487</v>
      </c>
      <c r="B1816" t="s">
        <v>9</v>
      </c>
    </row>
    <row r="1817" spans="1:3" x14ac:dyDescent="0.25">
      <c r="A1817">
        <v>11843830</v>
      </c>
      <c r="B1817" t="s">
        <v>9</v>
      </c>
      <c r="C1817" t="s">
        <v>8</v>
      </c>
    </row>
    <row r="1818" spans="1:3" x14ac:dyDescent="0.25">
      <c r="A1818">
        <v>11876290</v>
      </c>
      <c r="B1818" t="s">
        <v>9</v>
      </c>
      <c r="C1818" t="s">
        <v>8</v>
      </c>
    </row>
    <row r="1819" spans="1:3" x14ac:dyDescent="0.25">
      <c r="A1819">
        <v>11880212</v>
      </c>
      <c r="B1819" t="s">
        <v>9</v>
      </c>
      <c r="C1819" t="s">
        <v>8</v>
      </c>
    </row>
    <row r="1820" spans="1:3" x14ac:dyDescent="0.25">
      <c r="A1820">
        <v>11648417</v>
      </c>
      <c r="B1820" t="s">
        <v>9</v>
      </c>
      <c r="C1820" t="s">
        <v>8</v>
      </c>
    </row>
    <row r="1821" spans="1:3" x14ac:dyDescent="0.25">
      <c r="A1821">
        <v>11490009</v>
      </c>
      <c r="B1821" t="s">
        <v>9</v>
      </c>
      <c r="C1821" t="s">
        <v>8</v>
      </c>
    </row>
    <row r="1822" spans="1:3" x14ac:dyDescent="0.25">
      <c r="A1822">
        <v>11633652</v>
      </c>
      <c r="B1822" t="s">
        <v>9</v>
      </c>
      <c r="C1822" t="s">
        <v>8</v>
      </c>
    </row>
    <row r="1823" spans="1:3" x14ac:dyDescent="0.25">
      <c r="A1823">
        <v>11264785</v>
      </c>
      <c r="B1823" t="s">
        <v>9</v>
      </c>
      <c r="C1823" t="s">
        <v>8</v>
      </c>
    </row>
    <row r="1824" spans="1:3" x14ac:dyDescent="0.25">
      <c r="A1824">
        <v>11264862</v>
      </c>
      <c r="B1824" t="s">
        <v>9</v>
      </c>
      <c r="C1824" t="s">
        <v>8</v>
      </c>
    </row>
    <row r="1825" spans="1:3" x14ac:dyDescent="0.25">
      <c r="A1825">
        <v>10641502</v>
      </c>
      <c r="B1825" t="s">
        <v>9</v>
      </c>
      <c r="C1825" t="s">
        <v>8</v>
      </c>
    </row>
    <row r="1826" spans="1:3" x14ac:dyDescent="0.25">
      <c r="A1826">
        <v>11303671</v>
      </c>
      <c r="B1826" t="s">
        <v>9</v>
      </c>
      <c r="C1826" t="s">
        <v>8</v>
      </c>
    </row>
    <row r="1827" spans="1:3" x14ac:dyDescent="0.25">
      <c r="A1827">
        <v>11304237</v>
      </c>
      <c r="B1827" t="s">
        <v>9</v>
      </c>
      <c r="C1827" t="s">
        <v>8</v>
      </c>
    </row>
    <row r="1828" spans="1:3" x14ac:dyDescent="0.25">
      <c r="A1828">
        <v>10961540</v>
      </c>
      <c r="B1828" t="s">
        <v>9</v>
      </c>
      <c r="C1828" t="s">
        <v>8</v>
      </c>
    </row>
    <row r="1829" spans="1:3" x14ac:dyDescent="0.25">
      <c r="A1829">
        <v>10955618</v>
      </c>
      <c r="B1829" t="s">
        <v>9</v>
      </c>
      <c r="C1829" t="s">
        <v>8</v>
      </c>
    </row>
    <row r="1830" spans="1:3" x14ac:dyDescent="0.25">
      <c r="A1830">
        <v>10970381</v>
      </c>
      <c r="B1830" t="s">
        <v>9</v>
      </c>
      <c r="C1830" t="s">
        <v>8</v>
      </c>
    </row>
    <row r="1831" spans="1:3" x14ac:dyDescent="0.25">
      <c r="A1831">
        <v>10952585</v>
      </c>
      <c r="B1831" t="s">
        <v>9</v>
      </c>
      <c r="C1831" t="s">
        <v>8</v>
      </c>
    </row>
    <row r="1832" spans="1:3" x14ac:dyDescent="0.25">
      <c r="A1832">
        <v>11030645</v>
      </c>
      <c r="B1832" t="s">
        <v>9</v>
      </c>
      <c r="C1832" t="s">
        <v>8</v>
      </c>
    </row>
    <row r="1833" spans="1:3" x14ac:dyDescent="0.25">
      <c r="A1833">
        <v>11013332</v>
      </c>
      <c r="B1833" t="s">
        <v>9</v>
      </c>
      <c r="C1833" t="s">
        <v>8</v>
      </c>
    </row>
    <row r="1834" spans="1:3" x14ac:dyDescent="0.25">
      <c r="A1834">
        <v>11489953</v>
      </c>
      <c r="B1834" t="s">
        <v>9</v>
      </c>
    </row>
    <row r="1835" spans="1:3" x14ac:dyDescent="0.25">
      <c r="A1835">
        <v>10746472</v>
      </c>
      <c r="B1835" t="s">
        <v>11</v>
      </c>
      <c r="C1835" t="s">
        <v>10</v>
      </c>
    </row>
    <row r="1836" spans="1:3" x14ac:dyDescent="0.25">
      <c r="A1836">
        <v>11374221</v>
      </c>
      <c r="B1836" t="s">
        <v>7</v>
      </c>
      <c r="C1836" t="s">
        <v>6</v>
      </c>
    </row>
    <row r="1837" spans="1:3" x14ac:dyDescent="0.25">
      <c r="A1837">
        <v>11348623</v>
      </c>
      <c r="B1837" t="s">
        <v>7</v>
      </c>
      <c r="C1837" t="s">
        <v>6</v>
      </c>
    </row>
    <row r="1838" spans="1:3" x14ac:dyDescent="0.25">
      <c r="A1838">
        <v>11358078</v>
      </c>
      <c r="B1838" t="s">
        <v>7</v>
      </c>
      <c r="C1838" t="s">
        <v>6</v>
      </c>
    </row>
    <row r="1839" spans="1:3" x14ac:dyDescent="0.25">
      <c r="A1839">
        <v>11680702</v>
      </c>
      <c r="B1839" t="s">
        <v>9</v>
      </c>
      <c r="C1839" t="s">
        <v>8</v>
      </c>
    </row>
    <row r="1840" spans="1:3" x14ac:dyDescent="0.25">
      <c r="A1840">
        <v>11801937</v>
      </c>
      <c r="B1840" t="s">
        <v>9</v>
      </c>
      <c r="C1840" t="s">
        <v>8</v>
      </c>
    </row>
    <row r="1841" spans="1:3" x14ac:dyDescent="0.25">
      <c r="A1841">
        <v>11736597</v>
      </c>
      <c r="B1841" t="s">
        <v>9</v>
      </c>
      <c r="C1841" t="s">
        <v>8</v>
      </c>
    </row>
    <row r="1842" spans="1:3" x14ac:dyDescent="0.25">
      <c r="A1842">
        <v>11707589</v>
      </c>
      <c r="B1842" t="s">
        <v>9</v>
      </c>
      <c r="C1842" t="s">
        <v>8</v>
      </c>
    </row>
    <row r="1843" spans="1:3" x14ac:dyDescent="0.25">
      <c r="A1843">
        <v>11762169</v>
      </c>
      <c r="B1843" t="s">
        <v>9</v>
      </c>
      <c r="C1843" t="s">
        <v>8</v>
      </c>
    </row>
    <row r="1844" spans="1:3" x14ac:dyDescent="0.25">
      <c r="A1844">
        <v>11810939</v>
      </c>
      <c r="B1844" t="s">
        <v>9</v>
      </c>
      <c r="C1844" t="s">
        <v>8</v>
      </c>
    </row>
    <row r="1845" spans="1:3" x14ac:dyDescent="0.25">
      <c r="A1845">
        <v>11731186</v>
      </c>
      <c r="B1845" t="s">
        <v>9</v>
      </c>
      <c r="C1845" t="s">
        <v>8</v>
      </c>
    </row>
    <row r="1846" spans="1:3" x14ac:dyDescent="0.25">
      <c r="A1846">
        <v>11708571</v>
      </c>
      <c r="B1846" t="s">
        <v>12</v>
      </c>
    </row>
    <row r="1847" spans="1:3" x14ac:dyDescent="0.25">
      <c r="A1847">
        <v>11629722</v>
      </c>
      <c r="B1847" t="s">
        <v>12</v>
      </c>
    </row>
    <row r="1848" spans="1:3" x14ac:dyDescent="0.25">
      <c r="A1848">
        <v>11562201</v>
      </c>
      <c r="B1848" t="s">
        <v>12</v>
      </c>
    </row>
    <row r="1849" spans="1:3" x14ac:dyDescent="0.25">
      <c r="A1849">
        <v>11573700</v>
      </c>
      <c r="B1849" t="s">
        <v>12</v>
      </c>
    </row>
    <row r="1850" spans="1:3" x14ac:dyDescent="0.25">
      <c r="A1850">
        <v>11317433</v>
      </c>
      <c r="B1850" t="s">
        <v>12</v>
      </c>
    </row>
    <row r="1851" spans="1:3" x14ac:dyDescent="0.25">
      <c r="A1851">
        <v>11282992</v>
      </c>
      <c r="B1851" t="s">
        <v>12</v>
      </c>
    </row>
    <row r="1852" spans="1:3" x14ac:dyDescent="0.25">
      <c r="A1852">
        <v>11266443</v>
      </c>
      <c r="B1852" t="s">
        <v>12</v>
      </c>
    </row>
    <row r="1853" spans="1:3" x14ac:dyDescent="0.25">
      <c r="A1853">
        <v>11263822</v>
      </c>
      <c r="B1853" t="s">
        <v>12</v>
      </c>
    </row>
    <row r="1854" spans="1:3" x14ac:dyDescent="0.25">
      <c r="A1854">
        <v>11431874</v>
      </c>
      <c r="B1854" t="s">
        <v>12</v>
      </c>
    </row>
    <row r="1855" spans="1:3" x14ac:dyDescent="0.25">
      <c r="A1855">
        <v>10840880</v>
      </c>
      <c r="B1855" t="s">
        <v>12</v>
      </c>
    </row>
    <row r="1856" spans="1:3" x14ac:dyDescent="0.25">
      <c r="A1856">
        <v>10773060</v>
      </c>
      <c r="B1856" t="s">
        <v>12</v>
      </c>
    </row>
    <row r="1857" spans="1:3" x14ac:dyDescent="0.25">
      <c r="A1857">
        <v>11920881</v>
      </c>
      <c r="B1857" t="s">
        <v>12</v>
      </c>
    </row>
    <row r="1858" spans="1:3" x14ac:dyDescent="0.25">
      <c r="A1858">
        <v>11900798</v>
      </c>
      <c r="B1858" t="s">
        <v>12</v>
      </c>
    </row>
    <row r="1859" spans="1:3" x14ac:dyDescent="0.25">
      <c r="A1859">
        <v>10782692</v>
      </c>
      <c r="B1859" t="s">
        <v>12</v>
      </c>
    </row>
    <row r="1860" spans="1:3" x14ac:dyDescent="0.25">
      <c r="A1860">
        <v>10794590</v>
      </c>
      <c r="B1860" t="s">
        <v>12</v>
      </c>
    </row>
    <row r="1861" spans="1:3" x14ac:dyDescent="0.25">
      <c r="A1861">
        <v>10665604</v>
      </c>
      <c r="B1861" t="s">
        <v>12</v>
      </c>
    </row>
    <row r="1862" spans="1:3" x14ac:dyDescent="0.25">
      <c r="A1862">
        <v>10683933</v>
      </c>
      <c r="B1862" t="s">
        <v>12</v>
      </c>
    </row>
    <row r="1863" spans="1:3" x14ac:dyDescent="0.25">
      <c r="A1863">
        <v>10691252</v>
      </c>
      <c r="B1863" t="s">
        <v>12</v>
      </c>
    </row>
    <row r="1864" spans="1:3" x14ac:dyDescent="0.25">
      <c r="A1864">
        <v>11666771</v>
      </c>
      <c r="B1864" t="s">
        <v>9</v>
      </c>
      <c r="C1864" t="s">
        <v>8</v>
      </c>
    </row>
    <row r="1865" spans="1:3" x14ac:dyDescent="0.25">
      <c r="A1865">
        <v>11645536</v>
      </c>
      <c r="B1865" t="s">
        <v>9</v>
      </c>
      <c r="C1865" t="s">
        <v>8</v>
      </c>
    </row>
    <row r="1866" spans="1:3" x14ac:dyDescent="0.25">
      <c r="A1866">
        <v>11720335</v>
      </c>
      <c r="B1866" t="s">
        <v>9</v>
      </c>
      <c r="C1866" t="s">
        <v>8</v>
      </c>
    </row>
    <row r="1867" spans="1:3" x14ac:dyDescent="0.25">
      <c r="A1867">
        <v>10835878</v>
      </c>
      <c r="B1867" t="s">
        <v>9</v>
      </c>
      <c r="C1867" t="s">
        <v>8</v>
      </c>
    </row>
    <row r="1868" spans="1:3" x14ac:dyDescent="0.25">
      <c r="A1868">
        <v>10772027</v>
      </c>
      <c r="B1868" t="s">
        <v>9</v>
      </c>
      <c r="C1868" t="s">
        <v>8</v>
      </c>
    </row>
    <row r="1869" spans="1:3" x14ac:dyDescent="0.25">
      <c r="A1869">
        <v>10881810</v>
      </c>
      <c r="B1869" t="s">
        <v>9</v>
      </c>
      <c r="C1869" t="s">
        <v>8</v>
      </c>
    </row>
    <row r="1870" spans="1:3" x14ac:dyDescent="0.25">
      <c r="A1870">
        <v>10881351</v>
      </c>
      <c r="B1870" t="s">
        <v>9</v>
      </c>
      <c r="C1870" t="s">
        <v>8</v>
      </c>
    </row>
    <row r="1871" spans="1:3" x14ac:dyDescent="0.25">
      <c r="A1871">
        <v>10939911</v>
      </c>
      <c r="B1871" t="s">
        <v>9</v>
      </c>
      <c r="C1871" t="s">
        <v>8</v>
      </c>
    </row>
    <row r="1872" spans="1:3" x14ac:dyDescent="0.25">
      <c r="A1872">
        <v>11343133</v>
      </c>
      <c r="B1872" t="s">
        <v>7</v>
      </c>
      <c r="C1872" t="s">
        <v>6</v>
      </c>
    </row>
    <row r="1873" spans="1:3" x14ac:dyDescent="0.25">
      <c r="A1873">
        <v>11343431</v>
      </c>
      <c r="B1873" t="s">
        <v>7</v>
      </c>
      <c r="C1873" t="s">
        <v>6</v>
      </c>
    </row>
    <row r="1874" spans="1:3" x14ac:dyDescent="0.25">
      <c r="A1874">
        <v>11591588</v>
      </c>
      <c r="B1874" t="s">
        <v>7</v>
      </c>
      <c r="C1874" t="s">
        <v>6</v>
      </c>
    </row>
    <row r="1875" spans="1:3" x14ac:dyDescent="0.25">
      <c r="A1875">
        <v>11583303</v>
      </c>
      <c r="B1875" t="s">
        <v>7</v>
      </c>
      <c r="C1875" t="s">
        <v>6</v>
      </c>
    </row>
    <row r="1876" spans="1:3" x14ac:dyDescent="0.25">
      <c r="A1876">
        <v>11583414</v>
      </c>
      <c r="B1876" t="s">
        <v>7</v>
      </c>
      <c r="C1876" t="s">
        <v>6</v>
      </c>
    </row>
    <row r="1877" spans="1:3" x14ac:dyDescent="0.25">
      <c r="A1877">
        <v>11580684</v>
      </c>
      <c r="B1877" t="s">
        <v>7</v>
      </c>
      <c r="C1877" t="s">
        <v>6</v>
      </c>
    </row>
    <row r="1878" spans="1:3" x14ac:dyDescent="0.25">
      <c r="A1878">
        <v>11573071</v>
      </c>
      <c r="B1878" t="s">
        <v>7</v>
      </c>
      <c r="C1878" t="s">
        <v>6</v>
      </c>
    </row>
    <row r="1879" spans="1:3" x14ac:dyDescent="0.25">
      <c r="A1879">
        <v>11562193</v>
      </c>
      <c r="B1879" t="s">
        <v>7</v>
      </c>
      <c r="C1879" t="s">
        <v>6</v>
      </c>
    </row>
    <row r="1880" spans="1:3" x14ac:dyDescent="0.25">
      <c r="A1880">
        <v>11559764</v>
      </c>
      <c r="B1880" t="s">
        <v>7</v>
      </c>
      <c r="C1880" t="s">
        <v>6</v>
      </c>
    </row>
    <row r="1881" spans="1:3" x14ac:dyDescent="0.25">
      <c r="A1881">
        <v>11559071</v>
      </c>
      <c r="B1881" t="s">
        <v>7</v>
      </c>
      <c r="C1881" t="s">
        <v>6</v>
      </c>
    </row>
    <row r="1882" spans="1:3" x14ac:dyDescent="0.25">
      <c r="A1882">
        <v>11559274</v>
      </c>
      <c r="B1882" t="s">
        <v>7</v>
      </c>
      <c r="C1882" t="s">
        <v>6</v>
      </c>
    </row>
    <row r="1883" spans="1:3" x14ac:dyDescent="0.25">
      <c r="A1883">
        <v>11543592</v>
      </c>
      <c r="B1883" t="s">
        <v>7</v>
      </c>
      <c r="C1883" t="s">
        <v>6</v>
      </c>
    </row>
    <row r="1884" spans="1:3" x14ac:dyDescent="0.25">
      <c r="A1884">
        <v>11543936</v>
      </c>
      <c r="B1884" t="s">
        <v>7</v>
      </c>
      <c r="C1884" t="s">
        <v>6</v>
      </c>
    </row>
    <row r="1885" spans="1:3" x14ac:dyDescent="0.25">
      <c r="A1885">
        <v>11634608</v>
      </c>
      <c r="B1885" t="s">
        <v>7</v>
      </c>
      <c r="C1885" t="s">
        <v>6</v>
      </c>
    </row>
    <row r="1886" spans="1:3" x14ac:dyDescent="0.25">
      <c r="A1886">
        <v>11617765</v>
      </c>
      <c r="B1886" t="s">
        <v>7</v>
      </c>
      <c r="C1886" t="s">
        <v>6</v>
      </c>
    </row>
    <row r="1887" spans="1:3" x14ac:dyDescent="0.25">
      <c r="A1887">
        <v>11971744</v>
      </c>
      <c r="B1887" t="s">
        <v>23</v>
      </c>
    </row>
    <row r="1888" spans="1:3" x14ac:dyDescent="0.25">
      <c r="A1888">
        <v>11208915</v>
      </c>
      <c r="B1888" t="s">
        <v>12</v>
      </c>
    </row>
    <row r="1889" spans="1:2" x14ac:dyDescent="0.25">
      <c r="A1889">
        <v>11448783</v>
      </c>
      <c r="B1889" t="s">
        <v>12</v>
      </c>
    </row>
    <row r="1890" spans="1:2" x14ac:dyDescent="0.25">
      <c r="A1890">
        <v>11454009</v>
      </c>
      <c r="B1890" t="s">
        <v>12</v>
      </c>
    </row>
    <row r="1891" spans="1:2" x14ac:dyDescent="0.25">
      <c r="A1891">
        <v>10930465</v>
      </c>
      <c r="B1891" t="s">
        <v>12</v>
      </c>
    </row>
    <row r="1892" spans="1:2" x14ac:dyDescent="0.25">
      <c r="A1892">
        <v>11538865</v>
      </c>
      <c r="B1892" t="s">
        <v>12</v>
      </c>
    </row>
    <row r="1893" spans="1:2" x14ac:dyDescent="0.25">
      <c r="A1893">
        <v>11116788</v>
      </c>
      <c r="B1893" t="s">
        <v>12</v>
      </c>
    </row>
    <row r="1894" spans="1:2" x14ac:dyDescent="0.25">
      <c r="A1894">
        <v>11082426</v>
      </c>
      <c r="B1894" t="s">
        <v>12</v>
      </c>
    </row>
    <row r="1895" spans="1:2" x14ac:dyDescent="0.25">
      <c r="A1895">
        <v>11072277</v>
      </c>
      <c r="B1895" t="s">
        <v>12</v>
      </c>
    </row>
    <row r="1896" spans="1:2" x14ac:dyDescent="0.25">
      <c r="A1896">
        <v>11058571</v>
      </c>
      <c r="B1896" t="s">
        <v>12</v>
      </c>
    </row>
    <row r="1897" spans="1:2" x14ac:dyDescent="0.25">
      <c r="A1897">
        <v>11058342</v>
      </c>
      <c r="B1897" t="s">
        <v>12</v>
      </c>
    </row>
    <row r="1898" spans="1:2" x14ac:dyDescent="0.25">
      <c r="A1898">
        <v>11048469</v>
      </c>
      <c r="B1898" t="s">
        <v>12</v>
      </c>
    </row>
    <row r="1899" spans="1:2" x14ac:dyDescent="0.25">
      <c r="A1899">
        <v>11044645</v>
      </c>
      <c r="B1899" t="s">
        <v>12</v>
      </c>
    </row>
    <row r="1900" spans="1:2" x14ac:dyDescent="0.25">
      <c r="A1900">
        <v>11033612</v>
      </c>
      <c r="B1900" t="s">
        <v>12</v>
      </c>
    </row>
    <row r="1901" spans="1:2" x14ac:dyDescent="0.25">
      <c r="A1901">
        <v>11007858</v>
      </c>
      <c r="B1901" t="s">
        <v>12</v>
      </c>
    </row>
    <row r="1902" spans="1:2" x14ac:dyDescent="0.25">
      <c r="A1902">
        <v>10956516</v>
      </c>
      <c r="B1902" t="s">
        <v>12</v>
      </c>
    </row>
    <row r="1903" spans="1:2" x14ac:dyDescent="0.25">
      <c r="A1903">
        <v>10958951</v>
      </c>
      <c r="B1903" t="s">
        <v>12</v>
      </c>
    </row>
    <row r="1904" spans="1:2" x14ac:dyDescent="0.25">
      <c r="A1904">
        <v>10965495</v>
      </c>
      <c r="B1904" t="s">
        <v>12</v>
      </c>
    </row>
    <row r="1905" spans="1:2" x14ac:dyDescent="0.25">
      <c r="A1905">
        <v>10968173</v>
      </c>
      <c r="B1905" t="s">
        <v>12</v>
      </c>
    </row>
    <row r="1906" spans="1:2" x14ac:dyDescent="0.25">
      <c r="A1906">
        <v>10971157</v>
      </c>
      <c r="B1906" t="s">
        <v>12</v>
      </c>
    </row>
    <row r="1907" spans="1:2" x14ac:dyDescent="0.25">
      <c r="A1907">
        <v>10991626</v>
      </c>
      <c r="B1907" t="s">
        <v>12</v>
      </c>
    </row>
    <row r="1908" spans="1:2" x14ac:dyDescent="0.25">
      <c r="A1908">
        <v>11025975</v>
      </c>
      <c r="B1908" t="s">
        <v>12</v>
      </c>
    </row>
    <row r="1909" spans="1:2" x14ac:dyDescent="0.25">
      <c r="A1909">
        <v>11009402</v>
      </c>
      <c r="B1909" t="s">
        <v>12</v>
      </c>
    </row>
    <row r="1910" spans="1:2" x14ac:dyDescent="0.25">
      <c r="A1910">
        <v>11009640</v>
      </c>
      <c r="B1910" t="s">
        <v>12</v>
      </c>
    </row>
    <row r="1911" spans="1:2" x14ac:dyDescent="0.25">
      <c r="A1911">
        <v>11011404</v>
      </c>
      <c r="B1911" t="s">
        <v>12</v>
      </c>
    </row>
    <row r="1912" spans="1:2" x14ac:dyDescent="0.25">
      <c r="A1912">
        <v>11013023</v>
      </c>
      <c r="B1912" t="s">
        <v>12</v>
      </c>
    </row>
    <row r="1913" spans="1:2" x14ac:dyDescent="0.25">
      <c r="A1913">
        <v>10999768</v>
      </c>
      <c r="B1913" t="s">
        <v>12</v>
      </c>
    </row>
    <row r="1914" spans="1:2" x14ac:dyDescent="0.25">
      <c r="A1914">
        <v>10945036</v>
      </c>
      <c r="B1914" t="s">
        <v>12</v>
      </c>
    </row>
    <row r="1915" spans="1:2" x14ac:dyDescent="0.25">
      <c r="A1915">
        <v>11015967</v>
      </c>
      <c r="B1915" t="s">
        <v>12</v>
      </c>
    </row>
    <row r="1916" spans="1:2" x14ac:dyDescent="0.25">
      <c r="A1916">
        <v>10936197</v>
      </c>
      <c r="B1916" t="s">
        <v>12</v>
      </c>
    </row>
    <row r="1917" spans="1:2" x14ac:dyDescent="0.25">
      <c r="A1917">
        <v>10936734</v>
      </c>
      <c r="B1917" t="s">
        <v>12</v>
      </c>
    </row>
    <row r="1918" spans="1:2" x14ac:dyDescent="0.25">
      <c r="A1918">
        <v>10922905</v>
      </c>
      <c r="B1918" t="s">
        <v>12</v>
      </c>
    </row>
    <row r="1919" spans="1:2" x14ac:dyDescent="0.25">
      <c r="A1919">
        <v>10923489</v>
      </c>
      <c r="B1919" t="s">
        <v>12</v>
      </c>
    </row>
    <row r="1920" spans="1:2" x14ac:dyDescent="0.25">
      <c r="A1920">
        <v>10922435</v>
      </c>
      <c r="B1920" t="s">
        <v>12</v>
      </c>
    </row>
    <row r="1921" spans="1:2" x14ac:dyDescent="0.25">
      <c r="A1921">
        <v>10705485</v>
      </c>
      <c r="B1921" t="s">
        <v>12</v>
      </c>
    </row>
    <row r="1922" spans="1:2" x14ac:dyDescent="0.25">
      <c r="A1922">
        <v>10701294</v>
      </c>
      <c r="B1922" t="s">
        <v>12</v>
      </c>
    </row>
    <row r="1923" spans="1:2" x14ac:dyDescent="0.25">
      <c r="A1923">
        <v>10720666</v>
      </c>
      <c r="B1923" t="s">
        <v>12</v>
      </c>
    </row>
    <row r="1924" spans="1:2" x14ac:dyDescent="0.25">
      <c r="A1924">
        <v>10706011</v>
      </c>
      <c r="B1924" t="s">
        <v>12</v>
      </c>
    </row>
    <row r="1925" spans="1:2" x14ac:dyDescent="0.25">
      <c r="A1925">
        <v>10707353</v>
      </c>
      <c r="B1925" t="s">
        <v>12</v>
      </c>
    </row>
    <row r="1926" spans="1:2" x14ac:dyDescent="0.25">
      <c r="A1926">
        <v>10724063</v>
      </c>
      <c r="B1926" t="s">
        <v>12</v>
      </c>
    </row>
    <row r="1927" spans="1:2" x14ac:dyDescent="0.25">
      <c r="A1927">
        <v>10724209</v>
      </c>
      <c r="B1927" t="s">
        <v>12</v>
      </c>
    </row>
    <row r="1928" spans="1:2" x14ac:dyDescent="0.25">
      <c r="A1928">
        <v>11214391</v>
      </c>
      <c r="B1928" t="s">
        <v>12</v>
      </c>
    </row>
    <row r="1929" spans="1:2" x14ac:dyDescent="0.25">
      <c r="A1929">
        <v>11198491</v>
      </c>
      <c r="B1929" t="s">
        <v>12</v>
      </c>
    </row>
    <row r="1930" spans="1:2" x14ac:dyDescent="0.25">
      <c r="A1930">
        <v>11195366</v>
      </c>
      <c r="B1930" t="s">
        <v>12</v>
      </c>
    </row>
    <row r="1931" spans="1:2" x14ac:dyDescent="0.25">
      <c r="A1931">
        <v>11178678</v>
      </c>
      <c r="B1931" t="s">
        <v>12</v>
      </c>
    </row>
    <row r="1932" spans="1:2" x14ac:dyDescent="0.25">
      <c r="A1932">
        <v>11179923</v>
      </c>
      <c r="B1932" t="s">
        <v>12</v>
      </c>
    </row>
    <row r="1933" spans="1:2" x14ac:dyDescent="0.25">
      <c r="A1933">
        <v>11182141</v>
      </c>
      <c r="B1933" t="s">
        <v>12</v>
      </c>
    </row>
    <row r="1934" spans="1:2" x14ac:dyDescent="0.25">
      <c r="A1934">
        <v>11104488</v>
      </c>
      <c r="B1934" t="s">
        <v>12</v>
      </c>
    </row>
    <row r="1935" spans="1:2" x14ac:dyDescent="0.25">
      <c r="A1935">
        <v>11147699</v>
      </c>
      <c r="B1935" t="s">
        <v>12</v>
      </c>
    </row>
    <row r="1936" spans="1:2" x14ac:dyDescent="0.25">
      <c r="A1936">
        <v>10773637</v>
      </c>
      <c r="B1936" t="s">
        <v>12</v>
      </c>
    </row>
    <row r="1937" spans="1:2" x14ac:dyDescent="0.25">
      <c r="A1937">
        <v>10763422</v>
      </c>
      <c r="B1937" t="s">
        <v>12</v>
      </c>
    </row>
    <row r="1938" spans="1:2" x14ac:dyDescent="0.25">
      <c r="A1938">
        <v>10764638</v>
      </c>
      <c r="B1938" t="s">
        <v>12</v>
      </c>
    </row>
    <row r="1939" spans="1:2" x14ac:dyDescent="0.25">
      <c r="A1939">
        <v>10765814</v>
      </c>
      <c r="B1939" t="s">
        <v>12</v>
      </c>
    </row>
    <row r="1940" spans="1:2" x14ac:dyDescent="0.25">
      <c r="A1940">
        <v>10753951</v>
      </c>
      <c r="B1940" t="s">
        <v>12</v>
      </c>
    </row>
    <row r="1941" spans="1:2" x14ac:dyDescent="0.25">
      <c r="A1941">
        <v>10782142</v>
      </c>
      <c r="B1941" t="s">
        <v>12</v>
      </c>
    </row>
    <row r="1942" spans="1:2" x14ac:dyDescent="0.25">
      <c r="A1942">
        <v>10779059</v>
      </c>
      <c r="B1942" t="s">
        <v>12</v>
      </c>
    </row>
    <row r="1943" spans="1:2" x14ac:dyDescent="0.25">
      <c r="A1943">
        <v>10834966</v>
      </c>
      <c r="B1943" t="s">
        <v>12</v>
      </c>
    </row>
    <row r="1944" spans="1:2" x14ac:dyDescent="0.25">
      <c r="A1944">
        <v>10823695</v>
      </c>
      <c r="B1944" t="s">
        <v>12</v>
      </c>
    </row>
    <row r="1945" spans="1:2" x14ac:dyDescent="0.25">
      <c r="A1945">
        <v>10843926</v>
      </c>
      <c r="B1945" t="s">
        <v>12</v>
      </c>
    </row>
    <row r="1946" spans="1:2" x14ac:dyDescent="0.25">
      <c r="A1946">
        <v>10814947</v>
      </c>
      <c r="B1946" t="s">
        <v>12</v>
      </c>
    </row>
    <row r="1947" spans="1:2" x14ac:dyDescent="0.25">
      <c r="A1947">
        <v>10816864</v>
      </c>
      <c r="B1947" t="s">
        <v>12</v>
      </c>
    </row>
    <row r="1948" spans="1:2" x14ac:dyDescent="0.25">
      <c r="A1948">
        <v>10806122</v>
      </c>
      <c r="B1948" t="s">
        <v>12</v>
      </c>
    </row>
    <row r="1949" spans="1:2" x14ac:dyDescent="0.25">
      <c r="A1949">
        <v>10803679</v>
      </c>
      <c r="B1949" t="s">
        <v>12</v>
      </c>
    </row>
    <row r="1950" spans="1:2" x14ac:dyDescent="0.25">
      <c r="A1950">
        <v>10803759</v>
      </c>
      <c r="B1950" t="s">
        <v>12</v>
      </c>
    </row>
    <row r="1951" spans="1:2" x14ac:dyDescent="0.25">
      <c r="A1951">
        <v>10804080</v>
      </c>
      <c r="B1951" t="s">
        <v>12</v>
      </c>
    </row>
    <row r="1952" spans="1:2" x14ac:dyDescent="0.25">
      <c r="A1952">
        <v>10873337</v>
      </c>
      <c r="B1952" t="s">
        <v>12</v>
      </c>
    </row>
    <row r="1953" spans="1:2" x14ac:dyDescent="0.25">
      <c r="A1953">
        <v>10868219</v>
      </c>
      <c r="B1953" t="s">
        <v>12</v>
      </c>
    </row>
    <row r="1954" spans="1:2" x14ac:dyDescent="0.25">
      <c r="A1954">
        <v>10869496</v>
      </c>
      <c r="B1954" t="s">
        <v>12</v>
      </c>
    </row>
    <row r="1955" spans="1:2" x14ac:dyDescent="0.25">
      <c r="A1955">
        <v>10869526</v>
      </c>
      <c r="B1955" t="s">
        <v>12</v>
      </c>
    </row>
    <row r="1956" spans="1:2" x14ac:dyDescent="0.25">
      <c r="A1956">
        <v>10869639</v>
      </c>
      <c r="B1956" t="s">
        <v>12</v>
      </c>
    </row>
    <row r="1957" spans="1:2" x14ac:dyDescent="0.25">
      <c r="A1957">
        <v>10860499</v>
      </c>
      <c r="B1957" t="s">
        <v>12</v>
      </c>
    </row>
    <row r="1958" spans="1:2" x14ac:dyDescent="0.25">
      <c r="A1958">
        <v>10861032</v>
      </c>
      <c r="B1958" t="s">
        <v>12</v>
      </c>
    </row>
    <row r="1959" spans="1:2" x14ac:dyDescent="0.25">
      <c r="A1959">
        <v>10867131</v>
      </c>
      <c r="B1959" t="s">
        <v>12</v>
      </c>
    </row>
    <row r="1960" spans="1:2" x14ac:dyDescent="0.25">
      <c r="A1960">
        <v>10850894</v>
      </c>
      <c r="B1960" t="s">
        <v>12</v>
      </c>
    </row>
    <row r="1961" spans="1:2" x14ac:dyDescent="0.25">
      <c r="A1961">
        <v>10893807</v>
      </c>
      <c r="B1961" t="s">
        <v>12</v>
      </c>
    </row>
    <row r="1962" spans="1:2" x14ac:dyDescent="0.25">
      <c r="A1962">
        <v>10898058</v>
      </c>
      <c r="B1962" t="s">
        <v>12</v>
      </c>
    </row>
    <row r="1963" spans="1:2" x14ac:dyDescent="0.25">
      <c r="A1963">
        <v>10904180</v>
      </c>
      <c r="B1963" t="s">
        <v>12</v>
      </c>
    </row>
    <row r="1964" spans="1:2" x14ac:dyDescent="0.25">
      <c r="A1964">
        <v>10920661</v>
      </c>
      <c r="B1964" t="s">
        <v>12</v>
      </c>
    </row>
    <row r="1965" spans="1:2" x14ac:dyDescent="0.25">
      <c r="A1965">
        <v>10915665</v>
      </c>
      <c r="B1965" t="s">
        <v>12</v>
      </c>
    </row>
    <row r="1966" spans="1:2" x14ac:dyDescent="0.25">
      <c r="A1966">
        <v>10916151</v>
      </c>
      <c r="B1966" t="s">
        <v>12</v>
      </c>
    </row>
    <row r="1967" spans="1:2" x14ac:dyDescent="0.25">
      <c r="A1967">
        <v>10691481</v>
      </c>
      <c r="B1967" t="s">
        <v>12</v>
      </c>
    </row>
    <row r="1968" spans="1:2" x14ac:dyDescent="0.25">
      <c r="A1968">
        <v>10692039</v>
      </c>
      <c r="B1968" t="s">
        <v>12</v>
      </c>
    </row>
    <row r="1969" spans="1:2" x14ac:dyDescent="0.25">
      <c r="A1969">
        <v>11693311</v>
      </c>
      <c r="B1969" t="s">
        <v>12</v>
      </c>
    </row>
    <row r="1970" spans="1:2" x14ac:dyDescent="0.25">
      <c r="A1970">
        <v>11715944</v>
      </c>
      <c r="B1970" t="s">
        <v>12</v>
      </c>
    </row>
    <row r="1971" spans="1:2" x14ac:dyDescent="0.25">
      <c r="A1971">
        <v>11746723</v>
      </c>
      <c r="B1971" t="s">
        <v>12</v>
      </c>
    </row>
    <row r="1972" spans="1:2" x14ac:dyDescent="0.25">
      <c r="A1972">
        <v>11682454</v>
      </c>
      <c r="B1972" t="s">
        <v>12</v>
      </c>
    </row>
    <row r="1973" spans="1:2" x14ac:dyDescent="0.25">
      <c r="A1973">
        <v>11685706</v>
      </c>
      <c r="B1973" t="s">
        <v>12</v>
      </c>
    </row>
    <row r="1974" spans="1:2" x14ac:dyDescent="0.25">
      <c r="A1974">
        <v>11549074</v>
      </c>
      <c r="B1974" t="s">
        <v>12</v>
      </c>
    </row>
    <row r="1975" spans="1:2" x14ac:dyDescent="0.25">
      <c r="A1975">
        <v>11524388</v>
      </c>
      <c r="B1975" t="s">
        <v>12</v>
      </c>
    </row>
    <row r="1976" spans="1:2" x14ac:dyDescent="0.25">
      <c r="A1976">
        <v>11527692</v>
      </c>
      <c r="B1976" t="s">
        <v>12</v>
      </c>
    </row>
    <row r="1977" spans="1:2" x14ac:dyDescent="0.25">
      <c r="A1977">
        <v>11331877</v>
      </c>
      <c r="B1977" t="s">
        <v>12</v>
      </c>
    </row>
    <row r="1978" spans="1:2" x14ac:dyDescent="0.25">
      <c r="A1978">
        <v>11664724</v>
      </c>
      <c r="B1978" t="s">
        <v>12</v>
      </c>
    </row>
    <row r="1979" spans="1:2" x14ac:dyDescent="0.25">
      <c r="A1979">
        <v>11707234</v>
      </c>
      <c r="B1979" t="s">
        <v>12</v>
      </c>
    </row>
    <row r="1980" spans="1:2" x14ac:dyDescent="0.25">
      <c r="A1980">
        <v>11447359</v>
      </c>
      <c r="B1980" t="s">
        <v>12</v>
      </c>
    </row>
    <row r="1981" spans="1:2" x14ac:dyDescent="0.25">
      <c r="A1981">
        <v>11465068</v>
      </c>
      <c r="B1981" t="s">
        <v>12</v>
      </c>
    </row>
    <row r="1982" spans="1:2" x14ac:dyDescent="0.25">
      <c r="A1982">
        <v>10951238</v>
      </c>
      <c r="B1982" t="s">
        <v>12</v>
      </c>
    </row>
    <row r="1983" spans="1:2" x14ac:dyDescent="0.25">
      <c r="A1983">
        <v>11498479</v>
      </c>
      <c r="B1983" t="s">
        <v>12</v>
      </c>
    </row>
    <row r="1984" spans="1:2" x14ac:dyDescent="0.25">
      <c r="A1984">
        <v>11498689</v>
      </c>
      <c r="B1984" t="s">
        <v>12</v>
      </c>
    </row>
    <row r="1985" spans="1:2" x14ac:dyDescent="0.25">
      <c r="A1985">
        <v>11512476</v>
      </c>
      <c r="B1985" t="s">
        <v>12</v>
      </c>
    </row>
    <row r="1986" spans="1:2" x14ac:dyDescent="0.25">
      <c r="A1986">
        <v>11444637</v>
      </c>
      <c r="B1986" t="s">
        <v>12</v>
      </c>
    </row>
    <row r="1987" spans="1:2" x14ac:dyDescent="0.25">
      <c r="A1987">
        <v>11434479</v>
      </c>
      <c r="B1987" t="s">
        <v>12</v>
      </c>
    </row>
    <row r="1988" spans="1:2" x14ac:dyDescent="0.25">
      <c r="A1988">
        <v>11393183</v>
      </c>
      <c r="B1988" t="s">
        <v>12</v>
      </c>
    </row>
    <row r="1989" spans="1:2" x14ac:dyDescent="0.25">
      <c r="A1989">
        <v>11381611</v>
      </c>
      <c r="B1989" t="s">
        <v>12</v>
      </c>
    </row>
    <row r="1990" spans="1:2" x14ac:dyDescent="0.25">
      <c r="A1990">
        <v>11395125</v>
      </c>
      <c r="B1990" t="s">
        <v>12</v>
      </c>
    </row>
    <row r="1991" spans="1:2" x14ac:dyDescent="0.25">
      <c r="A1991">
        <v>11270435</v>
      </c>
      <c r="B1991" t="s">
        <v>12</v>
      </c>
    </row>
    <row r="1992" spans="1:2" x14ac:dyDescent="0.25">
      <c r="A1992">
        <v>11279361</v>
      </c>
      <c r="B1992" t="s">
        <v>12</v>
      </c>
    </row>
    <row r="1993" spans="1:2" x14ac:dyDescent="0.25">
      <c r="A1993">
        <v>11304512</v>
      </c>
      <c r="B1993" t="s">
        <v>12</v>
      </c>
    </row>
    <row r="1994" spans="1:2" x14ac:dyDescent="0.25">
      <c r="A1994">
        <v>11299844</v>
      </c>
      <c r="B1994" t="s">
        <v>12</v>
      </c>
    </row>
    <row r="1995" spans="1:2" x14ac:dyDescent="0.25">
      <c r="A1995">
        <v>11511313</v>
      </c>
      <c r="B1995" t="s">
        <v>12</v>
      </c>
    </row>
    <row r="1996" spans="1:2" x14ac:dyDescent="0.25">
      <c r="A1996">
        <v>11300254</v>
      </c>
      <c r="B1996" t="s">
        <v>12</v>
      </c>
    </row>
    <row r="1997" spans="1:2" x14ac:dyDescent="0.25">
      <c r="A1997">
        <v>11569192</v>
      </c>
      <c r="B1997" t="s">
        <v>12</v>
      </c>
    </row>
    <row r="1998" spans="1:2" x14ac:dyDescent="0.25">
      <c r="A1998">
        <v>11579756</v>
      </c>
      <c r="B1998" t="s">
        <v>12</v>
      </c>
    </row>
    <row r="1999" spans="1:2" x14ac:dyDescent="0.25">
      <c r="A1999">
        <v>11564403</v>
      </c>
      <c r="B1999" t="s">
        <v>12</v>
      </c>
    </row>
    <row r="2000" spans="1:2" x14ac:dyDescent="0.25">
      <c r="A2000">
        <v>11615648</v>
      </c>
      <c r="B2000" t="s">
        <v>12</v>
      </c>
    </row>
    <row r="2001" spans="1:2" x14ac:dyDescent="0.25">
      <c r="A2001">
        <v>11623779</v>
      </c>
      <c r="B2001" t="s">
        <v>12</v>
      </c>
    </row>
    <row r="2002" spans="1:2" x14ac:dyDescent="0.25">
      <c r="A2002">
        <v>11628281</v>
      </c>
      <c r="B2002" t="s">
        <v>12</v>
      </c>
    </row>
    <row r="2003" spans="1:2" x14ac:dyDescent="0.25">
      <c r="A2003">
        <v>11737026</v>
      </c>
      <c r="B2003" t="s">
        <v>12</v>
      </c>
    </row>
    <row r="2004" spans="1:2" x14ac:dyDescent="0.25">
      <c r="A2004">
        <v>11775944</v>
      </c>
      <c r="B2004" t="s">
        <v>12</v>
      </c>
    </row>
    <row r="2005" spans="1:2" x14ac:dyDescent="0.25">
      <c r="A2005">
        <v>11883217</v>
      </c>
      <c r="B2005" t="s">
        <v>12</v>
      </c>
    </row>
    <row r="2006" spans="1:2" x14ac:dyDescent="0.25">
      <c r="A2006">
        <v>11921300</v>
      </c>
      <c r="B2006" t="s">
        <v>12</v>
      </c>
    </row>
    <row r="2007" spans="1:2" x14ac:dyDescent="0.25">
      <c r="A2007">
        <v>11951528</v>
      </c>
      <c r="B2007" t="s">
        <v>12</v>
      </c>
    </row>
    <row r="2008" spans="1:2" x14ac:dyDescent="0.25">
      <c r="A2008">
        <v>11942450</v>
      </c>
      <c r="B2008" t="s">
        <v>12</v>
      </c>
    </row>
    <row r="2009" spans="1:2" x14ac:dyDescent="0.25">
      <c r="A2009">
        <v>11916697</v>
      </c>
      <c r="B2009" t="s">
        <v>12</v>
      </c>
    </row>
    <row r="2010" spans="1:2" x14ac:dyDescent="0.25">
      <c r="A2010">
        <v>11858304</v>
      </c>
      <c r="B2010" t="s">
        <v>12</v>
      </c>
    </row>
    <row r="2011" spans="1:2" x14ac:dyDescent="0.25">
      <c r="A2011">
        <v>11827579</v>
      </c>
      <c r="B2011" t="s">
        <v>12</v>
      </c>
    </row>
    <row r="2012" spans="1:2" x14ac:dyDescent="0.25">
      <c r="A2012">
        <v>11843195</v>
      </c>
      <c r="B2012" t="s">
        <v>12</v>
      </c>
    </row>
    <row r="2013" spans="1:2" x14ac:dyDescent="0.25">
      <c r="A2013">
        <v>11844676</v>
      </c>
      <c r="B2013" t="s">
        <v>12</v>
      </c>
    </row>
    <row r="2014" spans="1:2" x14ac:dyDescent="0.25">
      <c r="A2014">
        <v>11844725</v>
      </c>
      <c r="B2014" t="s">
        <v>12</v>
      </c>
    </row>
    <row r="2015" spans="1:2" x14ac:dyDescent="0.25">
      <c r="A2015">
        <v>11865613</v>
      </c>
      <c r="B2015" t="s">
        <v>12</v>
      </c>
    </row>
    <row r="2016" spans="1:2" x14ac:dyDescent="0.25">
      <c r="A2016">
        <v>12022721</v>
      </c>
      <c r="B2016" t="s">
        <v>12</v>
      </c>
    </row>
    <row r="2017" spans="1:3" x14ac:dyDescent="0.25">
      <c r="A2017">
        <v>10921422</v>
      </c>
      <c r="B2017" t="s">
        <v>9</v>
      </c>
      <c r="C2017" t="s">
        <v>8</v>
      </c>
    </row>
    <row r="2018" spans="1:3" x14ac:dyDescent="0.25">
      <c r="A2018">
        <v>10922721</v>
      </c>
      <c r="B2018" t="s">
        <v>9</v>
      </c>
      <c r="C2018" t="s">
        <v>8</v>
      </c>
    </row>
    <row r="2019" spans="1:3" x14ac:dyDescent="0.25">
      <c r="A2019">
        <v>10919044</v>
      </c>
      <c r="B2019" t="s">
        <v>9</v>
      </c>
      <c r="C2019" t="s">
        <v>8</v>
      </c>
    </row>
    <row r="2020" spans="1:3" x14ac:dyDescent="0.25">
      <c r="A2020">
        <v>10904914</v>
      </c>
      <c r="B2020" t="s">
        <v>9</v>
      </c>
      <c r="C2020" t="s">
        <v>8</v>
      </c>
    </row>
    <row r="2021" spans="1:3" x14ac:dyDescent="0.25">
      <c r="A2021">
        <v>10691527</v>
      </c>
      <c r="B2021" t="s">
        <v>9</v>
      </c>
      <c r="C2021" t="s">
        <v>8</v>
      </c>
    </row>
    <row r="2022" spans="1:3" x14ac:dyDescent="0.25">
      <c r="A2022">
        <v>10884777</v>
      </c>
      <c r="B2022" t="s">
        <v>9</v>
      </c>
      <c r="C2022" t="s">
        <v>8</v>
      </c>
    </row>
    <row r="2023" spans="1:3" x14ac:dyDescent="0.25">
      <c r="A2023">
        <v>10893618</v>
      </c>
      <c r="B2023" t="s">
        <v>9</v>
      </c>
      <c r="C2023" t="s">
        <v>8</v>
      </c>
    </row>
    <row r="2024" spans="1:3" x14ac:dyDescent="0.25">
      <c r="A2024">
        <v>10877161</v>
      </c>
      <c r="B2024" t="s">
        <v>9</v>
      </c>
      <c r="C2024" t="s">
        <v>8</v>
      </c>
    </row>
    <row r="2025" spans="1:3" x14ac:dyDescent="0.25">
      <c r="A2025">
        <v>10879479</v>
      </c>
      <c r="B2025" t="s">
        <v>9</v>
      </c>
      <c r="C2025" t="s">
        <v>8</v>
      </c>
    </row>
    <row r="2026" spans="1:3" x14ac:dyDescent="0.25">
      <c r="A2026">
        <v>10881110</v>
      </c>
      <c r="B2026" t="s">
        <v>9</v>
      </c>
      <c r="C2026" t="s">
        <v>8</v>
      </c>
    </row>
    <row r="2027" spans="1:3" x14ac:dyDescent="0.25">
      <c r="A2027">
        <v>10765916</v>
      </c>
      <c r="B2027" t="s">
        <v>9</v>
      </c>
      <c r="C2027" t="s">
        <v>8</v>
      </c>
    </row>
    <row r="2028" spans="1:3" x14ac:dyDescent="0.25">
      <c r="A2028">
        <v>10781568</v>
      </c>
      <c r="B2028" t="s">
        <v>9</v>
      </c>
      <c r="C2028" t="s">
        <v>8</v>
      </c>
    </row>
    <row r="2029" spans="1:3" x14ac:dyDescent="0.25">
      <c r="A2029">
        <v>10782207</v>
      </c>
      <c r="B2029" t="s">
        <v>9</v>
      </c>
      <c r="C2029" t="s">
        <v>8</v>
      </c>
    </row>
    <row r="2030" spans="1:3" x14ac:dyDescent="0.25">
      <c r="A2030">
        <v>10794033</v>
      </c>
      <c r="B2030" t="s">
        <v>9</v>
      </c>
      <c r="C2030" t="s">
        <v>8</v>
      </c>
    </row>
    <row r="2031" spans="1:3" x14ac:dyDescent="0.25">
      <c r="A2031">
        <v>10797650</v>
      </c>
      <c r="B2031" t="s">
        <v>9</v>
      </c>
      <c r="C2031" t="s">
        <v>8</v>
      </c>
    </row>
    <row r="2032" spans="1:3" x14ac:dyDescent="0.25">
      <c r="A2032">
        <v>10850362</v>
      </c>
      <c r="B2032" t="s">
        <v>9</v>
      </c>
      <c r="C2032" t="s">
        <v>8</v>
      </c>
    </row>
    <row r="2033" spans="1:3" x14ac:dyDescent="0.25">
      <c r="A2033">
        <v>10851143</v>
      </c>
      <c r="B2033" t="s">
        <v>9</v>
      </c>
      <c r="C2033" t="s">
        <v>8</v>
      </c>
    </row>
    <row r="2034" spans="1:3" x14ac:dyDescent="0.25">
      <c r="A2034">
        <v>10751641</v>
      </c>
      <c r="B2034" t="s">
        <v>9</v>
      </c>
      <c r="C2034" t="s">
        <v>8</v>
      </c>
    </row>
    <row r="2035" spans="1:3" x14ac:dyDescent="0.25">
      <c r="A2035">
        <v>10750569</v>
      </c>
      <c r="B2035" t="s">
        <v>9</v>
      </c>
      <c r="C2035" t="s">
        <v>8</v>
      </c>
    </row>
    <row r="2036" spans="1:3" x14ac:dyDescent="0.25">
      <c r="A2036">
        <v>10594958</v>
      </c>
      <c r="B2036" t="s">
        <v>12</v>
      </c>
    </row>
    <row r="2037" spans="1:3" x14ac:dyDescent="0.25">
      <c r="A2037">
        <v>10590214</v>
      </c>
      <c r="B2037" t="s">
        <v>12</v>
      </c>
    </row>
    <row r="2038" spans="1:3" x14ac:dyDescent="0.25">
      <c r="A2038">
        <v>10610471</v>
      </c>
      <c r="B2038" t="s">
        <v>12</v>
      </c>
    </row>
    <row r="2039" spans="1:3" x14ac:dyDescent="0.25">
      <c r="A2039">
        <v>10580602</v>
      </c>
      <c r="B2039" t="s">
        <v>12</v>
      </c>
    </row>
    <row r="2040" spans="1:3" x14ac:dyDescent="0.25">
      <c r="A2040">
        <v>10580665</v>
      </c>
      <c r="B2040" t="s">
        <v>12</v>
      </c>
    </row>
    <row r="2041" spans="1:3" x14ac:dyDescent="0.25">
      <c r="A2041">
        <v>10583128</v>
      </c>
      <c r="B2041" t="s">
        <v>12</v>
      </c>
    </row>
    <row r="2042" spans="1:3" x14ac:dyDescent="0.25">
      <c r="A2042">
        <v>10583203</v>
      </c>
      <c r="B2042" t="s">
        <v>12</v>
      </c>
    </row>
    <row r="2043" spans="1:3" x14ac:dyDescent="0.25">
      <c r="A2043">
        <v>10583847</v>
      </c>
      <c r="B2043" t="s">
        <v>12</v>
      </c>
    </row>
    <row r="2044" spans="1:3" x14ac:dyDescent="0.25">
      <c r="A2044">
        <v>10589210</v>
      </c>
      <c r="B2044" t="s">
        <v>12</v>
      </c>
    </row>
    <row r="2045" spans="1:3" x14ac:dyDescent="0.25">
      <c r="A2045">
        <v>10589395</v>
      </c>
      <c r="B2045" t="s">
        <v>12</v>
      </c>
    </row>
    <row r="2046" spans="1:3" x14ac:dyDescent="0.25">
      <c r="A2046">
        <v>10589414</v>
      </c>
      <c r="B2046" t="s">
        <v>12</v>
      </c>
    </row>
    <row r="2047" spans="1:3" x14ac:dyDescent="0.25">
      <c r="A2047">
        <v>10589498</v>
      </c>
      <c r="B2047" t="s">
        <v>12</v>
      </c>
    </row>
    <row r="2048" spans="1:3" x14ac:dyDescent="0.25">
      <c r="A2048">
        <v>10608811</v>
      </c>
      <c r="B2048" t="s">
        <v>16</v>
      </c>
      <c r="C2048" t="s">
        <v>15</v>
      </c>
    </row>
    <row r="2049" spans="1:3" x14ac:dyDescent="0.25">
      <c r="A2049">
        <v>10615968</v>
      </c>
      <c r="B2049" t="s">
        <v>9</v>
      </c>
      <c r="C2049" t="s">
        <v>8</v>
      </c>
    </row>
    <row r="2050" spans="1:3" x14ac:dyDescent="0.25">
      <c r="A2050">
        <v>11257822</v>
      </c>
      <c r="B2050" t="s">
        <v>9</v>
      </c>
      <c r="C2050" t="s">
        <v>8</v>
      </c>
    </row>
    <row r="2051" spans="1:3" x14ac:dyDescent="0.25">
      <c r="A2051">
        <v>10577408</v>
      </c>
      <c r="B2051" t="s">
        <v>12</v>
      </c>
    </row>
    <row r="2052" spans="1:3" x14ac:dyDescent="0.25">
      <c r="A2052">
        <v>10565887</v>
      </c>
      <c r="B2052" t="s">
        <v>12</v>
      </c>
    </row>
    <row r="2053" spans="1:3" x14ac:dyDescent="0.25">
      <c r="A2053">
        <v>10572118</v>
      </c>
      <c r="B2053" t="s">
        <v>12</v>
      </c>
    </row>
    <row r="2054" spans="1:3" x14ac:dyDescent="0.25">
      <c r="A2054">
        <v>10637945</v>
      </c>
      <c r="B2054" t="s">
        <v>12</v>
      </c>
    </row>
    <row r="2055" spans="1:3" x14ac:dyDescent="0.25">
      <c r="A2055">
        <v>10638303</v>
      </c>
      <c r="B2055" t="s">
        <v>12</v>
      </c>
    </row>
    <row r="2056" spans="1:3" x14ac:dyDescent="0.25">
      <c r="A2056">
        <v>10624639</v>
      </c>
      <c r="B2056" t="s">
        <v>12</v>
      </c>
    </row>
    <row r="2057" spans="1:3" x14ac:dyDescent="0.25">
      <c r="A2057">
        <v>10626690</v>
      </c>
      <c r="B2057" t="s">
        <v>12</v>
      </c>
    </row>
    <row r="2058" spans="1:3" x14ac:dyDescent="0.25">
      <c r="A2058">
        <v>10655248</v>
      </c>
      <c r="B2058" t="s">
        <v>12</v>
      </c>
    </row>
    <row r="2059" spans="1:3" x14ac:dyDescent="0.25">
      <c r="A2059">
        <v>10657111</v>
      </c>
      <c r="B2059" t="s">
        <v>12</v>
      </c>
    </row>
    <row r="2060" spans="1:3" x14ac:dyDescent="0.25">
      <c r="A2060">
        <v>10641259</v>
      </c>
      <c r="B2060" t="s">
        <v>12</v>
      </c>
    </row>
    <row r="2061" spans="1:3" x14ac:dyDescent="0.25">
      <c r="A2061">
        <v>10644770</v>
      </c>
      <c r="B2061" t="s">
        <v>12</v>
      </c>
    </row>
    <row r="2062" spans="1:3" x14ac:dyDescent="0.25">
      <c r="A2062">
        <v>10644974</v>
      </c>
      <c r="B2062" t="s">
        <v>12</v>
      </c>
    </row>
    <row r="2063" spans="1:3" x14ac:dyDescent="0.25">
      <c r="A2063">
        <v>10623971</v>
      </c>
      <c r="B2063" t="s">
        <v>12</v>
      </c>
    </row>
    <row r="2064" spans="1:3" x14ac:dyDescent="0.25">
      <c r="A2064">
        <v>10624054</v>
      </c>
      <c r="B2064" t="s">
        <v>12</v>
      </c>
    </row>
    <row r="2065" spans="1:2" x14ac:dyDescent="0.25">
      <c r="A2065">
        <v>10623631</v>
      </c>
      <c r="B2065" t="s">
        <v>12</v>
      </c>
    </row>
    <row r="2066" spans="1:2" x14ac:dyDescent="0.25">
      <c r="A2066">
        <v>10621734</v>
      </c>
      <c r="B2066" t="s">
        <v>12</v>
      </c>
    </row>
    <row r="2067" spans="1:2" x14ac:dyDescent="0.25">
      <c r="A2067">
        <v>10621890</v>
      </c>
      <c r="B2067" t="s">
        <v>12</v>
      </c>
    </row>
    <row r="2068" spans="1:2" x14ac:dyDescent="0.25">
      <c r="A2068">
        <v>10621914</v>
      </c>
      <c r="B2068" t="s">
        <v>12</v>
      </c>
    </row>
    <row r="2069" spans="1:2" x14ac:dyDescent="0.25">
      <c r="A2069">
        <v>10622159</v>
      </c>
      <c r="B2069" t="s">
        <v>12</v>
      </c>
    </row>
    <row r="2070" spans="1:2" x14ac:dyDescent="0.25">
      <c r="A2070">
        <v>10622261</v>
      </c>
      <c r="B2070" t="s">
        <v>12</v>
      </c>
    </row>
    <row r="2071" spans="1:2" x14ac:dyDescent="0.25">
      <c r="A2071">
        <v>10622429</v>
      </c>
      <c r="B2071" t="s">
        <v>12</v>
      </c>
    </row>
    <row r="2072" spans="1:2" x14ac:dyDescent="0.25">
      <c r="A2072">
        <v>10623517</v>
      </c>
      <c r="B2072" t="s">
        <v>12</v>
      </c>
    </row>
    <row r="2073" spans="1:2" x14ac:dyDescent="0.25">
      <c r="A2073">
        <v>10614204</v>
      </c>
      <c r="B2073" t="s">
        <v>12</v>
      </c>
    </row>
    <row r="2074" spans="1:2" x14ac:dyDescent="0.25">
      <c r="A2074">
        <v>10597756</v>
      </c>
      <c r="B2074" t="s">
        <v>12</v>
      </c>
    </row>
    <row r="2075" spans="1:2" x14ac:dyDescent="0.25">
      <c r="A2075">
        <v>10733484</v>
      </c>
      <c r="B2075" t="s">
        <v>12</v>
      </c>
    </row>
    <row r="2076" spans="1:2" x14ac:dyDescent="0.25">
      <c r="A2076">
        <v>10737628</v>
      </c>
      <c r="B2076" t="s">
        <v>12</v>
      </c>
    </row>
    <row r="2077" spans="1:2" x14ac:dyDescent="0.25">
      <c r="A2077">
        <v>10727456</v>
      </c>
      <c r="B2077" t="s">
        <v>12</v>
      </c>
    </row>
    <row r="2078" spans="1:2" x14ac:dyDescent="0.25">
      <c r="A2078">
        <v>10781389</v>
      </c>
      <c r="B2078" t="s">
        <v>12</v>
      </c>
    </row>
    <row r="2079" spans="1:2" x14ac:dyDescent="0.25">
      <c r="A2079">
        <v>10780737</v>
      </c>
      <c r="B2079" t="s">
        <v>12</v>
      </c>
    </row>
    <row r="2080" spans="1:2" x14ac:dyDescent="0.25">
      <c r="A2080">
        <v>10804235</v>
      </c>
      <c r="B2080" t="s">
        <v>12</v>
      </c>
    </row>
    <row r="2081" spans="1:3" x14ac:dyDescent="0.25">
      <c r="A2081">
        <v>10808557</v>
      </c>
      <c r="B2081" t="s">
        <v>12</v>
      </c>
    </row>
    <row r="2082" spans="1:3" x14ac:dyDescent="0.25">
      <c r="A2082">
        <v>10595672</v>
      </c>
      <c r="B2082" t="s">
        <v>16</v>
      </c>
      <c r="C2082" t="s">
        <v>15</v>
      </c>
    </row>
    <row r="2083" spans="1:3" x14ac:dyDescent="0.25">
      <c r="A2083">
        <v>10892001</v>
      </c>
      <c r="B2083" t="s">
        <v>12</v>
      </c>
    </row>
    <row r="2084" spans="1:3" x14ac:dyDescent="0.25">
      <c r="A2084">
        <v>10665770</v>
      </c>
      <c r="B2084" t="s">
        <v>12</v>
      </c>
    </row>
    <row r="2085" spans="1:3" x14ac:dyDescent="0.25">
      <c r="A2085">
        <v>10620379</v>
      </c>
      <c r="B2085" t="s">
        <v>12</v>
      </c>
    </row>
    <row r="2086" spans="1:3" x14ac:dyDescent="0.25">
      <c r="A2086">
        <v>11422465</v>
      </c>
      <c r="B2086" t="s">
        <v>9</v>
      </c>
      <c r="C2086" t="s">
        <v>8</v>
      </c>
    </row>
    <row r="2087" spans="1:3" x14ac:dyDescent="0.25">
      <c r="A2087">
        <v>10643397</v>
      </c>
      <c r="B2087" t="s">
        <v>9</v>
      </c>
      <c r="C2087" t="s">
        <v>8</v>
      </c>
    </row>
    <row r="2088" spans="1:3" x14ac:dyDescent="0.25">
      <c r="A2088">
        <v>10644875</v>
      </c>
      <c r="B2088" t="s">
        <v>9</v>
      </c>
      <c r="C2088" t="s">
        <v>8</v>
      </c>
    </row>
    <row r="2089" spans="1:3" x14ac:dyDescent="0.25">
      <c r="A2089">
        <v>10650572</v>
      </c>
      <c r="B2089" t="s">
        <v>9</v>
      </c>
      <c r="C2089" t="s">
        <v>8</v>
      </c>
    </row>
    <row r="2090" spans="1:3" x14ac:dyDescent="0.25">
      <c r="A2090">
        <v>10665511</v>
      </c>
      <c r="B2090" t="s">
        <v>9</v>
      </c>
      <c r="C2090" t="s">
        <v>8</v>
      </c>
    </row>
    <row r="2091" spans="1:3" x14ac:dyDescent="0.25">
      <c r="A2091">
        <v>10639663</v>
      </c>
      <c r="B2091" t="s">
        <v>9</v>
      </c>
      <c r="C2091" t="s">
        <v>8</v>
      </c>
    </row>
    <row r="2092" spans="1:3" x14ac:dyDescent="0.25">
      <c r="A2092">
        <v>10627783</v>
      </c>
      <c r="B2092" t="s">
        <v>9</v>
      </c>
      <c r="C2092" t="s">
        <v>8</v>
      </c>
    </row>
    <row r="2093" spans="1:3" x14ac:dyDescent="0.25">
      <c r="A2093">
        <v>10620898</v>
      </c>
      <c r="B2093" t="s">
        <v>9</v>
      </c>
      <c r="C2093" t="s">
        <v>8</v>
      </c>
    </row>
    <row r="2094" spans="1:3" x14ac:dyDescent="0.25">
      <c r="A2094">
        <v>10608837</v>
      </c>
      <c r="B2094" t="s">
        <v>9</v>
      </c>
      <c r="C2094" t="s">
        <v>8</v>
      </c>
    </row>
    <row r="2095" spans="1:3" x14ac:dyDescent="0.25">
      <c r="A2095">
        <v>10601766</v>
      </c>
      <c r="B2095" t="s">
        <v>9</v>
      </c>
      <c r="C2095" t="s">
        <v>8</v>
      </c>
    </row>
    <row r="2096" spans="1:3" x14ac:dyDescent="0.25">
      <c r="A2096">
        <v>10623136</v>
      </c>
      <c r="B2096" t="s">
        <v>9</v>
      </c>
      <c r="C2096" t="s">
        <v>8</v>
      </c>
    </row>
    <row r="2097" spans="1:3" x14ac:dyDescent="0.25">
      <c r="A2097">
        <v>10609417</v>
      </c>
      <c r="B2097" t="s">
        <v>9</v>
      </c>
      <c r="C2097" t="s">
        <v>8</v>
      </c>
    </row>
    <row r="2098" spans="1:3" x14ac:dyDescent="0.25">
      <c r="A2098">
        <v>10614259</v>
      </c>
      <c r="B2098" t="s">
        <v>9</v>
      </c>
      <c r="C2098" t="s">
        <v>8</v>
      </c>
    </row>
    <row r="2099" spans="1:3" x14ac:dyDescent="0.25">
      <c r="A2099">
        <v>10617978</v>
      </c>
      <c r="B2099" t="s">
        <v>9</v>
      </c>
      <c r="C2099" t="s">
        <v>8</v>
      </c>
    </row>
    <row r="2100" spans="1:3" x14ac:dyDescent="0.25">
      <c r="A2100">
        <v>10565957</v>
      </c>
      <c r="B2100" t="s">
        <v>9</v>
      </c>
      <c r="C2100" t="s">
        <v>8</v>
      </c>
    </row>
    <row r="2101" spans="1:3" x14ac:dyDescent="0.25">
      <c r="A2101">
        <v>10566399</v>
      </c>
      <c r="B2101" t="s">
        <v>9</v>
      </c>
      <c r="C2101" t="s">
        <v>8</v>
      </c>
    </row>
    <row r="2102" spans="1:3" x14ac:dyDescent="0.25">
      <c r="A2102">
        <v>10567513</v>
      </c>
      <c r="B2102" t="s">
        <v>9</v>
      </c>
      <c r="C2102" t="s">
        <v>8</v>
      </c>
    </row>
    <row r="2103" spans="1:3" x14ac:dyDescent="0.25">
      <c r="A2103">
        <v>10575766</v>
      </c>
      <c r="B2103" t="s">
        <v>9</v>
      </c>
      <c r="C2103" t="s">
        <v>8</v>
      </c>
    </row>
    <row r="2104" spans="1:3" x14ac:dyDescent="0.25">
      <c r="A2104">
        <v>10584889</v>
      </c>
      <c r="B2104" t="s">
        <v>9</v>
      </c>
      <c r="C2104" t="s">
        <v>8</v>
      </c>
    </row>
    <row r="2105" spans="1:3" x14ac:dyDescent="0.25">
      <c r="A2105">
        <v>10588876</v>
      </c>
      <c r="B2105" t="s">
        <v>9</v>
      </c>
      <c r="C2105" t="s">
        <v>8</v>
      </c>
    </row>
    <row r="2106" spans="1:3" x14ac:dyDescent="0.25">
      <c r="A2106">
        <v>10589017</v>
      </c>
      <c r="B2106" t="s">
        <v>9</v>
      </c>
      <c r="C2106" t="s">
        <v>8</v>
      </c>
    </row>
    <row r="2107" spans="1:3" x14ac:dyDescent="0.25">
      <c r="A2107">
        <v>10590887</v>
      </c>
      <c r="B2107" t="s">
        <v>9</v>
      </c>
      <c r="C2107" t="s">
        <v>8</v>
      </c>
    </row>
    <row r="2108" spans="1:3" x14ac:dyDescent="0.25">
      <c r="A2108">
        <v>10595463</v>
      </c>
      <c r="B2108" t="s">
        <v>9</v>
      </c>
      <c r="C2108" t="s">
        <v>8</v>
      </c>
    </row>
    <row r="2109" spans="1:3" x14ac:dyDescent="0.25">
      <c r="A2109">
        <v>10595742</v>
      </c>
      <c r="B2109" t="s">
        <v>9</v>
      </c>
      <c r="C2109" t="s">
        <v>8</v>
      </c>
    </row>
    <row r="2110" spans="1:3" x14ac:dyDescent="0.25">
      <c r="A2110">
        <v>10595388</v>
      </c>
      <c r="B2110" t="s">
        <v>9</v>
      </c>
      <c r="C2110" t="s">
        <v>8</v>
      </c>
    </row>
    <row r="2111" spans="1:3" x14ac:dyDescent="0.25">
      <c r="A2111">
        <v>10595392</v>
      </c>
      <c r="B2111" t="s">
        <v>9</v>
      </c>
      <c r="C2111" t="s">
        <v>8</v>
      </c>
    </row>
    <row r="2112" spans="1:3" x14ac:dyDescent="0.25">
      <c r="A2112">
        <v>10578265</v>
      </c>
      <c r="B2112" t="s">
        <v>9</v>
      </c>
      <c r="C2112" t="s">
        <v>8</v>
      </c>
    </row>
    <row r="2113" spans="1:3" x14ac:dyDescent="0.25">
      <c r="A2113">
        <v>10578279</v>
      </c>
      <c r="B2113" t="s">
        <v>9</v>
      </c>
      <c r="C2113" t="s">
        <v>8</v>
      </c>
    </row>
    <row r="2114" spans="1:3" x14ac:dyDescent="0.25">
      <c r="A2114">
        <v>10628730</v>
      </c>
      <c r="B2114" t="s">
        <v>11</v>
      </c>
      <c r="C2114" t="s">
        <v>10</v>
      </c>
    </row>
    <row r="2115" spans="1:3" x14ac:dyDescent="0.25">
      <c r="A2115">
        <v>11346670</v>
      </c>
      <c r="B2115" t="s">
        <v>14</v>
      </c>
      <c r="C2115" t="s">
        <v>13</v>
      </c>
    </row>
    <row r="2116" spans="1:3" x14ac:dyDescent="0.25">
      <c r="A2116">
        <v>11571805</v>
      </c>
      <c r="B2116" t="s">
        <v>14</v>
      </c>
      <c r="C2116" t="s">
        <v>13</v>
      </c>
    </row>
    <row r="2117" spans="1:3" x14ac:dyDescent="0.25">
      <c r="A2117">
        <v>11379126</v>
      </c>
      <c r="B2117" t="s">
        <v>14</v>
      </c>
      <c r="C2117" t="s">
        <v>13</v>
      </c>
    </row>
    <row r="2118" spans="1:3" x14ac:dyDescent="0.25">
      <c r="A2118">
        <v>11405544</v>
      </c>
      <c r="B2118" t="s">
        <v>14</v>
      </c>
      <c r="C2118" t="s">
        <v>13</v>
      </c>
    </row>
    <row r="2119" spans="1:3" x14ac:dyDescent="0.25">
      <c r="A2119">
        <v>11708061</v>
      </c>
      <c r="B2119" t="s">
        <v>14</v>
      </c>
      <c r="C2119" t="s">
        <v>13</v>
      </c>
    </row>
    <row r="2120" spans="1:3" x14ac:dyDescent="0.25">
      <c r="A2120">
        <v>11860545</v>
      </c>
      <c r="B2120" t="s">
        <v>14</v>
      </c>
      <c r="C2120" t="s">
        <v>13</v>
      </c>
    </row>
    <row r="2121" spans="1:3" x14ac:dyDescent="0.25">
      <c r="A2121">
        <v>10790033</v>
      </c>
      <c r="B2121" t="s">
        <v>20</v>
      </c>
      <c r="C2121" t="s">
        <v>19</v>
      </c>
    </row>
    <row r="2122" spans="1:3" x14ac:dyDescent="0.25">
      <c r="A2122">
        <v>10790347</v>
      </c>
      <c r="B2122" t="s">
        <v>20</v>
      </c>
      <c r="C2122" t="s">
        <v>19</v>
      </c>
    </row>
    <row r="2123" spans="1:3" x14ac:dyDescent="0.25">
      <c r="A2123">
        <v>11832452</v>
      </c>
      <c r="B2123" t="s">
        <v>22</v>
      </c>
      <c r="C2123" t="s">
        <v>21</v>
      </c>
    </row>
    <row r="2124" spans="1:3" x14ac:dyDescent="0.25">
      <c r="A2124">
        <v>11385747</v>
      </c>
      <c r="B2124" t="s">
        <v>9</v>
      </c>
      <c r="C2124" t="s">
        <v>8</v>
      </c>
    </row>
    <row r="2125" spans="1:3" x14ac:dyDescent="0.25">
      <c r="A2125">
        <v>11371270</v>
      </c>
      <c r="B2125" t="s">
        <v>9</v>
      </c>
      <c r="C2125" t="s">
        <v>8</v>
      </c>
    </row>
    <row r="2126" spans="1:3" x14ac:dyDescent="0.25">
      <c r="A2126">
        <v>11400319</v>
      </c>
      <c r="B2126" t="s">
        <v>9</v>
      </c>
      <c r="C2126" t="s">
        <v>8</v>
      </c>
    </row>
    <row r="2127" spans="1:3" x14ac:dyDescent="0.25">
      <c r="A2127">
        <v>11348185</v>
      </c>
      <c r="B2127" t="s">
        <v>14</v>
      </c>
      <c r="C2127" t="s">
        <v>13</v>
      </c>
    </row>
    <row r="2128" spans="1:3" x14ac:dyDescent="0.25">
      <c r="A2128">
        <v>11826088</v>
      </c>
      <c r="B2128" t="s">
        <v>12</v>
      </c>
      <c r="C2128" t="s">
        <v>21</v>
      </c>
    </row>
    <row r="2129" spans="1:3" x14ac:dyDescent="0.25">
      <c r="A2129">
        <v>11619491</v>
      </c>
      <c r="B2129" t="s">
        <v>14</v>
      </c>
      <c r="C2129" t="s">
        <v>13</v>
      </c>
    </row>
    <row r="2130" spans="1:3" x14ac:dyDescent="0.25">
      <c r="A2130">
        <v>11348882</v>
      </c>
      <c r="B2130" t="s">
        <v>9</v>
      </c>
      <c r="C2130" t="s">
        <v>8</v>
      </c>
    </row>
    <row r="2131" spans="1:3" x14ac:dyDescent="0.25">
      <c r="A2131">
        <v>11363915</v>
      </c>
      <c r="B2131" t="s">
        <v>9</v>
      </c>
      <c r="C2131" t="s">
        <v>8</v>
      </c>
    </row>
    <row r="2132" spans="1:3" x14ac:dyDescent="0.25">
      <c r="A2132">
        <v>11599483</v>
      </c>
      <c r="B2132" t="s">
        <v>20</v>
      </c>
      <c r="C2132" t="s">
        <v>19</v>
      </c>
    </row>
    <row r="2133" spans="1:3" x14ac:dyDescent="0.25">
      <c r="A2133">
        <v>11404623</v>
      </c>
      <c r="B2133" t="s">
        <v>18</v>
      </c>
      <c r="C2133" t="s">
        <v>17</v>
      </c>
    </row>
    <row r="2134" spans="1:3" x14ac:dyDescent="0.25">
      <c r="A2134">
        <v>11356313</v>
      </c>
      <c r="B2134" t="s">
        <v>18</v>
      </c>
      <c r="C2134" t="s">
        <v>17</v>
      </c>
    </row>
    <row r="2135" spans="1:3" x14ac:dyDescent="0.25">
      <c r="A2135">
        <v>11376032</v>
      </c>
      <c r="B2135" t="s">
        <v>18</v>
      </c>
      <c r="C2135" t="s">
        <v>17</v>
      </c>
    </row>
    <row r="2136" spans="1:3" x14ac:dyDescent="0.25">
      <c r="A2136">
        <v>11318868</v>
      </c>
      <c r="B2136" t="s">
        <v>18</v>
      </c>
      <c r="C2136" t="s">
        <v>17</v>
      </c>
    </row>
    <row r="2137" spans="1:3" x14ac:dyDescent="0.25">
      <c r="A2137">
        <v>11302924</v>
      </c>
      <c r="B2137" t="s">
        <v>18</v>
      </c>
      <c r="C2137" t="s">
        <v>17</v>
      </c>
    </row>
    <row r="2138" spans="1:3" x14ac:dyDescent="0.25">
      <c r="A2138">
        <v>11618817</v>
      </c>
      <c r="B2138" t="s">
        <v>18</v>
      </c>
      <c r="C2138" t="s">
        <v>17</v>
      </c>
    </row>
    <row r="2139" spans="1:3" x14ac:dyDescent="0.25">
      <c r="A2139">
        <v>11648017</v>
      </c>
      <c r="B2139" t="s">
        <v>18</v>
      </c>
      <c r="C2139" t="s">
        <v>17</v>
      </c>
    </row>
    <row r="2140" spans="1:3" x14ac:dyDescent="0.25">
      <c r="A2140">
        <v>11345196</v>
      </c>
      <c r="B2140" t="s">
        <v>18</v>
      </c>
      <c r="C2140" t="s">
        <v>17</v>
      </c>
    </row>
    <row r="2141" spans="1:3" x14ac:dyDescent="0.25">
      <c r="A2141">
        <v>11425029</v>
      </c>
      <c r="B2141" t="s">
        <v>18</v>
      </c>
      <c r="C2141" t="s">
        <v>17</v>
      </c>
    </row>
    <row r="2142" spans="1:3" x14ac:dyDescent="0.25">
      <c r="A2142">
        <v>11405634</v>
      </c>
      <c r="B2142" t="s">
        <v>9</v>
      </c>
      <c r="C2142" t="s">
        <v>8</v>
      </c>
    </row>
    <row r="2143" spans="1:3" x14ac:dyDescent="0.25">
      <c r="A2143">
        <v>11394061</v>
      </c>
      <c r="B2143" t="s">
        <v>9</v>
      </c>
      <c r="C2143" t="s">
        <v>8</v>
      </c>
    </row>
    <row r="2144" spans="1:3" x14ac:dyDescent="0.25">
      <c r="A2144">
        <v>11407220</v>
      </c>
      <c r="B2144" t="s">
        <v>9</v>
      </c>
      <c r="C2144" t="s">
        <v>8</v>
      </c>
    </row>
    <row r="2145" spans="1:3" x14ac:dyDescent="0.25">
      <c r="A2145">
        <v>11440821</v>
      </c>
      <c r="B2145" t="s">
        <v>9</v>
      </c>
      <c r="C2145" t="s">
        <v>8</v>
      </c>
    </row>
    <row r="2146" spans="1:3" x14ac:dyDescent="0.25">
      <c r="A2146">
        <v>11379346</v>
      </c>
      <c r="B2146" t="s">
        <v>9</v>
      </c>
      <c r="C2146" t="s">
        <v>8</v>
      </c>
    </row>
    <row r="2147" spans="1:3" x14ac:dyDescent="0.25">
      <c r="A2147">
        <v>11062050</v>
      </c>
      <c r="B2147" t="s">
        <v>16</v>
      </c>
      <c r="C2147" t="s">
        <v>15</v>
      </c>
    </row>
    <row r="2148" spans="1:3" x14ac:dyDescent="0.25">
      <c r="A2148">
        <v>10719149</v>
      </c>
      <c r="B2148" t="s">
        <v>16</v>
      </c>
      <c r="C2148" t="s">
        <v>15</v>
      </c>
    </row>
    <row r="2149" spans="1:3" x14ac:dyDescent="0.25">
      <c r="A2149">
        <v>11231327</v>
      </c>
      <c r="B2149" t="s">
        <v>16</v>
      </c>
      <c r="C2149" t="s">
        <v>15</v>
      </c>
    </row>
    <row r="2150" spans="1:3" x14ac:dyDescent="0.25">
      <c r="A2150">
        <v>11345584</v>
      </c>
      <c r="B2150" t="s">
        <v>16</v>
      </c>
      <c r="C2150" t="s">
        <v>15</v>
      </c>
    </row>
    <row r="2151" spans="1:3" x14ac:dyDescent="0.25">
      <c r="A2151">
        <v>11857547</v>
      </c>
      <c r="B2151" t="s">
        <v>16</v>
      </c>
      <c r="C2151" t="s">
        <v>15</v>
      </c>
    </row>
    <row r="2152" spans="1:3" x14ac:dyDescent="0.25">
      <c r="A2152">
        <v>11350108</v>
      </c>
      <c r="B2152" t="s">
        <v>14</v>
      </c>
      <c r="C2152" t="s">
        <v>13</v>
      </c>
    </row>
    <row r="2153" spans="1:3" x14ac:dyDescent="0.25">
      <c r="A2153">
        <v>11447315</v>
      </c>
      <c r="B2153" t="s">
        <v>9</v>
      </c>
      <c r="C2153" t="s">
        <v>8</v>
      </c>
    </row>
    <row r="2154" spans="1:3" x14ac:dyDescent="0.25">
      <c r="A2154">
        <v>11483931</v>
      </c>
      <c r="B2154" t="s">
        <v>9</v>
      </c>
      <c r="C2154" t="s">
        <v>8</v>
      </c>
    </row>
    <row r="2155" spans="1:3" x14ac:dyDescent="0.25">
      <c r="A2155">
        <v>10816536</v>
      </c>
      <c r="B2155" t="s">
        <v>12</v>
      </c>
    </row>
    <row r="2156" spans="1:3" x14ac:dyDescent="0.25">
      <c r="A2156">
        <v>10868823</v>
      </c>
      <c r="B2156" t="s">
        <v>12</v>
      </c>
    </row>
    <row r="2157" spans="1:3" x14ac:dyDescent="0.25">
      <c r="A2157">
        <v>10870501</v>
      </c>
      <c r="B2157" t="s">
        <v>12</v>
      </c>
    </row>
    <row r="2158" spans="1:3" x14ac:dyDescent="0.25">
      <c r="A2158">
        <v>10873254</v>
      </c>
      <c r="B2158" t="s">
        <v>12</v>
      </c>
    </row>
    <row r="2159" spans="1:3" x14ac:dyDescent="0.25">
      <c r="A2159">
        <v>10877455</v>
      </c>
      <c r="B2159" t="s">
        <v>12</v>
      </c>
    </row>
    <row r="2160" spans="1:3" x14ac:dyDescent="0.25">
      <c r="A2160">
        <v>10904333</v>
      </c>
      <c r="B2160" t="s">
        <v>12</v>
      </c>
    </row>
    <row r="2161" spans="1:2" x14ac:dyDescent="0.25">
      <c r="A2161">
        <v>10704139</v>
      </c>
      <c r="B2161" t="s">
        <v>12</v>
      </c>
    </row>
    <row r="2162" spans="1:2" x14ac:dyDescent="0.25">
      <c r="A2162">
        <v>10894240</v>
      </c>
      <c r="B2162" t="s">
        <v>12</v>
      </c>
    </row>
    <row r="2163" spans="1:2" x14ac:dyDescent="0.25">
      <c r="A2163">
        <v>10881268</v>
      </c>
      <c r="B2163" t="s">
        <v>12</v>
      </c>
    </row>
    <row r="2164" spans="1:2" x14ac:dyDescent="0.25">
      <c r="A2164">
        <v>10825193</v>
      </c>
      <c r="B2164" t="s">
        <v>12</v>
      </c>
    </row>
    <row r="2165" spans="1:2" x14ac:dyDescent="0.25">
      <c r="A2165">
        <v>10847542</v>
      </c>
      <c r="B2165" t="s">
        <v>12</v>
      </c>
    </row>
    <row r="2166" spans="1:2" x14ac:dyDescent="0.25">
      <c r="A2166">
        <v>10613309</v>
      </c>
      <c r="B2166" t="s">
        <v>12</v>
      </c>
    </row>
    <row r="2167" spans="1:2" x14ac:dyDescent="0.25">
      <c r="A2167">
        <v>10796614</v>
      </c>
      <c r="B2167" t="s">
        <v>12</v>
      </c>
    </row>
    <row r="2168" spans="1:2" x14ac:dyDescent="0.25">
      <c r="A2168">
        <v>10801540</v>
      </c>
      <c r="B2168" t="s">
        <v>12</v>
      </c>
    </row>
    <row r="2169" spans="1:2" x14ac:dyDescent="0.25">
      <c r="A2169">
        <v>11461304</v>
      </c>
      <c r="B2169" t="s">
        <v>12</v>
      </c>
    </row>
    <row r="2170" spans="1:2" x14ac:dyDescent="0.25">
      <c r="A2170">
        <v>11095212</v>
      </c>
      <c r="B2170" t="s">
        <v>12</v>
      </c>
    </row>
    <row r="2171" spans="1:2" x14ac:dyDescent="0.25">
      <c r="A2171">
        <v>11090607</v>
      </c>
      <c r="B2171" t="s">
        <v>12</v>
      </c>
    </row>
    <row r="2172" spans="1:2" x14ac:dyDescent="0.25">
      <c r="A2172">
        <v>10971582</v>
      </c>
      <c r="B2172" t="s">
        <v>12</v>
      </c>
    </row>
    <row r="2173" spans="1:2" x14ac:dyDescent="0.25">
      <c r="A2173">
        <v>11072933</v>
      </c>
      <c r="B2173" t="s">
        <v>12</v>
      </c>
    </row>
    <row r="2174" spans="1:2" x14ac:dyDescent="0.25">
      <c r="A2174">
        <v>11038381</v>
      </c>
      <c r="B2174" t="s">
        <v>12</v>
      </c>
    </row>
    <row r="2175" spans="1:2" x14ac:dyDescent="0.25">
      <c r="A2175">
        <v>11280537</v>
      </c>
      <c r="B2175" t="s">
        <v>12</v>
      </c>
    </row>
    <row r="2176" spans="1:2" x14ac:dyDescent="0.25">
      <c r="A2176">
        <v>11346500</v>
      </c>
      <c r="B2176" t="s">
        <v>12</v>
      </c>
    </row>
    <row r="2177" spans="1:2" x14ac:dyDescent="0.25">
      <c r="A2177">
        <v>11360269</v>
      </c>
      <c r="B2177" t="s">
        <v>12</v>
      </c>
    </row>
    <row r="2178" spans="1:2" x14ac:dyDescent="0.25">
      <c r="A2178">
        <v>11368045</v>
      </c>
      <c r="B2178" t="s">
        <v>12</v>
      </c>
    </row>
    <row r="2179" spans="1:2" x14ac:dyDescent="0.25">
      <c r="A2179">
        <v>11380279</v>
      </c>
      <c r="B2179" t="s">
        <v>12</v>
      </c>
    </row>
    <row r="2180" spans="1:2" x14ac:dyDescent="0.25">
      <c r="A2180">
        <v>11403007</v>
      </c>
      <c r="B2180" t="s">
        <v>12</v>
      </c>
    </row>
    <row r="2181" spans="1:2" x14ac:dyDescent="0.25">
      <c r="A2181">
        <v>11405328</v>
      </c>
      <c r="B2181" t="s">
        <v>12</v>
      </c>
    </row>
    <row r="2182" spans="1:2" x14ac:dyDescent="0.25">
      <c r="A2182">
        <v>11518450</v>
      </c>
      <c r="B2182" t="s">
        <v>12</v>
      </c>
    </row>
    <row r="2183" spans="1:2" x14ac:dyDescent="0.25">
      <c r="A2183">
        <v>11123950</v>
      </c>
      <c r="B2183" t="s">
        <v>12</v>
      </c>
    </row>
    <row r="2184" spans="1:2" x14ac:dyDescent="0.25">
      <c r="A2184">
        <v>11124460</v>
      </c>
      <c r="B2184" t="s">
        <v>12</v>
      </c>
    </row>
    <row r="2185" spans="1:2" x14ac:dyDescent="0.25">
      <c r="A2185">
        <v>11132858</v>
      </c>
      <c r="B2185" t="s">
        <v>12</v>
      </c>
    </row>
    <row r="2186" spans="1:2" x14ac:dyDescent="0.25">
      <c r="A2186">
        <v>11058280</v>
      </c>
      <c r="B2186" t="s">
        <v>12</v>
      </c>
    </row>
    <row r="2187" spans="1:2" x14ac:dyDescent="0.25">
      <c r="A2187">
        <v>10962990</v>
      </c>
      <c r="B2187" t="s">
        <v>12</v>
      </c>
    </row>
    <row r="2188" spans="1:2" x14ac:dyDescent="0.25">
      <c r="A2188">
        <v>10955391</v>
      </c>
      <c r="B2188" t="s">
        <v>12</v>
      </c>
    </row>
    <row r="2189" spans="1:2" x14ac:dyDescent="0.25">
      <c r="A2189">
        <v>10954406</v>
      </c>
      <c r="B2189" t="s">
        <v>12</v>
      </c>
    </row>
    <row r="2190" spans="1:2" x14ac:dyDescent="0.25">
      <c r="A2190">
        <v>11013051</v>
      </c>
      <c r="B2190" t="s">
        <v>12</v>
      </c>
    </row>
    <row r="2191" spans="1:2" x14ac:dyDescent="0.25">
      <c r="A2191">
        <v>10930723</v>
      </c>
      <c r="B2191" t="s">
        <v>12</v>
      </c>
    </row>
    <row r="2192" spans="1:2" x14ac:dyDescent="0.25">
      <c r="A2192">
        <v>10922736</v>
      </c>
      <c r="B2192" t="s">
        <v>12</v>
      </c>
    </row>
    <row r="2193" spans="1:3" x14ac:dyDescent="0.25">
      <c r="A2193">
        <v>10831529</v>
      </c>
      <c r="B2193" t="s">
        <v>9</v>
      </c>
      <c r="C2193" t="s">
        <v>8</v>
      </c>
    </row>
    <row r="2194" spans="1:3" x14ac:dyDescent="0.25">
      <c r="A2194">
        <v>10849506</v>
      </c>
      <c r="B2194" t="s">
        <v>9</v>
      </c>
      <c r="C2194" t="s">
        <v>8</v>
      </c>
    </row>
    <row r="2195" spans="1:3" x14ac:dyDescent="0.25">
      <c r="A2195">
        <v>10899716</v>
      </c>
      <c r="B2195" t="s">
        <v>9</v>
      </c>
      <c r="C2195" t="s">
        <v>8</v>
      </c>
    </row>
    <row r="2196" spans="1:3" x14ac:dyDescent="0.25">
      <c r="A2196">
        <v>10934165</v>
      </c>
      <c r="B2196" t="s">
        <v>9</v>
      </c>
      <c r="C2196" t="s">
        <v>8</v>
      </c>
    </row>
    <row r="2197" spans="1:3" x14ac:dyDescent="0.25">
      <c r="A2197">
        <v>10923734</v>
      </c>
      <c r="B2197" t="s">
        <v>9</v>
      </c>
      <c r="C2197" t="s">
        <v>8</v>
      </c>
    </row>
    <row r="2198" spans="1:3" x14ac:dyDescent="0.25">
      <c r="A2198">
        <v>10933472</v>
      </c>
      <c r="B2198" t="s">
        <v>9</v>
      </c>
      <c r="C2198" t="s">
        <v>8</v>
      </c>
    </row>
    <row r="2199" spans="1:3" x14ac:dyDescent="0.25">
      <c r="A2199">
        <v>10915370</v>
      </c>
      <c r="B2199" t="s">
        <v>9</v>
      </c>
      <c r="C2199" t="s">
        <v>8</v>
      </c>
    </row>
    <row r="2200" spans="1:3" x14ac:dyDescent="0.25">
      <c r="A2200">
        <v>10903742</v>
      </c>
      <c r="B2200" t="s">
        <v>9</v>
      </c>
      <c r="C2200" t="s">
        <v>8</v>
      </c>
    </row>
    <row r="2201" spans="1:3" x14ac:dyDescent="0.25">
      <c r="A2201">
        <v>10912162</v>
      </c>
      <c r="B2201" t="s">
        <v>9</v>
      </c>
      <c r="C2201" t="s">
        <v>8</v>
      </c>
    </row>
    <row r="2202" spans="1:3" x14ac:dyDescent="0.25">
      <c r="A2202">
        <v>10912241</v>
      </c>
      <c r="B2202" t="s">
        <v>9</v>
      </c>
      <c r="C2202" t="s">
        <v>8</v>
      </c>
    </row>
    <row r="2203" spans="1:3" x14ac:dyDescent="0.25">
      <c r="A2203">
        <v>11719927</v>
      </c>
      <c r="B2203" t="s">
        <v>12</v>
      </c>
    </row>
    <row r="2204" spans="1:3" x14ac:dyDescent="0.25">
      <c r="A2204">
        <v>11746608</v>
      </c>
      <c r="B2204" t="s">
        <v>12</v>
      </c>
    </row>
    <row r="2205" spans="1:3" x14ac:dyDescent="0.25">
      <c r="A2205">
        <v>11587874</v>
      </c>
      <c r="B2205" t="s">
        <v>12</v>
      </c>
    </row>
    <row r="2206" spans="1:3" x14ac:dyDescent="0.25">
      <c r="A2206">
        <v>11686506</v>
      </c>
      <c r="B2206" t="s">
        <v>12</v>
      </c>
    </row>
    <row r="2207" spans="1:3" x14ac:dyDescent="0.25">
      <c r="A2207">
        <v>11702239</v>
      </c>
      <c r="B2207" t="s">
        <v>12</v>
      </c>
    </row>
    <row r="2208" spans="1:3" x14ac:dyDescent="0.25">
      <c r="A2208">
        <v>11675305</v>
      </c>
      <c r="B2208" t="s">
        <v>12</v>
      </c>
    </row>
    <row r="2209" spans="1:3" x14ac:dyDescent="0.25">
      <c r="A2209">
        <v>11857034</v>
      </c>
      <c r="B2209" t="s">
        <v>12</v>
      </c>
    </row>
    <row r="2210" spans="1:3" x14ac:dyDescent="0.25">
      <c r="A2210">
        <v>11948139</v>
      </c>
      <c r="B2210" t="s">
        <v>12</v>
      </c>
    </row>
    <row r="2211" spans="1:3" x14ac:dyDescent="0.25">
      <c r="A2211">
        <v>10952763</v>
      </c>
      <c r="B2211" t="s">
        <v>9</v>
      </c>
      <c r="C2211" t="s">
        <v>8</v>
      </c>
    </row>
    <row r="2212" spans="1:3" x14ac:dyDescent="0.25">
      <c r="A2212">
        <v>11290631</v>
      </c>
      <c r="B2212" t="s">
        <v>9</v>
      </c>
      <c r="C2212" t="s">
        <v>8</v>
      </c>
    </row>
    <row r="2213" spans="1:3" x14ac:dyDescent="0.25">
      <c r="A2213">
        <v>11290658</v>
      </c>
      <c r="B2213" t="s">
        <v>9</v>
      </c>
      <c r="C2213" t="s">
        <v>8</v>
      </c>
    </row>
    <row r="2214" spans="1:3" x14ac:dyDescent="0.25">
      <c r="A2214">
        <v>11276200</v>
      </c>
      <c r="B2214" t="s">
        <v>9</v>
      </c>
      <c r="C2214" t="s">
        <v>8</v>
      </c>
    </row>
    <row r="2215" spans="1:3" x14ac:dyDescent="0.25">
      <c r="A2215">
        <v>11280408</v>
      </c>
      <c r="B2215" t="s">
        <v>9</v>
      </c>
      <c r="C2215" t="s">
        <v>8</v>
      </c>
    </row>
    <row r="2216" spans="1:3" x14ac:dyDescent="0.25">
      <c r="A2216">
        <v>11348385</v>
      </c>
      <c r="B2216" t="s">
        <v>9</v>
      </c>
      <c r="C2216" t="s">
        <v>8</v>
      </c>
    </row>
    <row r="2217" spans="1:3" x14ac:dyDescent="0.25">
      <c r="A2217">
        <v>11348065</v>
      </c>
      <c r="B2217" t="s">
        <v>9</v>
      </c>
      <c r="C2217" t="s">
        <v>8</v>
      </c>
    </row>
    <row r="2218" spans="1:3" x14ac:dyDescent="0.25">
      <c r="A2218">
        <v>11331617</v>
      </c>
      <c r="B2218" t="s">
        <v>9</v>
      </c>
      <c r="C2218" t="s">
        <v>8</v>
      </c>
    </row>
    <row r="2219" spans="1:3" x14ac:dyDescent="0.25">
      <c r="A2219">
        <v>11333325</v>
      </c>
      <c r="B2219" t="s">
        <v>9</v>
      </c>
      <c r="C2219" t="s">
        <v>8</v>
      </c>
    </row>
    <row r="2220" spans="1:3" x14ac:dyDescent="0.25">
      <c r="A2220">
        <v>11346556</v>
      </c>
      <c r="B2220" t="s">
        <v>9</v>
      </c>
      <c r="C2220" t="s">
        <v>8</v>
      </c>
    </row>
    <row r="2221" spans="1:3" x14ac:dyDescent="0.25">
      <c r="A2221">
        <v>11344565</v>
      </c>
      <c r="B2221" t="s">
        <v>9</v>
      </c>
      <c r="C2221" t="s">
        <v>8</v>
      </c>
    </row>
    <row r="2222" spans="1:3" x14ac:dyDescent="0.25">
      <c r="A2222">
        <v>11301260</v>
      </c>
      <c r="B2222" t="s">
        <v>9</v>
      </c>
      <c r="C2222" t="s">
        <v>8</v>
      </c>
    </row>
    <row r="2223" spans="1:3" x14ac:dyDescent="0.25">
      <c r="A2223">
        <v>10751375</v>
      </c>
      <c r="B2223" t="s">
        <v>9</v>
      </c>
      <c r="C2223" t="s">
        <v>8</v>
      </c>
    </row>
    <row r="2224" spans="1:3" x14ac:dyDescent="0.25">
      <c r="A2224">
        <v>10782630</v>
      </c>
      <c r="B2224" t="s">
        <v>9</v>
      </c>
      <c r="C2224" t="s">
        <v>8</v>
      </c>
    </row>
    <row r="2225" spans="1:3" x14ac:dyDescent="0.25">
      <c r="A2225">
        <v>10687926</v>
      </c>
      <c r="B2225" t="s">
        <v>9</v>
      </c>
      <c r="C2225" t="s">
        <v>8</v>
      </c>
    </row>
    <row r="2226" spans="1:3" x14ac:dyDescent="0.25">
      <c r="A2226">
        <v>10691487</v>
      </c>
      <c r="B2226" t="s">
        <v>9</v>
      </c>
      <c r="C2226" t="s">
        <v>8</v>
      </c>
    </row>
    <row r="2227" spans="1:3" x14ac:dyDescent="0.25">
      <c r="A2227">
        <v>10719851</v>
      </c>
      <c r="B2227" t="s">
        <v>9</v>
      </c>
      <c r="C2227" t="s">
        <v>8</v>
      </c>
    </row>
    <row r="2228" spans="1:3" x14ac:dyDescent="0.25">
      <c r="A2228">
        <v>11002797</v>
      </c>
      <c r="B2228" t="s">
        <v>9</v>
      </c>
      <c r="C2228" t="s">
        <v>8</v>
      </c>
    </row>
    <row r="2229" spans="1:3" x14ac:dyDescent="0.25">
      <c r="A2229">
        <v>10968443</v>
      </c>
      <c r="B2229" t="s">
        <v>9</v>
      </c>
      <c r="C2229" t="s">
        <v>8</v>
      </c>
    </row>
    <row r="2230" spans="1:3" x14ac:dyDescent="0.25">
      <c r="A2230">
        <v>10987728</v>
      </c>
      <c r="B2230" t="s">
        <v>9</v>
      </c>
      <c r="C2230" t="s">
        <v>8</v>
      </c>
    </row>
    <row r="2231" spans="1:3" x14ac:dyDescent="0.25">
      <c r="A2231">
        <v>10992120</v>
      </c>
      <c r="B2231" t="s">
        <v>9</v>
      </c>
      <c r="C2231" t="s">
        <v>8</v>
      </c>
    </row>
    <row r="2232" spans="1:3" x14ac:dyDescent="0.25">
      <c r="A2232">
        <v>10961468</v>
      </c>
      <c r="B2232" t="s">
        <v>9</v>
      </c>
      <c r="C2232" t="s">
        <v>8</v>
      </c>
    </row>
    <row r="2233" spans="1:3" x14ac:dyDescent="0.25">
      <c r="A2233">
        <v>10947994</v>
      </c>
      <c r="B2233" t="s">
        <v>9</v>
      </c>
      <c r="C2233" t="s">
        <v>8</v>
      </c>
    </row>
    <row r="2234" spans="1:3" x14ac:dyDescent="0.25">
      <c r="A2234">
        <v>11385999</v>
      </c>
      <c r="B2234" t="s">
        <v>11</v>
      </c>
      <c r="C2234" t="s">
        <v>10</v>
      </c>
    </row>
    <row r="2235" spans="1:3" x14ac:dyDescent="0.25">
      <c r="A2235">
        <v>11812374</v>
      </c>
      <c r="B2235" t="s">
        <v>9</v>
      </c>
      <c r="C2235" t="s">
        <v>8</v>
      </c>
    </row>
    <row r="2236" spans="1:3" x14ac:dyDescent="0.25">
      <c r="A2236">
        <v>11803303</v>
      </c>
      <c r="B2236" t="s">
        <v>9</v>
      </c>
      <c r="C2236" t="s">
        <v>8</v>
      </c>
    </row>
    <row r="2237" spans="1:3" x14ac:dyDescent="0.25">
      <c r="A2237">
        <v>11806684</v>
      </c>
      <c r="B2237" t="s">
        <v>9</v>
      </c>
      <c r="C2237" t="s">
        <v>8</v>
      </c>
    </row>
    <row r="2238" spans="1:3" x14ac:dyDescent="0.25">
      <c r="A2238">
        <v>11743456</v>
      </c>
      <c r="B2238" t="s">
        <v>9</v>
      </c>
      <c r="C2238" t="s">
        <v>8</v>
      </c>
    </row>
    <row r="2239" spans="1:3" x14ac:dyDescent="0.25">
      <c r="A2239">
        <v>11496644</v>
      </c>
      <c r="B2239" t="s">
        <v>9</v>
      </c>
      <c r="C2239" t="s">
        <v>8</v>
      </c>
    </row>
    <row r="2240" spans="1:3" x14ac:dyDescent="0.25">
      <c r="A2240">
        <v>11611126</v>
      </c>
      <c r="B2240" t="s">
        <v>9</v>
      </c>
      <c r="C2240" t="s">
        <v>8</v>
      </c>
    </row>
    <row r="2241" spans="1:3" x14ac:dyDescent="0.25">
      <c r="A2241">
        <v>11607209</v>
      </c>
      <c r="B2241" t="s">
        <v>9</v>
      </c>
      <c r="C2241" t="s">
        <v>8</v>
      </c>
    </row>
    <row r="2242" spans="1:3" x14ac:dyDescent="0.25">
      <c r="A2242">
        <v>11597932</v>
      </c>
      <c r="B2242" t="s">
        <v>9</v>
      </c>
      <c r="C2242" t="s">
        <v>8</v>
      </c>
    </row>
    <row r="2243" spans="1:3" x14ac:dyDescent="0.25">
      <c r="A2243">
        <v>11599540</v>
      </c>
      <c r="B2243" t="s">
        <v>9</v>
      </c>
      <c r="C2243" t="s">
        <v>8</v>
      </c>
    </row>
    <row r="2244" spans="1:3" x14ac:dyDescent="0.25">
      <c r="A2244">
        <v>11664703</v>
      </c>
      <c r="B2244" t="s">
        <v>9</v>
      </c>
      <c r="C2244" t="s">
        <v>8</v>
      </c>
    </row>
    <row r="2245" spans="1:3" x14ac:dyDescent="0.25">
      <c r="A2245">
        <v>10852883</v>
      </c>
      <c r="B2245" t="s">
        <v>11</v>
      </c>
      <c r="C2245" t="s">
        <v>10</v>
      </c>
    </row>
    <row r="2246" spans="1:3" x14ac:dyDescent="0.25">
      <c r="A2246">
        <v>11398532</v>
      </c>
      <c r="B2246" t="s">
        <v>7</v>
      </c>
      <c r="C2246" t="s">
        <v>6</v>
      </c>
    </row>
    <row r="2247" spans="1:3" x14ac:dyDescent="0.25">
      <c r="A2247">
        <v>11370666</v>
      </c>
      <c r="B2247" t="s">
        <v>7</v>
      </c>
      <c r="C2247" t="s">
        <v>6</v>
      </c>
    </row>
    <row r="2248" spans="1:3" x14ac:dyDescent="0.25">
      <c r="A2248">
        <v>11363382</v>
      </c>
      <c r="B2248" t="s">
        <v>7</v>
      </c>
      <c r="C2248" t="s">
        <v>6</v>
      </c>
    </row>
    <row r="2249" spans="1:3" x14ac:dyDescent="0.25">
      <c r="A2249">
        <v>11371137</v>
      </c>
      <c r="B2249" t="s">
        <v>7</v>
      </c>
      <c r="C2249" t="s">
        <v>6</v>
      </c>
    </row>
    <row r="2250" spans="1:3" x14ac:dyDescent="0.25">
      <c r="A2250">
        <v>11949340</v>
      </c>
      <c r="B2250" t="s">
        <v>9</v>
      </c>
      <c r="C2250" t="s">
        <v>8</v>
      </c>
    </row>
    <row r="2251" spans="1:3" x14ac:dyDescent="0.25">
      <c r="A2251">
        <v>11976456</v>
      </c>
      <c r="B2251" t="s">
        <v>9</v>
      </c>
      <c r="C2251" t="s">
        <v>8</v>
      </c>
    </row>
    <row r="2252" spans="1:3" x14ac:dyDescent="0.25">
      <c r="A2252">
        <v>11978275</v>
      </c>
      <c r="B2252" t="s">
        <v>9</v>
      </c>
      <c r="C2252" t="s">
        <v>8</v>
      </c>
    </row>
    <row r="2253" spans="1:3" x14ac:dyDescent="0.25">
      <c r="A2253">
        <v>12012532</v>
      </c>
      <c r="B2253" t="s">
        <v>9</v>
      </c>
      <c r="C2253" t="s">
        <v>8</v>
      </c>
    </row>
    <row r="2254" spans="1:3" x14ac:dyDescent="0.25">
      <c r="A2254">
        <v>12007108</v>
      </c>
      <c r="B2254" t="s">
        <v>9</v>
      </c>
      <c r="C2254" t="s">
        <v>8</v>
      </c>
    </row>
    <row r="2255" spans="1:3" x14ac:dyDescent="0.25">
      <c r="A2255">
        <v>12002261</v>
      </c>
      <c r="B2255" t="s">
        <v>9</v>
      </c>
      <c r="C2255" t="s">
        <v>8</v>
      </c>
    </row>
    <row r="2256" spans="1:3" x14ac:dyDescent="0.25">
      <c r="A2256">
        <v>12023868</v>
      </c>
      <c r="B2256" t="s">
        <v>9</v>
      </c>
      <c r="C2256" t="s">
        <v>8</v>
      </c>
    </row>
    <row r="2257" spans="1:3" x14ac:dyDescent="0.25">
      <c r="A2257">
        <v>12023976</v>
      </c>
      <c r="B2257" t="s">
        <v>9</v>
      </c>
      <c r="C2257" t="s">
        <v>8</v>
      </c>
    </row>
    <row r="2258" spans="1:3" x14ac:dyDescent="0.25">
      <c r="A2258">
        <v>12024031</v>
      </c>
      <c r="B2258" t="s">
        <v>9</v>
      </c>
      <c r="C2258" t="s">
        <v>8</v>
      </c>
    </row>
    <row r="2259" spans="1:3" x14ac:dyDescent="0.25">
      <c r="A2259">
        <v>11395433</v>
      </c>
      <c r="B2259" t="s">
        <v>7</v>
      </c>
      <c r="C2259" t="s">
        <v>6</v>
      </c>
    </row>
    <row r="2260" spans="1:3" x14ac:dyDescent="0.25">
      <c r="A2260">
        <v>11382010</v>
      </c>
      <c r="B2260" t="s">
        <v>7</v>
      </c>
      <c r="C2260" t="s">
        <v>6</v>
      </c>
    </row>
    <row r="2261" spans="1:3" x14ac:dyDescent="0.25">
      <c r="A2261">
        <v>12021648</v>
      </c>
      <c r="B2261" t="s">
        <v>9</v>
      </c>
      <c r="C2261" t="s">
        <v>8</v>
      </c>
    </row>
    <row r="2262" spans="1:3" x14ac:dyDescent="0.25">
      <c r="A2262">
        <v>11875914</v>
      </c>
      <c r="B2262" t="s">
        <v>9</v>
      </c>
      <c r="C2262" t="s">
        <v>8</v>
      </c>
    </row>
    <row r="2263" spans="1:3" x14ac:dyDescent="0.25">
      <c r="A2263">
        <v>11871590</v>
      </c>
      <c r="B2263" t="s">
        <v>9</v>
      </c>
      <c r="C2263" t="s">
        <v>8</v>
      </c>
    </row>
    <row r="2264" spans="1:3" x14ac:dyDescent="0.25">
      <c r="A2264">
        <v>11858022</v>
      </c>
      <c r="B2264" t="s">
        <v>9</v>
      </c>
      <c r="C2264" t="s">
        <v>8</v>
      </c>
    </row>
    <row r="2265" spans="1:3" x14ac:dyDescent="0.25">
      <c r="A2265">
        <v>11789649</v>
      </c>
      <c r="B2265" t="s">
        <v>9</v>
      </c>
      <c r="C2265" t="s">
        <v>8</v>
      </c>
    </row>
    <row r="2266" spans="1:3" x14ac:dyDescent="0.25">
      <c r="A2266">
        <v>11738122</v>
      </c>
      <c r="B2266" t="s">
        <v>9</v>
      </c>
      <c r="C2266" t="s">
        <v>8</v>
      </c>
    </row>
    <row r="2267" spans="1:3" x14ac:dyDescent="0.25">
      <c r="A2267">
        <v>11680530</v>
      </c>
      <c r="B2267" t="s">
        <v>9</v>
      </c>
      <c r="C2267" t="s">
        <v>8</v>
      </c>
    </row>
    <row r="2268" spans="1:3" x14ac:dyDescent="0.25">
      <c r="A2268">
        <v>11708785</v>
      </c>
      <c r="B2268" t="s">
        <v>9</v>
      </c>
      <c r="C2268" t="s">
        <v>8</v>
      </c>
    </row>
    <row r="2269" spans="1:3" x14ac:dyDescent="0.25">
      <c r="A2269">
        <v>11297983</v>
      </c>
      <c r="B2269" t="s">
        <v>7</v>
      </c>
      <c r="C2269" t="s">
        <v>6</v>
      </c>
    </row>
    <row r="2270" spans="1:3" x14ac:dyDescent="0.25">
      <c r="A2270">
        <v>11331813</v>
      </c>
      <c r="B2270" t="s">
        <v>7</v>
      </c>
      <c r="C2270" t="s">
        <v>6</v>
      </c>
    </row>
    <row r="2271" spans="1:3" x14ac:dyDescent="0.25">
      <c r="A2271">
        <v>10846258</v>
      </c>
      <c r="B2271" t="s">
        <v>7</v>
      </c>
      <c r="C2271" t="s">
        <v>6</v>
      </c>
    </row>
    <row r="2272" spans="1:3" x14ac:dyDescent="0.25">
      <c r="A2272">
        <v>11562089</v>
      </c>
      <c r="B2272" t="s">
        <v>7</v>
      </c>
      <c r="C2272" t="s">
        <v>6</v>
      </c>
    </row>
    <row r="2273" spans="1:3" x14ac:dyDescent="0.25">
      <c r="A2273">
        <v>11561275</v>
      </c>
      <c r="B2273" t="s">
        <v>7</v>
      </c>
      <c r="C2273" t="s">
        <v>6</v>
      </c>
    </row>
    <row r="2274" spans="1:3" x14ac:dyDescent="0.25">
      <c r="A2274">
        <v>11566253</v>
      </c>
      <c r="B2274" t="s">
        <v>7</v>
      </c>
      <c r="C2274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12E2-4D35-4E89-96D6-315D136B5021}">
  <dimension ref="A1:B2274"/>
  <sheetViews>
    <sheetView topLeftCell="A2254" workbookViewId="0">
      <selection activeCell="A2274" sqref="A2274:XFD2274"/>
    </sheetView>
  </sheetViews>
  <sheetFormatPr defaultRowHeight="15" x14ac:dyDescent="0.25"/>
  <cols>
    <col min="2" max="2" width="36" bestFit="1" customWidth="1"/>
  </cols>
  <sheetData>
    <row r="1" spans="1:2" x14ac:dyDescent="0.25">
      <c r="A1" t="s">
        <v>2</v>
      </c>
      <c r="B1" t="s">
        <v>5</v>
      </c>
    </row>
    <row r="2" spans="1:2" x14ac:dyDescent="0.25">
      <c r="A2">
        <v>11316042</v>
      </c>
      <c r="B2" t="s">
        <v>35</v>
      </c>
    </row>
    <row r="3" spans="1:2" x14ac:dyDescent="0.25">
      <c r="A3">
        <v>11374979</v>
      </c>
      <c r="B3" t="s">
        <v>35</v>
      </c>
    </row>
    <row r="4" spans="1:2" x14ac:dyDescent="0.25">
      <c r="A4">
        <v>11997870</v>
      </c>
      <c r="B4" t="s">
        <v>35</v>
      </c>
    </row>
    <row r="5" spans="1:2" x14ac:dyDescent="0.25">
      <c r="A5">
        <v>11930537</v>
      </c>
      <c r="B5" t="s">
        <v>35</v>
      </c>
    </row>
    <row r="6" spans="1:2" x14ac:dyDescent="0.25">
      <c r="A6">
        <v>11899381</v>
      </c>
      <c r="B6" t="s">
        <v>35</v>
      </c>
    </row>
    <row r="7" spans="1:2" x14ac:dyDescent="0.25">
      <c r="A7">
        <v>11899592</v>
      </c>
      <c r="B7" t="s">
        <v>35</v>
      </c>
    </row>
    <row r="8" spans="1:2" x14ac:dyDescent="0.25">
      <c r="A8">
        <v>11889399</v>
      </c>
      <c r="B8" t="s">
        <v>35</v>
      </c>
    </row>
    <row r="9" spans="1:2" x14ac:dyDescent="0.25">
      <c r="A9">
        <v>11842866</v>
      </c>
      <c r="B9" t="s">
        <v>35</v>
      </c>
    </row>
    <row r="10" spans="1:2" x14ac:dyDescent="0.25">
      <c r="A10">
        <v>11843011</v>
      </c>
      <c r="B10" t="s">
        <v>35</v>
      </c>
    </row>
    <row r="11" spans="1:2" x14ac:dyDescent="0.25">
      <c r="A11">
        <v>11684556</v>
      </c>
      <c r="B11" t="s">
        <v>35</v>
      </c>
    </row>
    <row r="12" spans="1:2" x14ac:dyDescent="0.25">
      <c r="A12">
        <v>11685062</v>
      </c>
      <c r="B12" t="s">
        <v>35</v>
      </c>
    </row>
    <row r="13" spans="1:2" x14ac:dyDescent="0.25">
      <c r="A13">
        <v>11698167</v>
      </c>
      <c r="B13" t="s">
        <v>35</v>
      </c>
    </row>
    <row r="14" spans="1:2" x14ac:dyDescent="0.25">
      <c r="A14">
        <v>11698312</v>
      </c>
      <c r="B14" t="s">
        <v>35</v>
      </c>
    </row>
    <row r="15" spans="1:2" x14ac:dyDescent="0.25">
      <c r="A15">
        <v>11684204</v>
      </c>
      <c r="B15" t="s">
        <v>35</v>
      </c>
    </row>
    <row r="16" spans="1:2" x14ac:dyDescent="0.25">
      <c r="A16">
        <v>11684264</v>
      </c>
      <c r="B16" t="s">
        <v>35</v>
      </c>
    </row>
    <row r="17" spans="1:2" x14ac:dyDescent="0.25">
      <c r="A17">
        <v>11357814</v>
      </c>
      <c r="B17" t="s">
        <v>35</v>
      </c>
    </row>
    <row r="18" spans="1:2" x14ac:dyDescent="0.25">
      <c r="A18">
        <v>11842580</v>
      </c>
      <c r="B18" t="s">
        <v>35</v>
      </c>
    </row>
    <row r="19" spans="1:2" x14ac:dyDescent="0.25">
      <c r="A19">
        <v>11842668</v>
      </c>
      <c r="B19" t="s">
        <v>35</v>
      </c>
    </row>
    <row r="20" spans="1:2" x14ac:dyDescent="0.25">
      <c r="A20">
        <v>11806208</v>
      </c>
      <c r="B20" t="s">
        <v>35</v>
      </c>
    </row>
    <row r="21" spans="1:2" x14ac:dyDescent="0.25">
      <c r="A21">
        <v>11817123</v>
      </c>
      <c r="B21" t="s">
        <v>35</v>
      </c>
    </row>
    <row r="22" spans="1:2" x14ac:dyDescent="0.25">
      <c r="A22">
        <v>11774094</v>
      </c>
      <c r="B22" t="s">
        <v>35</v>
      </c>
    </row>
    <row r="23" spans="1:2" x14ac:dyDescent="0.25">
      <c r="A23">
        <v>11741460</v>
      </c>
      <c r="B23" t="s">
        <v>35</v>
      </c>
    </row>
    <row r="24" spans="1:2" x14ac:dyDescent="0.25">
      <c r="A24">
        <v>11741181</v>
      </c>
      <c r="B24" t="s">
        <v>35</v>
      </c>
    </row>
    <row r="25" spans="1:2" x14ac:dyDescent="0.25">
      <c r="A25">
        <v>11698497</v>
      </c>
      <c r="B25" t="s">
        <v>35</v>
      </c>
    </row>
    <row r="26" spans="1:2" x14ac:dyDescent="0.25">
      <c r="A26">
        <v>11698513</v>
      </c>
      <c r="B26" t="s">
        <v>35</v>
      </c>
    </row>
    <row r="27" spans="1:2" x14ac:dyDescent="0.25">
      <c r="A27">
        <v>11698524</v>
      </c>
      <c r="B27" t="s">
        <v>35</v>
      </c>
    </row>
    <row r="28" spans="1:2" x14ac:dyDescent="0.25">
      <c r="A28">
        <v>11699034</v>
      </c>
      <c r="B28" t="s">
        <v>35</v>
      </c>
    </row>
    <row r="29" spans="1:2" x14ac:dyDescent="0.25">
      <c r="A29">
        <v>11741070</v>
      </c>
      <c r="B29" t="s">
        <v>35</v>
      </c>
    </row>
    <row r="30" spans="1:2" x14ac:dyDescent="0.25">
      <c r="A30">
        <v>10566142</v>
      </c>
    </row>
    <row r="31" spans="1:2" x14ac:dyDescent="0.25">
      <c r="A31">
        <v>10572176</v>
      </c>
    </row>
    <row r="32" spans="1:2" x14ac:dyDescent="0.25">
      <c r="A32">
        <v>10581011</v>
      </c>
    </row>
    <row r="33" spans="1:2" x14ac:dyDescent="0.25">
      <c r="A33">
        <v>10621157</v>
      </c>
    </row>
    <row r="34" spans="1:2" x14ac:dyDescent="0.25">
      <c r="A34">
        <v>10608029</v>
      </c>
    </row>
    <row r="35" spans="1:2" x14ac:dyDescent="0.25">
      <c r="A35">
        <v>10590212</v>
      </c>
    </row>
    <row r="36" spans="1:2" x14ac:dyDescent="0.25">
      <c r="A36">
        <v>10590859</v>
      </c>
    </row>
    <row r="37" spans="1:2" x14ac:dyDescent="0.25">
      <c r="A37">
        <v>11390110</v>
      </c>
      <c r="B37" t="s">
        <v>36</v>
      </c>
    </row>
    <row r="38" spans="1:2" x14ac:dyDescent="0.25">
      <c r="A38">
        <v>11899460</v>
      </c>
      <c r="B38" t="s">
        <v>38</v>
      </c>
    </row>
    <row r="39" spans="1:2" x14ac:dyDescent="0.25">
      <c r="A39">
        <v>11269120</v>
      </c>
      <c r="B39" t="s">
        <v>37</v>
      </c>
    </row>
    <row r="40" spans="1:2" x14ac:dyDescent="0.25">
      <c r="A40">
        <v>11344672</v>
      </c>
      <c r="B40" t="s">
        <v>37</v>
      </c>
    </row>
    <row r="41" spans="1:2" x14ac:dyDescent="0.25">
      <c r="A41">
        <v>11269632</v>
      </c>
      <c r="B41" t="s">
        <v>37</v>
      </c>
    </row>
    <row r="42" spans="1:2" x14ac:dyDescent="0.25">
      <c r="A42">
        <v>11600384</v>
      </c>
      <c r="B42" t="s">
        <v>39</v>
      </c>
    </row>
    <row r="43" spans="1:2" x14ac:dyDescent="0.25">
      <c r="A43">
        <v>11600003</v>
      </c>
      <c r="B43" t="s">
        <v>39</v>
      </c>
    </row>
    <row r="44" spans="1:2" x14ac:dyDescent="0.25">
      <c r="A44">
        <v>11612125</v>
      </c>
      <c r="B44" t="s">
        <v>39</v>
      </c>
    </row>
    <row r="45" spans="1:2" x14ac:dyDescent="0.25">
      <c r="A45">
        <v>11612134</v>
      </c>
      <c r="B45" t="s">
        <v>39</v>
      </c>
    </row>
    <row r="46" spans="1:2" x14ac:dyDescent="0.25">
      <c r="A46">
        <v>11612150</v>
      </c>
      <c r="B46" t="s">
        <v>39</v>
      </c>
    </row>
    <row r="47" spans="1:2" x14ac:dyDescent="0.25">
      <c r="A47">
        <v>11684485</v>
      </c>
      <c r="B47" t="s">
        <v>39</v>
      </c>
    </row>
    <row r="48" spans="1:2" x14ac:dyDescent="0.25">
      <c r="A48">
        <v>11684795</v>
      </c>
      <c r="B48" t="s">
        <v>39</v>
      </c>
    </row>
    <row r="49" spans="1:2" x14ac:dyDescent="0.25">
      <c r="A49">
        <v>11684898</v>
      </c>
      <c r="B49" t="s">
        <v>39</v>
      </c>
    </row>
    <row r="50" spans="1:2" x14ac:dyDescent="0.25">
      <c r="A50">
        <v>11685013</v>
      </c>
      <c r="B50" t="s">
        <v>39</v>
      </c>
    </row>
    <row r="51" spans="1:2" x14ac:dyDescent="0.25">
      <c r="A51">
        <v>11714445</v>
      </c>
      <c r="B51" t="s">
        <v>39</v>
      </c>
    </row>
    <row r="52" spans="1:2" x14ac:dyDescent="0.25">
      <c r="A52">
        <v>11714617</v>
      </c>
      <c r="B52" t="s">
        <v>39</v>
      </c>
    </row>
    <row r="53" spans="1:2" x14ac:dyDescent="0.25">
      <c r="A53">
        <v>11714640</v>
      </c>
      <c r="B53" t="s">
        <v>39</v>
      </c>
    </row>
    <row r="54" spans="1:2" x14ac:dyDescent="0.25">
      <c r="A54">
        <v>11714702</v>
      </c>
      <c r="B54" t="s">
        <v>39</v>
      </c>
    </row>
    <row r="55" spans="1:2" x14ac:dyDescent="0.25">
      <c r="A55">
        <v>11717819</v>
      </c>
      <c r="B55" t="s">
        <v>39</v>
      </c>
    </row>
    <row r="56" spans="1:2" x14ac:dyDescent="0.25">
      <c r="A56">
        <v>11717984</v>
      </c>
      <c r="B56" t="s">
        <v>39</v>
      </c>
    </row>
    <row r="57" spans="1:2" x14ac:dyDescent="0.25">
      <c r="A57">
        <v>11718243</v>
      </c>
      <c r="B57" t="s">
        <v>39</v>
      </c>
    </row>
    <row r="58" spans="1:2" x14ac:dyDescent="0.25">
      <c r="A58">
        <v>11718364</v>
      </c>
      <c r="B58" t="s">
        <v>39</v>
      </c>
    </row>
    <row r="59" spans="1:2" x14ac:dyDescent="0.25">
      <c r="A59">
        <v>11718437</v>
      </c>
      <c r="B59" t="s">
        <v>39</v>
      </c>
    </row>
    <row r="60" spans="1:2" x14ac:dyDescent="0.25">
      <c r="A60">
        <v>11718549</v>
      </c>
      <c r="B60" t="s">
        <v>39</v>
      </c>
    </row>
    <row r="61" spans="1:2" x14ac:dyDescent="0.25">
      <c r="A61">
        <v>11740755</v>
      </c>
      <c r="B61" t="s">
        <v>39</v>
      </c>
    </row>
    <row r="62" spans="1:2" x14ac:dyDescent="0.25">
      <c r="A62">
        <v>11740859</v>
      </c>
      <c r="B62" t="s">
        <v>39</v>
      </c>
    </row>
    <row r="63" spans="1:2" x14ac:dyDescent="0.25">
      <c r="A63">
        <v>11698469</v>
      </c>
      <c r="B63" t="s">
        <v>39</v>
      </c>
    </row>
    <row r="64" spans="1:2" x14ac:dyDescent="0.25">
      <c r="A64">
        <v>11698475</v>
      </c>
      <c r="B64" t="s">
        <v>39</v>
      </c>
    </row>
    <row r="65" spans="1:2" x14ac:dyDescent="0.25">
      <c r="A65">
        <v>11773367</v>
      </c>
      <c r="B65" t="s">
        <v>39</v>
      </c>
    </row>
    <row r="66" spans="1:2" x14ac:dyDescent="0.25">
      <c r="A66">
        <v>11773409</v>
      </c>
      <c r="B66" t="s">
        <v>39</v>
      </c>
    </row>
    <row r="67" spans="1:2" x14ac:dyDescent="0.25">
      <c r="A67">
        <v>11757048</v>
      </c>
      <c r="B67" t="s">
        <v>39</v>
      </c>
    </row>
    <row r="68" spans="1:2" x14ac:dyDescent="0.25">
      <c r="A68">
        <v>11774377</v>
      </c>
      <c r="B68" t="s">
        <v>39</v>
      </c>
    </row>
    <row r="69" spans="1:2" x14ac:dyDescent="0.25">
      <c r="A69">
        <v>11798332</v>
      </c>
      <c r="B69" t="s">
        <v>39</v>
      </c>
    </row>
    <row r="70" spans="1:2" x14ac:dyDescent="0.25">
      <c r="A70">
        <v>11799384</v>
      </c>
      <c r="B70" t="s">
        <v>39</v>
      </c>
    </row>
    <row r="71" spans="1:2" x14ac:dyDescent="0.25">
      <c r="A71">
        <v>11800181</v>
      </c>
      <c r="B71" t="s">
        <v>39</v>
      </c>
    </row>
    <row r="72" spans="1:2" x14ac:dyDescent="0.25">
      <c r="A72">
        <v>11800788</v>
      </c>
      <c r="B72" t="s">
        <v>39</v>
      </c>
    </row>
    <row r="73" spans="1:2" x14ac:dyDescent="0.25">
      <c r="A73">
        <v>11806133</v>
      </c>
      <c r="B73" t="s">
        <v>39</v>
      </c>
    </row>
    <row r="74" spans="1:2" x14ac:dyDescent="0.25">
      <c r="A74">
        <v>11611775</v>
      </c>
      <c r="B74" t="s">
        <v>39</v>
      </c>
    </row>
    <row r="75" spans="1:2" x14ac:dyDescent="0.25">
      <c r="A75">
        <v>11832009</v>
      </c>
      <c r="B75" t="s">
        <v>39</v>
      </c>
    </row>
    <row r="76" spans="1:2" x14ac:dyDescent="0.25">
      <c r="A76">
        <v>11832538</v>
      </c>
      <c r="B76" t="s">
        <v>39</v>
      </c>
    </row>
    <row r="77" spans="1:2" x14ac:dyDescent="0.25">
      <c r="A77">
        <v>11842737</v>
      </c>
      <c r="B77" t="s">
        <v>39</v>
      </c>
    </row>
    <row r="78" spans="1:2" x14ac:dyDescent="0.25">
      <c r="A78">
        <v>11843401</v>
      </c>
      <c r="B78" t="s">
        <v>39</v>
      </c>
    </row>
    <row r="79" spans="1:2" x14ac:dyDescent="0.25">
      <c r="A79">
        <v>11888712</v>
      </c>
      <c r="B79" t="s">
        <v>39</v>
      </c>
    </row>
    <row r="80" spans="1:2" x14ac:dyDescent="0.25">
      <c r="A80">
        <v>11889032</v>
      </c>
      <c r="B80" t="s">
        <v>39</v>
      </c>
    </row>
    <row r="81" spans="1:2" x14ac:dyDescent="0.25">
      <c r="A81">
        <v>11890089</v>
      </c>
      <c r="B81" t="s">
        <v>39</v>
      </c>
    </row>
    <row r="82" spans="1:2" x14ac:dyDescent="0.25">
      <c r="A82">
        <v>11930488</v>
      </c>
      <c r="B82" t="s">
        <v>39</v>
      </c>
    </row>
    <row r="83" spans="1:2" x14ac:dyDescent="0.25">
      <c r="A83">
        <v>11899817</v>
      </c>
      <c r="B83" t="s">
        <v>39</v>
      </c>
    </row>
    <row r="84" spans="1:2" x14ac:dyDescent="0.25">
      <c r="A84">
        <v>10706315</v>
      </c>
      <c r="B84" t="s">
        <v>39</v>
      </c>
    </row>
    <row r="85" spans="1:2" x14ac:dyDescent="0.25">
      <c r="A85">
        <v>11296113</v>
      </c>
      <c r="B85" t="s">
        <v>39</v>
      </c>
    </row>
    <row r="86" spans="1:2" x14ac:dyDescent="0.25">
      <c r="A86">
        <v>11611811</v>
      </c>
      <c r="B86" t="s">
        <v>39</v>
      </c>
    </row>
    <row r="87" spans="1:2" x14ac:dyDescent="0.25">
      <c r="A87">
        <v>11588015</v>
      </c>
      <c r="B87" t="s">
        <v>39</v>
      </c>
    </row>
    <row r="88" spans="1:2" x14ac:dyDescent="0.25">
      <c r="A88">
        <v>11599660</v>
      </c>
      <c r="B88" t="s">
        <v>39</v>
      </c>
    </row>
    <row r="89" spans="1:2" x14ac:dyDescent="0.25">
      <c r="A89">
        <v>11599672</v>
      </c>
      <c r="B89" t="s">
        <v>39</v>
      </c>
    </row>
    <row r="90" spans="1:2" x14ac:dyDescent="0.25">
      <c r="A90">
        <v>11599681</v>
      </c>
      <c r="B90" t="s">
        <v>39</v>
      </c>
    </row>
    <row r="91" spans="1:2" x14ac:dyDescent="0.25">
      <c r="A91">
        <v>11599755</v>
      </c>
      <c r="B91" t="s">
        <v>39</v>
      </c>
    </row>
    <row r="92" spans="1:2" x14ac:dyDescent="0.25">
      <c r="A92">
        <v>11600028</v>
      </c>
      <c r="B92" t="s">
        <v>39</v>
      </c>
    </row>
    <row r="93" spans="1:2" x14ac:dyDescent="0.25">
      <c r="A93">
        <v>11067193</v>
      </c>
      <c r="B93" t="s">
        <v>42</v>
      </c>
    </row>
    <row r="94" spans="1:2" x14ac:dyDescent="0.25">
      <c r="A94">
        <v>11068581</v>
      </c>
      <c r="B94" t="s">
        <v>42</v>
      </c>
    </row>
    <row r="95" spans="1:2" x14ac:dyDescent="0.25">
      <c r="A95">
        <v>11069471</v>
      </c>
      <c r="B95" t="s">
        <v>42</v>
      </c>
    </row>
    <row r="96" spans="1:2" x14ac:dyDescent="0.25">
      <c r="A96">
        <v>11069911</v>
      </c>
      <c r="B96" t="s">
        <v>42</v>
      </c>
    </row>
    <row r="97" spans="1:2" x14ac:dyDescent="0.25">
      <c r="A97">
        <v>11068167</v>
      </c>
      <c r="B97" t="s">
        <v>42</v>
      </c>
    </row>
    <row r="98" spans="1:2" x14ac:dyDescent="0.25">
      <c r="A98">
        <v>11149370</v>
      </c>
      <c r="B98" t="s">
        <v>42</v>
      </c>
    </row>
    <row r="99" spans="1:2" x14ac:dyDescent="0.25">
      <c r="A99">
        <v>11322951</v>
      </c>
      <c r="B99" t="s">
        <v>41</v>
      </c>
    </row>
    <row r="100" spans="1:2" x14ac:dyDescent="0.25">
      <c r="A100">
        <v>10781227</v>
      </c>
      <c r="B100" t="s">
        <v>41</v>
      </c>
    </row>
    <row r="101" spans="1:2" x14ac:dyDescent="0.25">
      <c r="A101">
        <v>11348488</v>
      </c>
      <c r="B101" t="s">
        <v>41</v>
      </c>
    </row>
    <row r="102" spans="1:2" x14ac:dyDescent="0.25">
      <c r="A102">
        <v>11067294</v>
      </c>
      <c r="B102" t="s">
        <v>41</v>
      </c>
    </row>
    <row r="103" spans="1:2" x14ac:dyDescent="0.25">
      <c r="A103">
        <v>10817381</v>
      </c>
      <c r="B103" t="s">
        <v>41</v>
      </c>
    </row>
    <row r="104" spans="1:2" x14ac:dyDescent="0.25">
      <c r="A104">
        <v>10718989</v>
      </c>
      <c r="B104" t="s">
        <v>41</v>
      </c>
    </row>
    <row r="105" spans="1:2" x14ac:dyDescent="0.25">
      <c r="A105">
        <v>10930967</v>
      </c>
      <c r="B105" t="s">
        <v>37</v>
      </c>
    </row>
    <row r="106" spans="1:2" x14ac:dyDescent="0.25">
      <c r="A106">
        <v>11548332</v>
      </c>
      <c r="B106" t="s">
        <v>37</v>
      </c>
    </row>
    <row r="107" spans="1:2" x14ac:dyDescent="0.25">
      <c r="A107">
        <v>11997721</v>
      </c>
      <c r="B107" t="s">
        <v>37</v>
      </c>
    </row>
    <row r="108" spans="1:2" x14ac:dyDescent="0.25">
      <c r="A108">
        <v>11899953</v>
      </c>
      <c r="B108" t="s">
        <v>37</v>
      </c>
    </row>
    <row r="109" spans="1:2" x14ac:dyDescent="0.25">
      <c r="A109">
        <v>11888689</v>
      </c>
      <c r="B109" t="s">
        <v>37</v>
      </c>
    </row>
    <row r="110" spans="1:2" x14ac:dyDescent="0.25">
      <c r="A110">
        <v>11890450</v>
      </c>
      <c r="B110" t="s">
        <v>37</v>
      </c>
    </row>
    <row r="111" spans="1:2" x14ac:dyDescent="0.25">
      <c r="A111">
        <v>11863838</v>
      </c>
      <c r="B111" t="s">
        <v>37</v>
      </c>
    </row>
    <row r="112" spans="1:2" x14ac:dyDescent="0.25">
      <c r="A112">
        <v>11468363</v>
      </c>
      <c r="B112" t="s">
        <v>37</v>
      </c>
    </row>
    <row r="113" spans="1:2" x14ac:dyDescent="0.25">
      <c r="A113">
        <v>11684394</v>
      </c>
      <c r="B113" t="s">
        <v>37</v>
      </c>
    </row>
    <row r="114" spans="1:2" x14ac:dyDescent="0.25">
      <c r="A114">
        <v>11684463</v>
      </c>
      <c r="B114" t="s">
        <v>37</v>
      </c>
    </row>
    <row r="115" spans="1:2" x14ac:dyDescent="0.25">
      <c r="A115">
        <v>11699049</v>
      </c>
      <c r="B115" t="s">
        <v>37</v>
      </c>
    </row>
    <row r="116" spans="1:2" x14ac:dyDescent="0.25">
      <c r="A116">
        <v>11698491</v>
      </c>
      <c r="B116" t="s">
        <v>40</v>
      </c>
    </row>
    <row r="117" spans="1:2" x14ac:dyDescent="0.25">
      <c r="A117">
        <v>11351151</v>
      </c>
      <c r="B117" t="s">
        <v>40</v>
      </c>
    </row>
    <row r="118" spans="1:2" x14ac:dyDescent="0.25">
      <c r="A118">
        <v>11889547</v>
      </c>
      <c r="B118" t="s">
        <v>40</v>
      </c>
    </row>
    <row r="119" spans="1:2" x14ac:dyDescent="0.25">
      <c r="A119">
        <v>11376296</v>
      </c>
      <c r="B119" t="s">
        <v>40</v>
      </c>
    </row>
    <row r="120" spans="1:2" x14ac:dyDescent="0.25">
      <c r="A120">
        <v>11405795</v>
      </c>
      <c r="B120" t="s">
        <v>40</v>
      </c>
    </row>
    <row r="121" spans="1:2" x14ac:dyDescent="0.25">
      <c r="A121">
        <v>10729437</v>
      </c>
      <c r="B121" t="s">
        <v>36</v>
      </c>
    </row>
    <row r="122" spans="1:2" x14ac:dyDescent="0.25">
      <c r="A122">
        <v>11890569</v>
      </c>
      <c r="B122" t="s">
        <v>36</v>
      </c>
    </row>
    <row r="123" spans="1:2" x14ac:dyDescent="0.25">
      <c r="A123">
        <v>11930626</v>
      </c>
      <c r="B123" t="s">
        <v>36</v>
      </c>
    </row>
    <row r="124" spans="1:2" x14ac:dyDescent="0.25">
      <c r="A124">
        <v>11803035</v>
      </c>
      <c r="B124" t="s">
        <v>36</v>
      </c>
    </row>
    <row r="125" spans="1:2" x14ac:dyDescent="0.25">
      <c r="A125">
        <v>11773470</v>
      </c>
      <c r="B125" t="s">
        <v>42</v>
      </c>
    </row>
    <row r="126" spans="1:2" x14ac:dyDescent="0.25">
      <c r="A126">
        <v>11611673</v>
      </c>
      <c r="B126" t="s">
        <v>42</v>
      </c>
    </row>
    <row r="127" spans="1:2" x14ac:dyDescent="0.25">
      <c r="A127">
        <v>11997468</v>
      </c>
      <c r="B127" t="s">
        <v>42</v>
      </c>
    </row>
    <row r="128" spans="1:2" x14ac:dyDescent="0.25">
      <c r="A128">
        <v>11997542</v>
      </c>
      <c r="B128" t="s">
        <v>42</v>
      </c>
    </row>
    <row r="129" spans="1:2" x14ac:dyDescent="0.25">
      <c r="A129">
        <v>11899917</v>
      </c>
      <c r="B129" t="s">
        <v>42</v>
      </c>
    </row>
    <row r="130" spans="1:2" x14ac:dyDescent="0.25">
      <c r="A130">
        <v>12011164</v>
      </c>
      <c r="B130" t="s">
        <v>42</v>
      </c>
    </row>
    <row r="131" spans="1:2" x14ac:dyDescent="0.25">
      <c r="A131">
        <v>12011236</v>
      </c>
      <c r="B131" t="s">
        <v>42</v>
      </c>
    </row>
    <row r="132" spans="1:2" x14ac:dyDescent="0.25">
      <c r="A132">
        <v>11890484</v>
      </c>
      <c r="B132" t="s">
        <v>42</v>
      </c>
    </row>
    <row r="133" spans="1:2" x14ac:dyDescent="0.25">
      <c r="A133">
        <v>10715251</v>
      </c>
      <c r="B133" t="s">
        <v>42</v>
      </c>
    </row>
    <row r="134" spans="1:2" x14ac:dyDescent="0.25">
      <c r="A134">
        <v>11588046</v>
      </c>
      <c r="B134" t="s">
        <v>42</v>
      </c>
    </row>
    <row r="135" spans="1:2" x14ac:dyDescent="0.25">
      <c r="A135">
        <v>11587818</v>
      </c>
      <c r="B135" t="s">
        <v>42</v>
      </c>
    </row>
    <row r="136" spans="1:2" x14ac:dyDescent="0.25">
      <c r="A136">
        <v>11587864</v>
      </c>
      <c r="B136" t="s">
        <v>42</v>
      </c>
    </row>
    <row r="137" spans="1:2" x14ac:dyDescent="0.25">
      <c r="A137">
        <v>11587883</v>
      </c>
      <c r="B137" t="s">
        <v>42</v>
      </c>
    </row>
    <row r="138" spans="1:2" x14ac:dyDescent="0.25">
      <c r="A138">
        <v>11588003</v>
      </c>
      <c r="B138" t="s">
        <v>42</v>
      </c>
    </row>
    <row r="139" spans="1:2" x14ac:dyDescent="0.25">
      <c r="A139">
        <v>11588013</v>
      </c>
      <c r="B139" t="s">
        <v>42</v>
      </c>
    </row>
    <row r="140" spans="1:2" x14ac:dyDescent="0.25">
      <c r="A140">
        <v>11364047</v>
      </c>
      <c r="B140" t="s">
        <v>35</v>
      </c>
    </row>
    <row r="141" spans="1:2" x14ac:dyDescent="0.25">
      <c r="A141">
        <v>11611596</v>
      </c>
      <c r="B141" t="s">
        <v>42</v>
      </c>
    </row>
    <row r="142" spans="1:2" x14ac:dyDescent="0.25">
      <c r="A142">
        <v>11311587</v>
      </c>
      <c r="B142" t="s">
        <v>37</v>
      </c>
    </row>
    <row r="143" spans="1:2" x14ac:dyDescent="0.25">
      <c r="A143">
        <v>11359265</v>
      </c>
      <c r="B143" t="s">
        <v>37</v>
      </c>
    </row>
    <row r="144" spans="1:2" x14ac:dyDescent="0.25">
      <c r="A144">
        <v>11269104</v>
      </c>
      <c r="B144" t="s">
        <v>38</v>
      </c>
    </row>
    <row r="145" spans="1:2" x14ac:dyDescent="0.25">
      <c r="A145">
        <v>11343103</v>
      </c>
      <c r="B145" t="s">
        <v>37</v>
      </c>
    </row>
    <row r="146" spans="1:2" x14ac:dyDescent="0.25">
      <c r="A146">
        <v>11212833</v>
      </c>
      <c r="B146" t="s">
        <v>40</v>
      </c>
    </row>
    <row r="147" spans="1:2" x14ac:dyDescent="0.25">
      <c r="A147">
        <v>11259578</v>
      </c>
      <c r="B147" t="s">
        <v>37</v>
      </c>
    </row>
    <row r="148" spans="1:2" x14ac:dyDescent="0.25">
      <c r="A148">
        <v>11329820</v>
      </c>
      <c r="B148" t="s">
        <v>37</v>
      </c>
    </row>
    <row r="149" spans="1:2" x14ac:dyDescent="0.25">
      <c r="A149">
        <v>11405869</v>
      </c>
      <c r="B149" t="s">
        <v>37</v>
      </c>
    </row>
    <row r="150" spans="1:2" x14ac:dyDescent="0.25">
      <c r="A150">
        <v>10691773</v>
      </c>
      <c r="B150" t="s">
        <v>35</v>
      </c>
    </row>
    <row r="151" spans="1:2" x14ac:dyDescent="0.25">
      <c r="A151">
        <v>11405760</v>
      </c>
      <c r="B151" t="s">
        <v>40</v>
      </c>
    </row>
    <row r="152" spans="1:2" x14ac:dyDescent="0.25">
      <c r="A152">
        <v>11348251</v>
      </c>
      <c r="B152" t="s">
        <v>35</v>
      </c>
    </row>
    <row r="153" spans="1:2" x14ac:dyDescent="0.25">
      <c r="A153">
        <v>11371519</v>
      </c>
      <c r="B153" t="s">
        <v>35</v>
      </c>
    </row>
    <row r="154" spans="1:2" x14ac:dyDescent="0.25">
      <c r="A154">
        <v>11311851</v>
      </c>
      <c r="B154" t="s">
        <v>38</v>
      </c>
    </row>
    <row r="155" spans="1:2" x14ac:dyDescent="0.25">
      <c r="A155">
        <v>11346192</v>
      </c>
      <c r="B155" t="s">
        <v>37</v>
      </c>
    </row>
    <row r="156" spans="1:2" x14ac:dyDescent="0.25">
      <c r="A156">
        <v>11368730</v>
      </c>
      <c r="B156" t="s">
        <v>35</v>
      </c>
    </row>
    <row r="157" spans="1:2" x14ac:dyDescent="0.25">
      <c r="A157">
        <v>10782702</v>
      </c>
      <c r="B157" t="s">
        <v>41</v>
      </c>
    </row>
    <row r="158" spans="1:2" x14ac:dyDescent="0.25">
      <c r="A158">
        <v>11394466</v>
      </c>
      <c r="B158" t="s">
        <v>41</v>
      </c>
    </row>
    <row r="159" spans="1:2" x14ac:dyDescent="0.25">
      <c r="A159">
        <v>11400710</v>
      </c>
      <c r="B159" t="s">
        <v>37</v>
      </c>
    </row>
    <row r="160" spans="1:2" x14ac:dyDescent="0.25">
      <c r="A160">
        <v>11104749</v>
      </c>
      <c r="B160" t="s">
        <v>42</v>
      </c>
    </row>
    <row r="161" spans="1:2" x14ac:dyDescent="0.25">
      <c r="A161">
        <v>11356166</v>
      </c>
      <c r="B161" t="s">
        <v>41</v>
      </c>
    </row>
    <row r="162" spans="1:2" x14ac:dyDescent="0.25">
      <c r="A162">
        <v>11374891</v>
      </c>
      <c r="B162" t="s">
        <v>36</v>
      </c>
    </row>
    <row r="163" spans="1:2" x14ac:dyDescent="0.25">
      <c r="A163">
        <v>11328772</v>
      </c>
      <c r="B163" t="s">
        <v>42</v>
      </c>
    </row>
    <row r="164" spans="1:2" x14ac:dyDescent="0.25">
      <c r="A164">
        <v>11305170</v>
      </c>
      <c r="B164" t="s">
        <v>41</v>
      </c>
    </row>
    <row r="165" spans="1:2" x14ac:dyDescent="0.25">
      <c r="A165">
        <v>11220990</v>
      </c>
      <c r="B165" t="s">
        <v>42</v>
      </c>
    </row>
    <row r="166" spans="1:2" x14ac:dyDescent="0.25">
      <c r="A166">
        <v>10586869</v>
      </c>
    </row>
    <row r="167" spans="1:2" x14ac:dyDescent="0.25">
      <c r="A167">
        <v>11348239</v>
      </c>
      <c r="B167" t="s">
        <v>36</v>
      </c>
    </row>
    <row r="168" spans="1:2" x14ac:dyDescent="0.25">
      <c r="A168">
        <v>11367824</v>
      </c>
      <c r="B168" t="s">
        <v>40</v>
      </c>
    </row>
    <row r="169" spans="1:2" x14ac:dyDescent="0.25">
      <c r="A169">
        <v>11238880</v>
      </c>
      <c r="B169" t="s">
        <v>42</v>
      </c>
    </row>
    <row r="170" spans="1:2" x14ac:dyDescent="0.25">
      <c r="A170">
        <v>11310421</v>
      </c>
      <c r="B170" t="s">
        <v>37</v>
      </c>
    </row>
    <row r="171" spans="1:2" x14ac:dyDescent="0.25">
      <c r="A171">
        <v>11280178</v>
      </c>
      <c r="B171" t="s">
        <v>37</v>
      </c>
    </row>
    <row r="172" spans="1:2" x14ac:dyDescent="0.25">
      <c r="A172">
        <v>11234339</v>
      </c>
      <c r="B172" t="s">
        <v>38</v>
      </c>
    </row>
    <row r="173" spans="1:2" x14ac:dyDescent="0.25">
      <c r="A173">
        <v>11370493</v>
      </c>
      <c r="B173" t="s">
        <v>37</v>
      </c>
    </row>
    <row r="174" spans="1:2" x14ac:dyDescent="0.25">
      <c r="A174">
        <v>11390437</v>
      </c>
      <c r="B174" t="s">
        <v>40</v>
      </c>
    </row>
    <row r="175" spans="1:2" x14ac:dyDescent="0.25">
      <c r="A175">
        <v>11375164</v>
      </c>
      <c r="B175" t="s">
        <v>36</v>
      </c>
    </row>
    <row r="176" spans="1:2" x14ac:dyDescent="0.25">
      <c r="A176">
        <v>11409688</v>
      </c>
      <c r="B176" t="s">
        <v>41</v>
      </c>
    </row>
    <row r="177" spans="1:2" x14ac:dyDescent="0.25">
      <c r="A177">
        <v>10857822</v>
      </c>
      <c r="B177" t="s">
        <v>37</v>
      </c>
    </row>
    <row r="178" spans="1:2" x14ac:dyDescent="0.25">
      <c r="A178">
        <v>11835112</v>
      </c>
      <c r="B178" t="s">
        <v>41</v>
      </c>
    </row>
    <row r="179" spans="1:2" x14ac:dyDescent="0.25">
      <c r="A179">
        <v>10803683</v>
      </c>
      <c r="B179" t="s">
        <v>41</v>
      </c>
    </row>
    <row r="180" spans="1:2" x14ac:dyDescent="0.25">
      <c r="A180">
        <v>11886254</v>
      </c>
      <c r="B180" t="s">
        <v>37</v>
      </c>
    </row>
    <row r="181" spans="1:2" x14ac:dyDescent="0.25">
      <c r="A181">
        <v>10746597</v>
      </c>
      <c r="B181" t="s">
        <v>41</v>
      </c>
    </row>
    <row r="182" spans="1:2" x14ac:dyDescent="0.25">
      <c r="A182">
        <v>11003387</v>
      </c>
      <c r="B182" t="s">
        <v>37</v>
      </c>
    </row>
    <row r="183" spans="1:2" x14ac:dyDescent="0.25">
      <c r="A183">
        <v>12021752</v>
      </c>
      <c r="B183" t="s">
        <v>35</v>
      </c>
    </row>
    <row r="184" spans="1:2" x14ac:dyDescent="0.25">
      <c r="A184">
        <v>11014776</v>
      </c>
      <c r="B184" t="s">
        <v>37</v>
      </c>
    </row>
    <row r="185" spans="1:2" x14ac:dyDescent="0.25">
      <c r="A185">
        <v>10825345</v>
      </c>
      <c r="B185" t="s">
        <v>38</v>
      </c>
    </row>
    <row r="186" spans="1:2" x14ac:dyDescent="0.25">
      <c r="A186">
        <v>11512393</v>
      </c>
      <c r="B186" t="s">
        <v>37</v>
      </c>
    </row>
    <row r="187" spans="1:2" x14ac:dyDescent="0.25">
      <c r="A187">
        <v>11322644</v>
      </c>
      <c r="B187" t="s">
        <v>39</v>
      </c>
    </row>
    <row r="188" spans="1:2" x14ac:dyDescent="0.25">
      <c r="A188">
        <v>11490805</v>
      </c>
      <c r="B188" t="s">
        <v>38</v>
      </c>
    </row>
    <row r="189" spans="1:2" x14ac:dyDescent="0.25">
      <c r="A189">
        <v>11557554</v>
      </c>
      <c r="B189" t="s">
        <v>36</v>
      </c>
    </row>
    <row r="190" spans="1:2" x14ac:dyDescent="0.25">
      <c r="A190">
        <v>10691175</v>
      </c>
      <c r="B190" t="s">
        <v>35</v>
      </c>
    </row>
    <row r="191" spans="1:2" x14ac:dyDescent="0.25">
      <c r="A191">
        <v>11486805</v>
      </c>
      <c r="B191" t="s">
        <v>41</v>
      </c>
    </row>
    <row r="192" spans="1:2" x14ac:dyDescent="0.25">
      <c r="A192">
        <v>11939640</v>
      </c>
      <c r="B192" t="s">
        <v>37</v>
      </c>
    </row>
    <row r="193" spans="1:2" x14ac:dyDescent="0.25">
      <c r="A193">
        <v>11538815</v>
      </c>
      <c r="B193" t="s">
        <v>37</v>
      </c>
    </row>
    <row r="194" spans="1:2" x14ac:dyDescent="0.25">
      <c r="A194">
        <v>10813486</v>
      </c>
      <c r="B194" t="s">
        <v>35</v>
      </c>
    </row>
    <row r="195" spans="1:2" x14ac:dyDescent="0.25">
      <c r="A195">
        <v>11381487</v>
      </c>
      <c r="B195" t="s">
        <v>35</v>
      </c>
    </row>
    <row r="196" spans="1:2" x14ac:dyDescent="0.25">
      <c r="A196">
        <v>11561964</v>
      </c>
      <c r="B196" t="s">
        <v>37</v>
      </c>
    </row>
    <row r="197" spans="1:2" x14ac:dyDescent="0.25">
      <c r="A197">
        <v>11559160</v>
      </c>
      <c r="B197" t="s">
        <v>37</v>
      </c>
    </row>
    <row r="198" spans="1:2" x14ac:dyDescent="0.25">
      <c r="A198">
        <v>10710980</v>
      </c>
      <c r="B198" t="s">
        <v>36</v>
      </c>
    </row>
    <row r="199" spans="1:2" x14ac:dyDescent="0.25">
      <c r="A199">
        <v>10721997</v>
      </c>
      <c r="B199" t="s">
        <v>36</v>
      </c>
    </row>
    <row r="200" spans="1:2" x14ac:dyDescent="0.25">
      <c r="A200">
        <v>10678108</v>
      </c>
      <c r="B200" t="s">
        <v>41</v>
      </c>
    </row>
    <row r="201" spans="1:2" x14ac:dyDescent="0.25">
      <c r="A201">
        <v>11761727</v>
      </c>
      <c r="B201" t="s">
        <v>37</v>
      </c>
    </row>
    <row r="202" spans="1:2" x14ac:dyDescent="0.25">
      <c r="A202">
        <v>10970965</v>
      </c>
      <c r="B202" t="s">
        <v>38</v>
      </c>
    </row>
    <row r="203" spans="1:2" x14ac:dyDescent="0.25">
      <c r="A203">
        <v>10991466</v>
      </c>
      <c r="B203" t="s">
        <v>40</v>
      </c>
    </row>
    <row r="204" spans="1:2" x14ac:dyDescent="0.25">
      <c r="A204">
        <v>10791168</v>
      </c>
      <c r="B204" t="s">
        <v>36</v>
      </c>
    </row>
    <row r="205" spans="1:2" x14ac:dyDescent="0.25">
      <c r="A205">
        <v>11900959</v>
      </c>
      <c r="B205" t="s">
        <v>37</v>
      </c>
    </row>
    <row r="206" spans="1:2" x14ac:dyDescent="0.25">
      <c r="A206">
        <v>10811525</v>
      </c>
      <c r="B206" t="s">
        <v>41</v>
      </c>
    </row>
    <row r="207" spans="1:2" x14ac:dyDescent="0.25">
      <c r="A207">
        <v>10750040</v>
      </c>
      <c r="B207" t="s">
        <v>41</v>
      </c>
    </row>
    <row r="208" spans="1:2" x14ac:dyDescent="0.25">
      <c r="A208">
        <v>11735716</v>
      </c>
      <c r="B208" t="s">
        <v>41</v>
      </c>
    </row>
    <row r="209" spans="1:2" x14ac:dyDescent="0.25">
      <c r="A209">
        <v>11906760</v>
      </c>
      <c r="B209" t="s">
        <v>41</v>
      </c>
    </row>
    <row r="210" spans="1:2" x14ac:dyDescent="0.25">
      <c r="A210">
        <v>10817431</v>
      </c>
      <c r="B210" t="s">
        <v>41</v>
      </c>
    </row>
    <row r="211" spans="1:2" x14ac:dyDescent="0.25">
      <c r="A211">
        <v>11666943</v>
      </c>
      <c r="B211" t="s">
        <v>41</v>
      </c>
    </row>
    <row r="212" spans="1:2" x14ac:dyDescent="0.25">
      <c r="A212">
        <v>11718022</v>
      </c>
      <c r="B212" t="s">
        <v>39</v>
      </c>
    </row>
    <row r="213" spans="1:2" x14ac:dyDescent="0.25">
      <c r="A213">
        <v>10717713</v>
      </c>
      <c r="B213" t="s">
        <v>37</v>
      </c>
    </row>
    <row r="214" spans="1:2" x14ac:dyDescent="0.25">
      <c r="A214">
        <v>10728544</v>
      </c>
      <c r="B214" t="s">
        <v>37</v>
      </c>
    </row>
    <row r="215" spans="1:2" x14ac:dyDescent="0.25">
      <c r="A215">
        <v>10749046</v>
      </c>
      <c r="B215" t="s">
        <v>37</v>
      </c>
    </row>
    <row r="216" spans="1:2" x14ac:dyDescent="0.25">
      <c r="A216">
        <v>11480163</v>
      </c>
      <c r="B216" t="s">
        <v>35</v>
      </c>
    </row>
    <row r="217" spans="1:2" x14ac:dyDescent="0.25">
      <c r="A217">
        <v>11375179</v>
      </c>
      <c r="B217" t="s">
        <v>35</v>
      </c>
    </row>
    <row r="218" spans="1:2" x14ac:dyDescent="0.25">
      <c r="A218">
        <v>10898295</v>
      </c>
      <c r="B218" t="s">
        <v>35</v>
      </c>
    </row>
    <row r="219" spans="1:2" x14ac:dyDescent="0.25">
      <c r="A219">
        <v>10604691</v>
      </c>
    </row>
    <row r="220" spans="1:2" x14ac:dyDescent="0.25">
      <c r="A220">
        <v>11077871</v>
      </c>
      <c r="B220" t="s">
        <v>38</v>
      </c>
    </row>
    <row r="221" spans="1:2" x14ac:dyDescent="0.25">
      <c r="A221">
        <v>11882520</v>
      </c>
      <c r="B221" t="s">
        <v>38</v>
      </c>
    </row>
    <row r="222" spans="1:2" x14ac:dyDescent="0.25">
      <c r="A222">
        <v>11447298</v>
      </c>
      <c r="B222" t="s">
        <v>37</v>
      </c>
    </row>
    <row r="223" spans="1:2" x14ac:dyDescent="0.25">
      <c r="A223">
        <v>10929491</v>
      </c>
      <c r="B223" t="s">
        <v>37</v>
      </c>
    </row>
    <row r="224" spans="1:2" x14ac:dyDescent="0.25">
      <c r="A224">
        <v>11234085</v>
      </c>
      <c r="B224" t="s">
        <v>39</v>
      </c>
    </row>
    <row r="225" spans="1:2" x14ac:dyDescent="0.25">
      <c r="A225">
        <v>11806730</v>
      </c>
      <c r="B225" t="s">
        <v>39</v>
      </c>
    </row>
    <row r="226" spans="1:2" x14ac:dyDescent="0.25">
      <c r="A226">
        <v>11848124</v>
      </c>
      <c r="B226" t="s">
        <v>39</v>
      </c>
    </row>
    <row r="227" spans="1:2" x14ac:dyDescent="0.25">
      <c r="A227">
        <v>11935099</v>
      </c>
      <c r="B227" t="s">
        <v>39</v>
      </c>
    </row>
    <row r="228" spans="1:2" x14ac:dyDescent="0.25">
      <c r="A228">
        <v>11987935</v>
      </c>
      <c r="B228" t="s">
        <v>39</v>
      </c>
    </row>
    <row r="229" spans="1:2" x14ac:dyDescent="0.25">
      <c r="A229">
        <v>11073787</v>
      </c>
      <c r="B229" t="s">
        <v>39</v>
      </c>
    </row>
    <row r="230" spans="1:2" x14ac:dyDescent="0.25">
      <c r="A230">
        <v>11283975</v>
      </c>
      <c r="B230" t="s">
        <v>41</v>
      </c>
    </row>
    <row r="231" spans="1:2" x14ac:dyDescent="0.25">
      <c r="A231">
        <v>11990546</v>
      </c>
      <c r="B231" t="s">
        <v>41</v>
      </c>
    </row>
    <row r="232" spans="1:2" x14ac:dyDescent="0.25">
      <c r="A232">
        <v>10701133</v>
      </c>
      <c r="B232" t="s">
        <v>42</v>
      </c>
    </row>
    <row r="233" spans="1:2" x14ac:dyDescent="0.25">
      <c r="A233">
        <v>11559670</v>
      </c>
      <c r="B233" t="s">
        <v>41</v>
      </c>
    </row>
    <row r="234" spans="1:2" x14ac:dyDescent="0.25">
      <c r="A234">
        <v>11344552</v>
      </c>
      <c r="B234" t="s">
        <v>41</v>
      </c>
    </row>
    <row r="235" spans="1:2" x14ac:dyDescent="0.25">
      <c r="A235">
        <v>11420587</v>
      </c>
      <c r="B235" t="s">
        <v>41</v>
      </c>
    </row>
    <row r="236" spans="1:2" x14ac:dyDescent="0.25">
      <c r="A236">
        <v>11769401</v>
      </c>
      <c r="B236" t="s">
        <v>37</v>
      </c>
    </row>
    <row r="237" spans="1:2" x14ac:dyDescent="0.25">
      <c r="A237">
        <v>11959243</v>
      </c>
      <c r="B237" t="s">
        <v>40</v>
      </c>
    </row>
    <row r="238" spans="1:2" x14ac:dyDescent="0.25">
      <c r="A238">
        <v>11865927</v>
      </c>
      <c r="B238" t="s">
        <v>36</v>
      </c>
    </row>
    <row r="239" spans="1:2" x14ac:dyDescent="0.25">
      <c r="A239">
        <v>11033824</v>
      </c>
      <c r="B239" t="s">
        <v>36</v>
      </c>
    </row>
    <row r="240" spans="1:2" x14ac:dyDescent="0.25">
      <c r="A240">
        <v>11568457</v>
      </c>
      <c r="B240" t="s">
        <v>36</v>
      </c>
    </row>
    <row r="241" spans="1:2" x14ac:dyDescent="0.25">
      <c r="A241">
        <v>11745835</v>
      </c>
      <c r="B241" t="s">
        <v>37</v>
      </c>
    </row>
    <row r="242" spans="1:2" x14ac:dyDescent="0.25">
      <c r="A242">
        <v>11368232</v>
      </c>
      <c r="B242" t="s">
        <v>37</v>
      </c>
    </row>
    <row r="243" spans="1:2" x14ac:dyDescent="0.25">
      <c r="A243">
        <v>11741144</v>
      </c>
      <c r="B243" t="s">
        <v>37</v>
      </c>
    </row>
    <row r="244" spans="1:2" x14ac:dyDescent="0.25">
      <c r="A244">
        <v>11558233</v>
      </c>
      <c r="B244" t="s">
        <v>37</v>
      </c>
    </row>
    <row r="245" spans="1:2" x14ac:dyDescent="0.25">
      <c r="A245">
        <v>11826657</v>
      </c>
      <c r="B245" t="s">
        <v>42</v>
      </c>
    </row>
    <row r="246" spans="1:2" x14ac:dyDescent="0.25">
      <c r="A246">
        <v>11873425</v>
      </c>
      <c r="B246" t="s">
        <v>38</v>
      </c>
    </row>
    <row r="247" spans="1:2" x14ac:dyDescent="0.25">
      <c r="A247">
        <v>11598371</v>
      </c>
      <c r="B247" t="s">
        <v>36</v>
      </c>
    </row>
    <row r="248" spans="1:2" x14ac:dyDescent="0.25">
      <c r="A248">
        <v>11884177</v>
      </c>
      <c r="B248" t="s">
        <v>36</v>
      </c>
    </row>
    <row r="249" spans="1:2" x14ac:dyDescent="0.25">
      <c r="A249">
        <v>12001071</v>
      </c>
      <c r="B249" t="s">
        <v>36</v>
      </c>
    </row>
    <row r="250" spans="1:2" x14ac:dyDescent="0.25">
      <c r="A250">
        <v>12007688</v>
      </c>
      <c r="B250" t="s">
        <v>36</v>
      </c>
    </row>
    <row r="251" spans="1:2" x14ac:dyDescent="0.25">
      <c r="A251">
        <v>11583377</v>
      </c>
      <c r="B251" t="s">
        <v>36</v>
      </c>
    </row>
    <row r="252" spans="1:2" x14ac:dyDescent="0.25">
      <c r="A252">
        <v>11928126</v>
      </c>
      <c r="B252" t="s">
        <v>40</v>
      </c>
    </row>
    <row r="253" spans="1:2" x14ac:dyDescent="0.25">
      <c r="A253">
        <v>11407842</v>
      </c>
      <c r="B253" t="s">
        <v>42</v>
      </c>
    </row>
    <row r="254" spans="1:2" x14ac:dyDescent="0.25">
      <c r="A254">
        <v>11745625</v>
      </c>
      <c r="B254" t="s">
        <v>39</v>
      </c>
    </row>
    <row r="255" spans="1:2" x14ac:dyDescent="0.25">
      <c r="A255">
        <v>11969099</v>
      </c>
      <c r="B255" t="s">
        <v>37</v>
      </c>
    </row>
    <row r="256" spans="1:2" x14ac:dyDescent="0.25">
      <c r="A256">
        <v>11557524</v>
      </c>
      <c r="B256" t="s">
        <v>36</v>
      </c>
    </row>
    <row r="257" spans="1:2" x14ac:dyDescent="0.25">
      <c r="A257">
        <v>11725724</v>
      </c>
      <c r="B257" t="s">
        <v>37</v>
      </c>
    </row>
    <row r="258" spans="1:2" x14ac:dyDescent="0.25">
      <c r="A258">
        <v>11761662</v>
      </c>
      <c r="B258" t="s">
        <v>37</v>
      </c>
    </row>
    <row r="259" spans="1:2" x14ac:dyDescent="0.25">
      <c r="A259">
        <v>11564415</v>
      </c>
      <c r="B259" t="s">
        <v>40</v>
      </c>
    </row>
    <row r="260" spans="1:2" x14ac:dyDescent="0.25">
      <c r="A260">
        <v>11920359</v>
      </c>
      <c r="B260" t="s">
        <v>37</v>
      </c>
    </row>
    <row r="261" spans="1:2" x14ac:dyDescent="0.25">
      <c r="A261">
        <v>11391217</v>
      </c>
      <c r="B261" t="s">
        <v>42</v>
      </c>
    </row>
    <row r="262" spans="1:2" x14ac:dyDescent="0.25">
      <c r="A262">
        <v>11428491</v>
      </c>
      <c r="B262" t="s">
        <v>35</v>
      </c>
    </row>
    <row r="263" spans="1:2" x14ac:dyDescent="0.25">
      <c r="A263">
        <v>11009362</v>
      </c>
      <c r="B263" t="s">
        <v>41</v>
      </c>
    </row>
    <row r="264" spans="1:2" x14ac:dyDescent="0.25">
      <c r="A264">
        <v>11920631</v>
      </c>
      <c r="B264" t="s">
        <v>35</v>
      </c>
    </row>
    <row r="265" spans="1:2" x14ac:dyDescent="0.25">
      <c r="A265">
        <v>11975237</v>
      </c>
      <c r="B265" t="s">
        <v>37</v>
      </c>
    </row>
    <row r="266" spans="1:2" x14ac:dyDescent="0.25">
      <c r="A266">
        <v>11093405</v>
      </c>
      <c r="B266" t="s">
        <v>37</v>
      </c>
    </row>
    <row r="267" spans="1:2" x14ac:dyDescent="0.25">
      <c r="A267">
        <v>11281325</v>
      </c>
      <c r="B267" t="s">
        <v>37</v>
      </c>
    </row>
    <row r="268" spans="1:2" x14ac:dyDescent="0.25">
      <c r="A268">
        <v>10598364</v>
      </c>
    </row>
    <row r="269" spans="1:2" x14ac:dyDescent="0.25">
      <c r="A269">
        <v>11464886</v>
      </c>
      <c r="B269" t="s">
        <v>36</v>
      </c>
    </row>
    <row r="270" spans="1:2" x14ac:dyDescent="0.25">
      <c r="A270">
        <v>11303526</v>
      </c>
      <c r="B270" t="s">
        <v>39</v>
      </c>
    </row>
    <row r="271" spans="1:2" x14ac:dyDescent="0.25">
      <c r="A271">
        <v>12012715</v>
      </c>
      <c r="B271" t="s">
        <v>39</v>
      </c>
    </row>
    <row r="272" spans="1:2" x14ac:dyDescent="0.25">
      <c r="A272">
        <v>10872965</v>
      </c>
      <c r="B272" t="s">
        <v>39</v>
      </c>
    </row>
    <row r="273" spans="1:2" x14ac:dyDescent="0.25">
      <c r="A273">
        <v>11111140</v>
      </c>
      <c r="B273" t="s">
        <v>42</v>
      </c>
    </row>
    <row r="274" spans="1:2" x14ac:dyDescent="0.25">
      <c r="A274">
        <v>12024483</v>
      </c>
      <c r="B274" t="s">
        <v>40</v>
      </c>
    </row>
    <row r="275" spans="1:2" x14ac:dyDescent="0.25">
      <c r="A275">
        <v>11078220</v>
      </c>
      <c r="B275" t="s">
        <v>40</v>
      </c>
    </row>
    <row r="276" spans="1:2" x14ac:dyDescent="0.25">
      <c r="A276">
        <v>11890851</v>
      </c>
      <c r="B276" t="s">
        <v>40</v>
      </c>
    </row>
    <row r="277" spans="1:2" x14ac:dyDescent="0.25">
      <c r="A277">
        <v>11067899</v>
      </c>
      <c r="B277" t="s">
        <v>37</v>
      </c>
    </row>
    <row r="278" spans="1:2" x14ac:dyDescent="0.25">
      <c r="A278">
        <v>10911396</v>
      </c>
      <c r="B278" t="s">
        <v>37</v>
      </c>
    </row>
    <row r="279" spans="1:2" x14ac:dyDescent="0.25">
      <c r="A279">
        <v>10915618</v>
      </c>
      <c r="B279" t="s">
        <v>39</v>
      </c>
    </row>
    <row r="280" spans="1:2" x14ac:dyDescent="0.25">
      <c r="A280">
        <v>11382329</v>
      </c>
      <c r="B280" t="s">
        <v>42</v>
      </c>
    </row>
    <row r="281" spans="1:2" x14ac:dyDescent="0.25">
      <c r="A281">
        <v>10607404</v>
      </c>
      <c r="B281" t="s">
        <v>35</v>
      </c>
    </row>
    <row r="282" spans="1:2" x14ac:dyDescent="0.25">
      <c r="A282">
        <v>10911301</v>
      </c>
      <c r="B282" t="s">
        <v>41</v>
      </c>
    </row>
    <row r="283" spans="1:2" x14ac:dyDescent="0.25">
      <c r="A283">
        <v>10683100</v>
      </c>
      <c r="B283" t="s">
        <v>41</v>
      </c>
    </row>
    <row r="284" spans="1:2" x14ac:dyDescent="0.25">
      <c r="A284">
        <v>10573985</v>
      </c>
      <c r="B284" t="s">
        <v>35</v>
      </c>
    </row>
    <row r="285" spans="1:2" x14ac:dyDescent="0.25">
      <c r="A285">
        <v>10595396</v>
      </c>
    </row>
    <row r="286" spans="1:2" x14ac:dyDescent="0.25">
      <c r="A286">
        <v>11754585</v>
      </c>
      <c r="B286" t="s">
        <v>37</v>
      </c>
    </row>
    <row r="287" spans="1:2" x14ac:dyDescent="0.25">
      <c r="A287">
        <v>11752990</v>
      </c>
      <c r="B287" t="s">
        <v>38</v>
      </c>
    </row>
    <row r="288" spans="1:2" x14ac:dyDescent="0.25">
      <c r="A288">
        <v>11483392</v>
      </c>
      <c r="B288" t="s">
        <v>37</v>
      </c>
    </row>
    <row r="289" spans="1:2" x14ac:dyDescent="0.25">
      <c r="A289">
        <v>10838880</v>
      </c>
      <c r="B289" t="s">
        <v>41</v>
      </c>
    </row>
    <row r="290" spans="1:2" x14ac:dyDescent="0.25">
      <c r="A290">
        <v>11564721</v>
      </c>
      <c r="B290" t="s">
        <v>42</v>
      </c>
    </row>
    <row r="291" spans="1:2" x14ac:dyDescent="0.25">
      <c r="A291">
        <v>11247875</v>
      </c>
      <c r="B291" t="s">
        <v>39</v>
      </c>
    </row>
    <row r="292" spans="1:2" x14ac:dyDescent="0.25">
      <c r="A292">
        <v>10967363</v>
      </c>
      <c r="B292" t="s">
        <v>37</v>
      </c>
    </row>
    <row r="293" spans="1:2" x14ac:dyDescent="0.25">
      <c r="A293">
        <v>10967363</v>
      </c>
      <c r="B293" t="s">
        <v>37</v>
      </c>
    </row>
    <row r="294" spans="1:2" x14ac:dyDescent="0.25">
      <c r="A294">
        <v>10824534</v>
      </c>
      <c r="B294" t="s">
        <v>36</v>
      </c>
    </row>
    <row r="295" spans="1:2" x14ac:dyDescent="0.25">
      <c r="A295">
        <v>11733670</v>
      </c>
      <c r="B295" t="s">
        <v>36</v>
      </c>
    </row>
    <row r="296" spans="1:2" x14ac:dyDescent="0.25">
      <c r="A296">
        <v>10724788</v>
      </c>
      <c r="B296" t="s">
        <v>37</v>
      </c>
    </row>
    <row r="297" spans="1:2" x14ac:dyDescent="0.25">
      <c r="A297">
        <v>11560398</v>
      </c>
      <c r="B297" t="s">
        <v>37</v>
      </c>
    </row>
    <row r="298" spans="1:2" x14ac:dyDescent="0.25">
      <c r="A298">
        <v>11407595</v>
      </c>
      <c r="B298" t="s">
        <v>42</v>
      </c>
    </row>
    <row r="299" spans="1:2" x14ac:dyDescent="0.25">
      <c r="A299">
        <v>11902302</v>
      </c>
      <c r="B299" t="s">
        <v>35</v>
      </c>
    </row>
    <row r="300" spans="1:2" x14ac:dyDescent="0.25">
      <c r="A300">
        <v>11401562</v>
      </c>
      <c r="B300" t="s">
        <v>36</v>
      </c>
    </row>
    <row r="301" spans="1:2" x14ac:dyDescent="0.25">
      <c r="A301">
        <v>11115488</v>
      </c>
      <c r="B301" t="s">
        <v>36</v>
      </c>
    </row>
    <row r="302" spans="1:2" x14ac:dyDescent="0.25">
      <c r="A302">
        <v>11263911</v>
      </c>
      <c r="B302" t="s">
        <v>36</v>
      </c>
    </row>
    <row r="303" spans="1:2" x14ac:dyDescent="0.25">
      <c r="A303">
        <v>11901215</v>
      </c>
      <c r="B303" t="s">
        <v>36</v>
      </c>
    </row>
    <row r="304" spans="1:2" x14ac:dyDescent="0.25">
      <c r="A304">
        <v>11422021</v>
      </c>
      <c r="B304" t="s">
        <v>42</v>
      </c>
    </row>
    <row r="305" spans="1:2" x14ac:dyDescent="0.25">
      <c r="A305">
        <v>10749590</v>
      </c>
      <c r="B305" t="s">
        <v>35</v>
      </c>
    </row>
    <row r="306" spans="1:2" x14ac:dyDescent="0.25">
      <c r="A306">
        <v>10795816</v>
      </c>
      <c r="B306" t="s">
        <v>42</v>
      </c>
    </row>
    <row r="307" spans="1:2" x14ac:dyDescent="0.25">
      <c r="A307">
        <v>10893294</v>
      </c>
      <c r="B307" t="s">
        <v>42</v>
      </c>
    </row>
    <row r="308" spans="1:2" x14ac:dyDescent="0.25">
      <c r="A308">
        <v>11567791</v>
      </c>
      <c r="B308" t="s">
        <v>42</v>
      </c>
    </row>
    <row r="309" spans="1:2" x14ac:dyDescent="0.25">
      <c r="A309">
        <v>11406873</v>
      </c>
      <c r="B309" t="s">
        <v>37</v>
      </c>
    </row>
    <row r="310" spans="1:2" x14ac:dyDescent="0.25">
      <c r="A310">
        <v>10884738</v>
      </c>
      <c r="B310" t="s">
        <v>36</v>
      </c>
    </row>
    <row r="311" spans="1:2" x14ac:dyDescent="0.25">
      <c r="A311">
        <v>10912551</v>
      </c>
      <c r="B311" t="s">
        <v>36</v>
      </c>
    </row>
    <row r="312" spans="1:2" x14ac:dyDescent="0.25">
      <c r="A312">
        <v>11738816</v>
      </c>
      <c r="B312" t="s">
        <v>37</v>
      </c>
    </row>
    <row r="313" spans="1:2" x14ac:dyDescent="0.25">
      <c r="A313">
        <v>11266644</v>
      </c>
      <c r="B313" t="s">
        <v>37</v>
      </c>
    </row>
    <row r="314" spans="1:2" x14ac:dyDescent="0.25">
      <c r="A314">
        <v>11678652</v>
      </c>
      <c r="B314" t="s">
        <v>41</v>
      </c>
    </row>
    <row r="315" spans="1:2" x14ac:dyDescent="0.25">
      <c r="A315">
        <v>11847945</v>
      </c>
      <c r="B315" t="s">
        <v>41</v>
      </c>
    </row>
    <row r="316" spans="1:2" x14ac:dyDescent="0.25">
      <c r="A316">
        <v>11811803</v>
      </c>
      <c r="B316" t="s">
        <v>41</v>
      </c>
    </row>
    <row r="317" spans="1:2" x14ac:dyDescent="0.25">
      <c r="A317">
        <v>11790136</v>
      </c>
      <c r="B317" t="s">
        <v>41</v>
      </c>
    </row>
    <row r="318" spans="1:2" x14ac:dyDescent="0.25">
      <c r="A318">
        <v>11613619</v>
      </c>
      <c r="B318" t="s">
        <v>41</v>
      </c>
    </row>
    <row r="319" spans="1:2" x14ac:dyDescent="0.25">
      <c r="A319">
        <v>10782343</v>
      </c>
      <c r="B319" t="s">
        <v>41</v>
      </c>
    </row>
    <row r="320" spans="1:2" x14ac:dyDescent="0.25">
      <c r="A320">
        <v>11832932</v>
      </c>
      <c r="B320" t="s">
        <v>41</v>
      </c>
    </row>
    <row r="321" spans="1:2" x14ac:dyDescent="0.25">
      <c r="A321">
        <v>10881687</v>
      </c>
      <c r="B321" t="s">
        <v>41</v>
      </c>
    </row>
    <row r="322" spans="1:2" x14ac:dyDescent="0.25">
      <c r="A322">
        <v>11072481</v>
      </c>
      <c r="B322" t="s">
        <v>39</v>
      </c>
    </row>
    <row r="323" spans="1:2" x14ac:dyDescent="0.25">
      <c r="A323">
        <v>11555809</v>
      </c>
      <c r="B323" t="s">
        <v>39</v>
      </c>
    </row>
    <row r="324" spans="1:2" x14ac:dyDescent="0.25">
      <c r="A324">
        <v>10875489</v>
      </c>
      <c r="B324" t="s">
        <v>39</v>
      </c>
    </row>
    <row r="325" spans="1:2" x14ac:dyDescent="0.25">
      <c r="A325">
        <v>11610396</v>
      </c>
      <c r="B325" t="s">
        <v>39</v>
      </c>
    </row>
    <row r="326" spans="1:2" x14ac:dyDescent="0.25">
      <c r="A326">
        <v>10926403</v>
      </c>
      <c r="B326" t="s">
        <v>39</v>
      </c>
    </row>
    <row r="327" spans="1:2" x14ac:dyDescent="0.25">
      <c r="A327">
        <v>11294899</v>
      </c>
      <c r="B327" t="s">
        <v>39</v>
      </c>
    </row>
    <row r="328" spans="1:2" x14ac:dyDescent="0.25">
      <c r="A328">
        <v>11031338</v>
      </c>
      <c r="B328" t="s">
        <v>39</v>
      </c>
    </row>
    <row r="329" spans="1:2" x14ac:dyDescent="0.25">
      <c r="A329">
        <v>11755391</v>
      </c>
      <c r="B329" t="s">
        <v>39</v>
      </c>
    </row>
    <row r="330" spans="1:2" x14ac:dyDescent="0.25">
      <c r="A330">
        <v>11271376</v>
      </c>
      <c r="B330" t="s">
        <v>37</v>
      </c>
    </row>
    <row r="331" spans="1:2" x14ac:dyDescent="0.25">
      <c r="A331">
        <v>10869062</v>
      </c>
      <c r="B331" t="s">
        <v>39</v>
      </c>
    </row>
    <row r="332" spans="1:2" x14ac:dyDescent="0.25">
      <c r="A332">
        <v>11679182</v>
      </c>
      <c r="B332" t="s">
        <v>37</v>
      </c>
    </row>
    <row r="333" spans="1:2" x14ac:dyDescent="0.25">
      <c r="A333">
        <v>11661528</v>
      </c>
      <c r="B333" t="s">
        <v>37</v>
      </c>
    </row>
    <row r="334" spans="1:2" x14ac:dyDescent="0.25">
      <c r="A334">
        <v>11171593</v>
      </c>
      <c r="B334" t="s">
        <v>37</v>
      </c>
    </row>
    <row r="335" spans="1:2" x14ac:dyDescent="0.25">
      <c r="A335">
        <v>10665780</v>
      </c>
      <c r="B335" t="s">
        <v>37</v>
      </c>
    </row>
    <row r="336" spans="1:2" x14ac:dyDescent="0.25">
      <c r="A336">
        <v>11129279</v>
      </c>
      <c r="B336" t="s">
        <v>37</v>
      </c>
    </row>
    <row r="337" spans="1:2" x14ac:dyDescent="0.25">
      <c r="A337">
        <v>11129279</v>
      </c>
      <c r="B337" t="s">
        <v>37</v>
      </c>
    </row>
    <row r="338" spans="1:2" x14ac:dyDescent="0.25">
      <c r="A338">
        <v>11893994</v>
      </c>
      <c r="B338" t="s">
        <v>38</v>
      </c>
    </row>
    <row r="339" spans="1:2" x14ac:dyDescent="0.25">
      <c r="A339">
        <v>11372318</v>
      </c>
      <c r="B339" t="s">
        <v>38</v>
      </c>
    </row>
    <row r="340" spans="1:2" x14ac:dyDescent="0.25">
      <c r="A340">
        <v>11659772</v>
      </c>
      <c r="B340" t="s">
        <v>38</v>
      </c>
    </row>
    <row r="341" spans="1:2" x14ac:dyDescent="0.25">
      <c r="A341">
        <v>10887561</v>
      </c>
      <c r="B341" t="s">
        <v>38</v>
      </c>
    </row>
    <row r="342" spans="1:2" x14ac:dyDescent="0.25">
      <c r="A342">
        <v>10754956</v>
      </c>
      <c r="B342" t="s">
        <v>38</v>
      </c>
    </row>
    <row r="343" spans="1:2" x14ac:dyDescent="0.25">
      <c r="A343">
        <v>10863129</v>
      </c>
      <c r="B343" t="s">
        <v>36</v>
      </c>
    </row>
    <row r="344" spans="1:2" x14ac:dyDescent="0.25">
      <c r="A344">
        <v>10572026</v>
      </c>
    </row>
    <row r="345" spans="1:2" x14ac:dyDescent="0.25">
      <c r="A345">
        <v>10620735</v>
      </c>
    </row>
    <row r="346" spans="1:2" x14ac:dyDescent="0.25">
      <c r="A346">
        <v>10598070</v>
      </c>
      <c r="B346" t="s">
        <v>35</v>
      </c>
    </row>
    <row r="347" spans="1:2" x14ac:dyDescent="0.25">
      <c r="A347">
        <v>12020098</v>
      </c>
      <c r="B347" t="s">
        <v>35</v>
      </c>
    </row>
    <row r="348" spans="1:2" x14ac:dyDescent="0.25">
      <c r="A348">
        <v>10695016</v>
      </c>
      <c r="B348" t="s">
        <v>35</v>
      </c>
    </row>
    <row r="349" spans="1:2" x14ac:dyDescent="0.25">
      <c r="A349">
        <v>10793315</v>
      </c>
      <c r="B349" t="s">
        <v>35</v>
      </c>
    </row>
    <row r="350" spans="1:2" x14ac:dyDescent="0.25">
      <c r="A350">
        <v>11906727</v>
      </c>
      <c r="B350" t="s">
        <v>35</v>
      </c>
    </row>
    <row r="351" spans="1:2" x14ac:dyDescent="0.25">
      <c r="A351">
        <v>11741364</v>
      </c>
      <c r="B351" t="s">
        <v>35</v>
      </c>
    </row>
    <row r="352" spans="1:2" x14ac:dyDescent="0.25">
      <c r="A352">
        <v>11817612</v>
      </c>
      <c r="B352" t="s">
        <v>35</v>
      </c>
    </row>
    <row r="353" spans="1:2" x14ac:dyDescent="0.25">
      <c r="A353">
        <v>11817238</v>
      </c>
      <c r="B353" t="s">
        <v>35</v>
      </c>
    </row>
    <row r="354" spans="1:2" x14ac:dyDescent="0.25">
      <c r="A354">
        <v>11817265</v>
      </c>
      <c r="B354" t="s">
        <v>35</v>
      </c>
    </row>
    <row r="355" spans="1:2" x14ac:dyDescent="0.25">
      <c r="A355">
        <v>11757043</v>
      </c>
      <c r="B355" t="s">
        <v>35</v>
      </c>
    </row>
    <row r="356" spans="1:2" x14ac:dyDescent="0.25">
      <c r="A356">
        <v>11684341</v>
      </c>
      <c r="B356" t="s">
        <v>35</v>
      </c>
    </row>
    <row r="357" spans="1:2" x14ac:dyDescent="0.25">
      <c r="A357">
        <v>11997607</v>
      </c>
      <c r="B357" t="s">
        <v>38</v>
      </c>
    </row>
    <row r="358" spans="1:2" x14ac:dyDescent="0.25">
      <c r="A358">
        <v>11773554</v>
      </c>
      <c r="B358" t="s">
        <v>39</v>
      </c>
    </row>
    <row r="359" spans="1:2" x14ac:dyDescent="0.25">
      <c r="A359">
        <v>11774286</v>
      </c>
      <c r="B359" t="s">
        <v>39</v>
      </c>
    </row>
    <row r="360" spans="1:2" x14ac:dyDescent="0.25">
      <c r="A360">
        <v>11741116</v>
      </c>
      <c r="B360" t="s">
        <v>39</v>
      </c>
    </row>
    <row r="361" spans="1:2" x14ac:dyDescent="0.25">
      <c r="A361">
        <v>11741396</v>
      </c>
      <c r="B361" t="s">
        <v>39</v>
      </c>
    </row>
    <row r="362" spans="1:2" x14ac:dyDescent="0.25">
      <c r="A362">
        <v>11741433</v>
      </c>
      <c r="B362" t="s">
        <v>39</v>
      </c>
    </row>
    <row r="363" spans="1:2" x14ac:dyDescent="0.25">
      <c r="A363">
        <v>11740914</v>
      </c>
      <c r="B363" t="s">
        <v>39</v>
      </c>
    </row>
    <row r="364" spans="1:2" x14ac:dyDescent="0.25">
      <c r="A364">
        <v>11740967</v>
      </c>
      <c r="B364" t="s">
        <v>39</v>
      </c>
    </row>
    <row r="365" spans="1:2" x14ac:dyDescent="0.25">
      <c r="A365">
        <v>11740982</v>
      </c>
      <c r="B365" t="s">
        <v>39</v>
      </c>
    </row>
    <row r="366" spans="1:2" x14ac:dyDescent="0.25">
      <c r="A366">
        <v>11600344</v>
      </c>
      <c r="B366" t="s">
        <v>39</v>
      </c>
    </row>
    <row r="367" spans="1:2" x14ac:dyDescent="0.25">
      <c r="A367">
        <v>12013373</v>
      </c>
      <c r="B367" t="s">
        <v>39</v>
      </c>
    </row>
    <row r="368" spans="1:2" x14ac:dyDescent="0.25">
      <c r="A368">
        <v>11889570</v>
      </c>
      <c r="B368" t="s">
        <v>39</v>
      </c>
    </row>
    <row r="369" spans="1:2" x14ac:dyDescent="0.25">
      <c r="A369">
        <v>11832504</v>
      </c>
      <c r="B369" t="s">
        <v>39</v>
      </c>
    </row>
    <row r="370" spans="1:2" x14ac:dyDescent="0.25">
      <c r="A370">
        <v>11817312</v>
      </c>
      <c r="B370" t="s">
        <v>39</v>
      </c>
    </row>
    <row r="371" spans="1:2" x14ac:dyDescent="0.25">
      <c r="A371">
        <v>11817562</v>
      </c>
      <c r="B371" t="s">
        <v>39</v>
      </c>
    </row>
    <row r="372" spans="1:2" x14ac:dyDescent="0.25">
      <c r="A372">
        <v>11817754</v>
      </c>
      <c r="B372" t="s">
        <v>39</v>
      </c>
    </row>
    <row r="373" spans="1:2" x14ac:dyDescent="0.25">
      <c r="A373">
        <v>11817815</v>
      </c>
      <c r="B373" t="s">
        <v>39</v>
      </c>
    </row>
    <row r="374" spans="1:2" x14ac:dyDescent="0.25">
      <c r="A374">
        <v>11831953</v>
      </c>
      <c r="B374" t="s">
        <v>39</v>
      </c>
    </row>
    <row r="375" spans="1:2" x14ac:dyDescent="0.25">
      <c r="A375">
        <v>11070133</v>
      </c>
      <c r="B375" t="s">
        <v>39</v>
      </c>
    </row>
    <row r="376" spans="1:2" x14ac:dyDescent="0.25">
      <c r="A376">
        <v>11068445</v>
      </c>
      <c r="B376" t="s">
        <v>42</v>
      </c>
    </row>
    <row r="377" spans="1:2" x14ac:dyDescent="0.25">
      <c r="A377">
        <v>11068460</v>
      </c>
      <c r="B377" t="s">
        <v>42</v>
      </c>
    </row>
    <row r="378" spans="1:2" x14ac:dyDescent="0.25">
      <c r="A378">
        <v>11067285</v>
      </c>
      <c r="B378" t="s">
        <v>42</v>
      </c>
    </row>
    <row r="379" spans="1:2" x14ac:dyDescent="0.25">
      <c r="A379">
        <v>11997653</v>
      </c>
      <c r="B379" t="s">
        <v>37</v>
      </c>
    </row>
    <row r="380" spans="1:2" x14ac:dyDescent="0.25">
      <c r="A380">
        <v>11832424</v>
      </c>
      <c r="B380" t="s">
        <v>37</v>
      </c>
    </row>
    <row r="381" spans="1:2" x14ac:dyDescent="0.25">
      <c r="A381">
        <v>12013087</v>
      </c>
      <c r="B381" t="s">
        <v>40</v>
      </c>
    </row>
    <row r="382" spans="1:2" x14ac:dyDescent="0.25">
      <c r="A382">
        <v>12013225</v>
      </c>
      <c r="B382" t="s">
        <v>40</v>
      </c>
    </row>
    <row r="383" spans="1:2" x14ac:dyDescent="0.25">
      <c r="A383">
        <v>11817176</v>
      </c>
      <c r="B383" t="s">
        <v>37</v>
      </c>
    </row>
    <row r="384" spans="1:2" x14ac:dyDescent="0.25">
      <c r="A384">
        <v>11817209</v>
      </c>
      <c r="B384" t="s">
        <v>37</v>
      </c>
    </row>
    <row r="385" spans="1:2" x14ac:dyDescent="0.25">
      <c r="A385">
        <v>12013244</v>
      </c>
      <c r="B385" t="s">
        <v>37</v>
      </c>
    </row>
    <row r="386" spans="1:2" x14ac:dyDescent="0.25">
      <c r="A386">
        <v>11890649</v>
      </c>
      <c r="B386" t="s">
        <v>37</v>
      </c>
    </row>
    <row r="387" spans="1:2" x14ac:dyDescent="0.25">
      <c r="A387">
        <v>11997578</v>
      </c>
      <c r="B387" t="s">
        <v>37</v>
      </c>
    </row>
    <row r="388" spans="1:2" x14ac:dyDescent="0.25">
      <c r="A388">
        <v>11899637</v>
      </c>
      <c r="B388" t="s">
        <v>37</v>
      </c>
    </row>
    <row r="389" spans="1:2" x14ac:dyDescent="0.25">
      <c r="A389">
        <v>12011806</v>
      </c>
      <c r="B389" t="s">
        <v>37</v>
      </c>
    </row>
    <row r="390" spans="1:2" x14ac:dyDescent="0.25">
      <c r="A390">
        <v>12012359</v>
      </c>
      <c r="B390" t="s">
        <v>37</v>
      </c>
    </row>
    <row r="391" spans="1:2" x14ac:dyDescent="0.25">
      <c r="A391">
        <v>11067204</v>
      </c>
      <c r="B391" t="s">
        <v>42</v>
      </c>
    </row>
    <row r="392" spans="1:2" x14ac:dyDescent="0.25">
      <c r="A392">
        <v>12013259</v>
      </c>
      <c r="B392" t="s">
        <v>42</v>
      </c>
    </row>
    <row r="393" spans="1:2" x14ac:dyDescent="0.25">
      <c r="A393">
        <v>12013280</v>
      </c>
      <c r="B393" t="s">
        <v>42</v>
      </c>
    </row>
    <row r="394" spans="1:2" x14ac:dyDescent="0.25">
      <c r="A394">
        <v>11757420</v>
      </c>
      <c r="B394" t="s">
        <v>42</v>
      </c>
    </row>
    <row r="395" spans="1:2" x14ac:dyDescent="0.25">
      <c r="A395">
        <v>11831938</v>
      </c>
      <c r="B395" t="s">
        <v>36</v>
      </c>
    </row>
    <row r="396" spans="1:2" x14ac:dyDescent="0.25">
      <c r="A396">
        <v>11773509</v>
      </c>
      <c r="B396" t="s">
        <v>42</v>
      </c>
    </row>
    <row r="397" spans="1:2" x14ac:dyDescent="0.25">
      <c r="A397">
        <v>12011842</v>
      </c>
      <c r="B397" t="s">
        <v>42</v>
      </c>
    </row>
    <row r="398" spans="1:2" x14ac:dyDescent="0.25">
      <c r="A398">
        <v>11817106</v>
      </c>
      <c r="B398" t="s">
        <v>37</v>
      </c>
    </row>
    <row r="399" spans="1:2" x14ac:dyDescent="0.25">
      <c r="A399">
        <v>11817284</v>
      </c>
      <c r="B399" t="s">
        <v>37</v>
      </c>
    </row>
    <row r="400" spans="1:2" x14ac:dyDescent="0.25">
      <c r="A400">
        <v>11817507</v>
      </c>
      <c r="B400" t="s">
        <v>37</v>
      </c>
    </row>
    <row r="401" spans="1:2" x14ac:dyDescent="0.25">
      <c r="A401">
        <v>11817540</v>
      </c>
      <c r="B401" t="s">
        <v>37</v>
      </c>
    </row>
    <row r="402" spans="1:2" x14ac:dyDescent="0.25">
      <c r="A402">
        <v>11817728</v>
      </c>
      <c r="B402" t="s">
        <v>37</v>
      </c>
    </row>
    <row r="403" spans="1:2" x14ac:dyDescent="0.25">
      <c r="A403">
        <v>11817779</v>
      </c>
      <c r="B403" t="s">
        <v>37</v>
      </c>
    </row>
    <row r="404" spans="1:2" x14ac:dyDescent="0.25">
      <c r="A404">
        <v>11817943</v>
      </c>
      <c r="B404" t="s">
        <v>37</v>
      </c>
    </row>
    <row r="405" spans="1:2" x14ac:dyDescent="0.25">
      <c r="A405">
        <v>11817970</v>
      </c>
      <c r="B405" t="s">
        <v>37</v>
      </c>
    </row>
    <row r="406" spans="1:2" x14ac:dyDescent="0.25">
      <c r="A406">
        <v>11817857</v>
      </c>
      <c r="B406" t="s">
        <v>35</v>
      </c>
    </row>
    <row r="407" spans="1:2" x14ac:dyDescent="0.25">
      <c r="A407">
        <v>10630317</v>
      </c>
      <c r="B407" t="s">
        <v>35</v>
      </c>
    </row>
    <row r="408" spans="1:2" x14ac:dyDescent="0.25">
      <c r="A408">
        <v>11096675</v>
      </c>
      <c r="B408" t="s">
        <v>42</v>
      </c>
    </row>
    <row r="409" spans="1:2" x14ac:dyDescent="0.25">
      <c r="A409">
        <v>10697418</v>
      </c>
      <c r="B409" t="s">
        <v>37</v>
      </c>
    </row>
    <row r="410" spans="1:2" x14ac:dyDescent="0.25">
      <c r="A410">
        <v>11507173</v>
      </c>
      <c r="B410" t="s">
        <v>39</v>
      </c>
    </row>
    <row r="411" spans="1:2" x14ac:dyDescent="0.25">
      <c r="A411">
        <v>11508459</v>
      </c>
      <c r="B411" t="s">
        <v>39</v>
      </c>
    </row>
    <row r="412" spans="1:2" x14ac:dyDescent="0.25">
      <c r="A412">
        <v>10583824</v>
      </c>
      <c r="B412" t="s">
        <v>36</v>
      </c>
    </row>
    <row r="413" spans="1:2" x14ac:dyDescent="0.25">
      <c r="A413">
        <v>10873644</v>
      </c>
      <c r="B413" t="s">
        <v>42</v>
      </c>
    </row>
    <row r="414" spans="1:2" x14ac:dyDescent="0.25">
      <c r="A414">
        <v>11544104</v>
      </c>
      <c r="B414" t="s">
        <v>35</v>
      </c>
    </row>
    <row r="415" spans="1:2" x14ac:dyDescent="0.25">
      <c r="A415">
        <v>10596858</v>
      </c>
      <c r="B415" t="s">
        <v>35</v>
      </c>
    </row>
    <row r="416" spans="1:2" x14ac:dyDescent="0.25">
      <c r="A416">
        <v>11843144</v>
      </c>
      <c r="B416" t="s">
        <v>35</v>
      </c>
    </row>
    <row r="417" spans="1:2" x14ac:dyDescent="0.25">
      <c r="A417">
        <v>11906028</v>
      </c>
      <c r="B417" t="s">
        <v>35</v>
      </c>
    </row>
    <row r="418" spans="1:2" x14ac:dyDescent="0.25">
      <c r="A418">
        <v>10973405</v>
      </c>
      <c r="B418" t="s">
        <v>37</v>
      </c>
    </row>
    <row r="419" spans="1:2" x14ac:dyDescent="0.25">
      <c r="A419">
        <v>11381359</v>
      </c>
      <c r="B419" t="s">
        <v>37</v>
      </c>
    </row>
    <row r="420" spans="1:2" x14ac:dyDescent="0.25">
      <c r="A420">
        <v>11089424</v>
      </c>
      <c r="B420" t="s">
        <v>37</v>
      </c>
    </row>
    <row r="421" spans="1:2" x14ac:dyDescent="0.25">
      <c r="A421">
        <v>11378172</v>
      </c>
      <c r="B421" t="s">
        <v>37</v>
      </c>
    </row>
    <row r="422" spans="1:2" x14ac:dyDescent="0.25">
      <c r="A422">
        <v>10566317</v>
      </c>
    </row>
    <row r="423" spans="1:2" x14ac:dyDescent="0.25">
      <c r="A423">
        <v>11238517</v>
      </c>
      <c r="B423" t="s">
        <v>40</v>
      </c>
    </row>
    <row r="424" spans="1:2" x14ac:dyDescent="0.25">
      <c r="A424">
        <v>10639628</v>
      </c>
      <c r="B424" t="s">
        <v>36</v>
      </c>
    </row>
    <row r="425" spans="1:2" x14ac:dyDescent="0.25">
      <c r="A425">
        <v>11278708</v>
      </c>
      <c r="B425" t="s">
        <v>42</v>
      </c>
    </row>
    <row r="426" spans="1:2" x14ac:dyDescent="0.25">
      <c r="A426">
        <v>10831945</v>
      </c>
      <c r="B426" t="s">
        <v>41</v>
      </c>
    </row>
    <row r="427" spans="1:2" x14ac:dyDescent="0.25">
      <c r="A427">
        <v>10982578</v>
      </c>
      <c r="B427" t="s">
        <v>41</v>
      </c>
    </row>
    <row r="428" spans="1:2" x14ac:dyDescent="0.25">
      <c r="A428">
        <v>12024523</v>
      </c>
      <c r="B428" t="s">
        <v>41</v>
      </c>
    </row>
    <row r="429" spans="1:2" x14ac:dyDescent="0.25">
      <c r="A429">
        <v>10955140</v>
      </c>
      <c r="B429" t="s">
        <v>36</v>
      </c>
    </row>
    <row r="430" spans="1:2" x14ac:dyDescent="0.25">
      <c r="A430">
        <v>11693180</v>
      </c>
      <c r="B430" t="s">
        <v>36</v>
      </c>
    </row>
    <row r="431" spans="1:2" x14ac:dyDescent="0.25">
      <c r="A431">
        <v>10700751</v>
      </c>
      <c r="B431" t="s">
        <v>36</v>
      </c>
    </row>
    <row r="432" spans="1:2" x14ac:dyDescent="0.25">
      <c r="A432">
        <v>10741561</v>
      </c>
      <c r="B432" t="s">
        <v>40</v>
      </c>
    </row>
    <row r="433" spans="1:2" x14ac:dyDescent="0.25">
      <c r="A433">
        <v>11063476</v>
      </c>
      <c r="B433" t="s">
        <v>40</v>
      </c>
    </row>
    <row r="434" spans="1:2" x14ac:dyDescent="0.25">
      <c r="A434">
        <v>11577253</v>
      </c>
      <c r="B434" t="s">
        <v>36</v>
      </c>
    </row>
    <row r="435" spans="1:2" x14ac:dyDescent="0.25">
      <c r="A435">
        <v>11603854</v>
      </c>
      <c r="B435" t="s">
        <v>36</v>
      </c>
    </row>
    <row r="436" spans="1:2" x14ac:dyDescent="0.25">
      <c r="A436">
        <v>10749012</v>
      </c>
      <c r="B436" t="s">
        <v>38</v>
      </c>
    </row>
    <row r="437" spans="1:2" x14ac:dyDescent="0.25">
      <c r="A437">
        <v>11559327</v>
      </c>
      <c r="B437" t="s">
        <v>40</v>
      </c>
    </row>
    <row r="438" spans="1:2" x14ac:dyDescent="0.25">
      <c r="A438">
        <v>11361839</v>
      </c>
      <c r="B438" t="s">
        <v>40</v>
      </c>
    </row>
    <row r="439" spans="1:2" x14ac:dyDescent="0.25">
      <c r="A439">
        <v>10681703</v>
      </c>
      <c r="B439" t="s">
        <v>40</v>
      </c>
    </row>
    <row r="440" spans="1:2" x14ac:dyDescent="0.25">
      <c r="A440">
        <v>11552018</v>
      </c>
      <c r="B440" t="s">
        <v>38</v>
      </c>
    </row>
    <row r="441" spans="1:2" x14ac:dyDescent="0.25">
      <c r="A441">
        <v>11557819</v>
      </c>
      <c r="B441" t="s">
        <v>37</v>
      </c>
    </row>
    <row r="442" spans="1:2" x14ac:dyDescent="0.25">
      <c r="A442">
        <v>11456879</v>
      </c>
      <c r="B442" t="s">
        <v>37</v>
      </c>
    </row>
    <row r="443" spans="1:2" x14ac:dyDescent="0.25">
      <c r="A443">
        <v>11354531</v>
      </c>
      <c r="B443" t="s">
        <v>38</v>
      </c>
    </row>
    <row r="444" spans="1:2" x14ac:dyDescent="0.25">
      <c r="A444">
        <v>11451537</v>
      </c>
      <c r="B444" t="s">
        <v>38</v>
      </c>
    </row>
    <row r="445" spans="1:2" x14ac:dyDescent="0.25">
      <c r="A445">
        <v>11604211</v>
      </c>
      <c r="B445" t="s">
        <v>38</v>
      </c>
    </row>
    <row r="446" spans="1:2" x14ac:dyDescent="0.25">
      <c r="A446">
        <v>11358865</v>
      </c>
      <c r="B446" t="s">
        <v>38</v>
      </c>
    </row>
    <row r="447" spans="1:2" x14ac:dyDescent="0.25">
      <c r="A447">
        <v>11629274</v>
      </c>
      <c r="B447" t="s">
        <v>36</v>
      </c>
    </row>
    <row r="448" spans="1:2" x14ac:dyDescent="0.25">
      <c r="A448">
        <v>10626886</v>
      </c>
    </row>
    <row r="449" spans="1:2" x14ac:dyDescent="0.25">
      <c r="A449">
        <v>11573016</v>
      </c>
      <c r="B449" t="s">
        <v>38</v>
      </c>
    </row>
    <row r="450" spans="1:2" x14ac:dyDescent="0.25">
      <c r="A450">
        <v>11705265</v>
      </c>
      <c r="B450" t="s">
        <v>41</v>
      </c>
    </row>
    <row r="451" spans="1:2" x14ac:dyDescent="0.25">
      <c r="A451">
        <v>10700341</v>
      </c>
      <c r="B451" t="s">
        <v>36</v>
      </c>
    </row>
    <row r="452" spans="1:2" x14ac:dyDescent="0.25">
      <c r="A452">
        <v>11899897</v>
      </c>
      <c r="B452" t="s">
        <v>40</v>
      </c>
    </row>
    <row r="453" spans="1:2" x14ac:dyDescent="0.25">
      <c r="A453">
        <v>10691985</v>
      </c>
      <c r="B453" t="s">
        <v>37</v>
      </c>
    </row>
    <row r="454" spans="1:2" x14ac:dyDescent="0.25">
      <c r="A454">
        <v>11543442</v>
      </c>
      <c r="B454" t="s">
        <v>37</v>
      </c>
    </row>
    <row r="455" spans="1:2" x14ac:dyDescent="0.25">
      <c r="A455">
        <v>11497559</v>
      </c>
      <c r="B455" t="s">
        <v>39</v>
      </c>
    </row>
    <row r="456" spans="1:2" x14ac:dyDescent="0.25">
      <c r="A456">
        <v>11393874</v>
      </c>
      <c r="B456" t="s">
        <v>39</v>
      </c>
    </row>
    <row r="457" spans="1:2" x14ac:dyDescent="0.25">
      <c r="A457">
        <v>10808173</v>
      </c>
      <c r="B457" t="s">
        <v>39</v>
      </c>
    </row>
    <row r="458" spans="1:2" x14ac:dyDescent="0.25">
      <c r="A458">
        <v>10918335</v>
      </c>
      <c r="B458" t="s">
        <v>42</v>
      </c>
    </row>
    <row r="459" spans="1:2" x14ac:dyDescent="0.25">
      <c r="A459">
        <v>11558932</v>
      </c>
      <c r="B459" t="s">
        <v>38</v>
      </c>
    </row>
    <row r="460" spans="1:2" x14ac:dyDescent="0.25">
      <c r="A460">
        <v>11634655</v>
      </c>
      <c r="B460" t="s">
        <v>37</v>
      </c>
    </row>
    <row r="461" spans="1:2" x14ac:dyDescent="0.25">
      <c r="A461">
        <v>11606409</v>
      </c>
      <c r="B461" t="s">
        <v>37</v>
      </c>
    </row>
    <row r="462" spans="1:2" x14ac:dyDescent="0.25">
      <c r="A462">
        <v>10800533</v>
      </c>
      <c r="B462" t="s">
        <v>37</v>
      </c>
    </row>
    <row r="463" spans="1:2" x14ac:dyDescent="0.25">
      <c r="A463">
        <v>11419977</v>
      </c>
      <c r="B463" t="s">
        <v>37</v>
      </c>
    </row>
    <row r="464" spans="1:2" x14ac:dyDescent="0.25">
      <c r="A464">
        <v>11686300</v>
      </c>
      <c r="B464" t="s">
        <v>37</v>
      </c>
    </row>
    <row r="465" spans="1:2" x14ac:dyDescent="0.25">
      <c r="A465">
        <v>11720665</v>
      </c>
      <c r="B465" t="s">
        <v>38</v>
      </c>
    </row>
    <row r="466" spans="1:2" x14ac:dyDescent="0.25">
      <c r="A466">
        <v>11016916</v>
      </c>
      <c r="B466" t="s">
        <v>38</v>
      </c>
    </row>
    <row r="467" spans="1:2" x14ac:dyDescent="0.25">
      <c r="A467">
        <v>10750150</v>
      </c>
      <c r="B467" t="s">
        <v>37</v>
      </c>
    </row>
    <row r="468" spans="1:2" x14ac:dyDescent="0.25">
      <c r="A468">
        <v>10884778</v>
      </c>
      <c r="B468" t="s">
        <v>39</v>
      </c>
    </row>
    <row r="469" spans="1:2" x14ac:dyDescent="0.25">
      <c r="A469">
        <v>10939883</v>
      </c>
      <c r="B469" t="s">
        <v>38</v>
      </c>
    </row>
    <row r="470" spans="1:2" x14ac:dyDescent="0.25">
      <c r="A470">
        <v>11424189</v>
      </c>
      <c r="B470" t="s">
        <v>40</v>
      </c>
    </row>
    <row r="471" spans="1:2" x14ac:dyDescent="0.25">
      <c r="A471">
        <v>10699973</v>
      </c>
      <c r="B471" t="s">
        <v>37</v>
      </c>
    </row>
    <row r="472" spans="1:2" x14ac:dyDescent="0.25">
      <c r="A472">
        <v>10782637</v>
      </c>
      <c r="B472" t="s">
        <v>35</v>
      </c>
    </row>
    <row r="473" spans="1:2" x14ac:dyDescent="0.25">
      <c r="A473">
        <v>10623536</v>
      </c>
      <c r="B473" t="s">
        <v>42</v>
      </c>
    </row>
    <row r="474" spans="1:2" x14ac:dyDescent="0.25">
      <c r="A474">
        <v>11580101</v>
      </c>
      <c r="B474" t="s">
        <v>35</v>
      </c>
    </row>
    <row r="475" spans="1:2" x14ac:dyDescent="0.25">
      <c r="A475">
        <v>11205931</v>
      </c>
      <c r="B475" t="s">
        <v>37</v>
      </c>
    </row>
    <row r="476" spans="1:2" x14ac:dyDescent="0.25">
      <c r="A476">
        <v>11379021</v>
      </c>
      <c r="B476" t="s">
        <v>35</v>
      </c>
    </row>
    <row r="477" spans="1:2" x14ac:dyDescent="0.25">
      <c r="A477">
        <v>11229198</v>
      </c>
      <c r="B477" t="s">
        <v>35</v>
      </c>
    </row>
    <row r="478" spans="1:2" x14ac:dyDescent="0.25">
      <c r="A478">
        <v>11792213</v>
      </c>
      <c r="B478" t="s">
        <v>42</v>
      </c>
    </row>
    <row r="479" spans="1:2" x14ac:dyDescent="0.25">
      <c r="A479">
        <v>11405987</v>
      </c>
      <c r="B479" t="s">
        <v>37</v>
      </c>
    </row>
    <row r="480" spans="1:2" x14ac:dyDescent="0.25">
      <c r="A480">
        <v>10714472</v>
      </c>
      <c r="B480" t="s">
        <v>38</v>
      </c>
    </row>
    <row r="481" spans="1:2" x14ac:dyDescent="0.25">
      <c r="A481">
        <v>10921075</v>
      </c>
      <c r="B481" t="s">
        <v>38</v>
      </c>
    </row>
    <row r="482" spans="1:2" x14ac:dyDescent="0.25">
      <c r="A482">
        <v>10596750</v>
      </c>
    </row>
    <row r="483" spans="1:2" x14ac:dyDescent="0.25">
      <c r="A483">
        <v>10932494</v>
      </c>
      <c r="B483" t="s">
        <v>42</v>
      </c>
    </row>
    <row r="484" spans="1:2" x14ac:dyDescent="0.25">
      <c r="A484">
        <v>11611681</v>
      </c>
      <c r="B484" t="s">
        <v>35</v>
      </c>
    </row>
    <row r="485" spans="1:2" x14ac:dyDescent="0.25">
      <c r="A485">
        <v>11131503</v>
      </c>
      <c r="B485" t="s">
        <v>36</v>
      </c>
    </row>
    <row r="486" spans="1:2" x14ac:dyDescent="0.25">
      <c r="A486">
        <v>10923434</v>
      </c>
      <c r="B486" t="s">
        <v>41</v>
      </c>
    </row>
    <row r="487" spans="1:2" x14ac:dyDescent="0.25">
      <c r="A487">
        <v>12025086</v>
      </c>
      <c r="B487" t="s">
        <v>41</v>
      </c>
    </row>
    <row r="488" spans="1:2" x14ac:dyDescent="0.25">
      <c r="A488">
        <v>10800572</v>
      </c>
      <c r="B488" t="s">
        <v>35</v>
      </c>
    </row>
    <row r="489" spans="1:2" x14ac:dyDescent="0.25">
      <c r="A489">
        <v>11067209</v>
      </c>
      <c r="B489" t="s">
        <v>39</v>
      </c>
    </row>
    <row r="490" spans="1:2" x14ac:dyDescent="0.25">
      <c r="A490">
        <v>10848984</v>
      </c>
      <c r="B490" t="s">
        <v>41</v>
      </c>
    </row>
    <row r="491" spans="1:2" x14ac:dyDescent="0.25">
      <c r="A491">
        <v>10893550</v>
      </c>
      <c r="B491" t="s">
        <v>41</v>
      </c>
    </row>
    <row r="492" spans="1:2" x14ac:dyDescent="0.25">
      <c r="A492">
        <v>10824528</v>
      </c>
      <c r="B492" t="s">
        <v>37</v>
      </c>
    </row>
    <row r="493" spans="1:2" x14ac:dyDescent="0.25">
      <c r="A493">
        <v>11593009</v>
      </c>
      <c r="B493" t="s">
        <v>40</v>
      </c>
    </row>
    <row r="494" spans="1:2" x14ac:dyDescent="0.25">
      <c r="A494">
        <v>10623079</v>
      </c>
      <c r="B494" t="s">
        <v>35</v>
      </c>
    </row>
    <row r="495" spans="1:2" x14ac:dyDescent="0.25">
      <c r="A495">
        <v>10595345</v>
      </c>
      <c r="B495" t="s">
        <v>41</v>
      </c>
    </row>
    <row r="496" spans="1:2" x14ac:dyDescent="0.25">
      <c r="A496">
        <v>11847311</v>
      </c>
      <c r="B496" t="s">
        <v>39</v>
      </c>
    </row>
    <row r="497" spans="1:2" x14ac:dyDescent="0.25">
      <c r="A497">
        <v>10583012</v>
      </c>
    </row>
    <row r="498" spans="1:2" x14ac:dyDescent="0.25">
      <c r="A498">
        <v>11402457</v>
      </c>
      <c r="B498" t="s">
        <v>42</v>
      </c>
    </row>
    <row r="499" spans="1:2" x14ac:dyDescent="0.25">
      <c r="A499">
        <v>11561180</v>
      </c>
      <c r="B499" t="s">
        <v>36</v>
      </c>
    </row>
    <row r="500" spans="1:2" x14ac:dyDescent="0.25">
      <c r="A500">
        <v>10827980</v>
      </c>
      <c r="B500" t="s">
        <v>35</v>
      </c>
    </row>
    <row r="501" spans="1:2" x14ac:dyDescent="0.25">
      <c r="A501">
        <v>11348270</v>
      </c>
      <c r="B501" t="s">
        <v>37</v>
      </c>
    </row>
    <row r="502" spans="1:2" x14ac:dyDescent="0.25">
      <c r="A502">
        <v>10940809</v>
      </c>
      <c r="B502" t="s">
        <v>38</v>
      </c>
    </row>
    <row r="503" spans="1:2" x14ac:dyDescent="0.25">
      <c r="A503">
        <v>11193291</v>
      </c>
      <c r="B503" t="s">
        <v>42</v>
      </c>
    </row>
    <row r="504" spans="1:2" x14ac:dyDescent="0.25">
      <c r="A504">
        <v>11668093</v>
      </c>
      <c r="B504" t="s">
        <v>42</v>
      </c>
    </row>
    <row r="505" spans="1:2" x14ac:dyDescent="0.25">
      <c r="A505">
        <v>10658821</v>
      </c>
      <c r="B505" t="s">
        <v>41</v>
      </c>
    </row>
    <row r="506" spans="1:2" x14ac:dyDescent="0.25">
      <c r="A506">
        <v>11434027</v>
      </c>
      <c r="B506" t="s">
        <v>42</v>
      </c>
    </row>
    <row r="507" spans="1:2" x14ac:dyDescent="0.25">
      <c r="A507">
        <v>10795841</v>
      </c>
      <c r="B507" t="s">
        <v>39</v>
      </c>
    </row>
    <row r="508" spans="1:2" x14ac:dyDescent="0.25">
      <c r="A508">
        <v>11831921</v>
      </c>
      <c r="B508" t="s">
        <v>42</v>
      </c>
    </row>
    <row r="509" spans="1:2" x14ac:dyDescent="0.25">
      <c r="A509">
        <v>11425056</v>
      </c>
      <c r="B509" t="s">
        <v>37</v>
      </c>
    </row>
    <row r="510" spans="1:2" x14ac:dyDescent="0.25">
      <c r="A510">
        <v>11416829</v>
      </c>
      <c r="B510" t="s">
        <v>40</v>
      </c>
    </row>
    <row r="511" spans="1:2" x14ac:dyDescent="0.25">
      <c r="A511">
        <v>10730410</v>
      </c>
      <c r="B511" t="s">
        <v>42</v>
      </c>
    </row>
    <row r="512" spans="1:2" x14ac:dyDescent="0.25">
      <c r="A512">
        <v>11252877</v>
      </c>
      <c r="B512" t="s">
        <v>40</v>
      </c>
    </row>
    <row r="513" spans="1:2" x14ac:dyDescent="0.25">
      <c r="A513">
        <v>11879790</v>
      </c>
      <c r="B513" t="s">
        <v>36</v>
      </c>
    </row>
    <row r="514" spans="1:2" x14ac:dyDescent="0.25">
      <c r="A514">
        <v>11702139</v>
      </c>
      <c r="B514" t="s">
        <v>37</v>
      </c>
    </row>
    <row r="515" spans="1:2" x14ac:dyDescent="0.25">
      <c r="A515">
        <v>11271339</v>
      </c>
      <c r="B515" t="s">
        <v>37</v>
      </c>
    </row>
    <row r="516" spans="1:2" x14ac:dyDescent="0.25">
      <c r="A516">
        <v>10861677</v>
      </c>
      <c r="B516" t="s">
        <v>37</v>
      </c>
    </row>
    <row r="517" spans="1:2" x14ac:dyDescent="0.25">
      <c r="A517">
        <v>11027461</v>
      </c>
      <c r="B517" t="s">
        <v>41</v>
      </c>
    </row>
    <row r="518" spans="1:2" x14ac:dyDescent="0.25">
      <c r="A518">
        <v>11197293</v>
      </c>
      <c r="B518" t="s">
        <v>41</v>
      </c>
    </row>
    <row r="519" spans="1:2" x14ac:dyDescent="0.25">
      <c r="A519">
        <v>11723155</v>
      </c>
      <c r="B519" t="s">
        <v>39</v>
      </c>
    </row>
    <row r="520" spans="1:2" x14ac:dyDescent="0.25">
      <c r="A520">
        <v>11406903</v>
      </c>
      <c r="B520" t="s">
        <v>40</v>
      </c>
    </row>
    <row r="521" spans="1:2" x14ac:dyDescent="0.25">
      <c r="A521">
        <v>10829028</v>
      </c>
      <c r="B521" t="s">
        <v>37</v>
      </c>
    </row>
    <row r="522" spans="1:2" x14ac:dyDescent="0.25">
      <c r="A522">
        <v>11606762</v>
      </c>
      <c r="B522" t="s">
        <v>37</v>
      </c>
    </row>
    <row r="523" spans="1:2" x14ac:dyDescent="0.25">
      <c r="A523">
        <v>11068661</v>
      </c>
      <c r="B523" t="s">
        <v>42</v>
      </c>
    </row>
    <row r="524" spans="1:2" x14ac:dyDescent="0.25">
      <c r="A524">
        <v>11433631</v>
      </c>
      <c r="B524" t="s">
        <v>39</v>
      </c>
    </row>
    <row r="525" spans="1:2" x14ac:dyDescent="0.25">
      <c r="A525">
        <v>10596002</v>
      </c>
    </row>
    <row r="526" spans="1:2" x14ac:dyDescent="0.25">
      <c r="A526">
        <v>10876950</v>
      </c>
      <c r="B526" t="s">
        <v>38</v>
      </c>
    </row>
    <row r="527" spans="1:2" x14ac:dyDescent="0.25">
      <c r="A527">
        <v>10882580</v>
      </c>
      <c r="B527" t="s">
        <v>37</v>
      </c>
    </row>
    <row r="528" spans="1:2" x14ac:dyDescent="0.25">
      <c r="A528">
        <v>10938307</v>
      </c>
      <c r="B528" t="s">
        <v>36</v>
      </c>
    </row>
    <row r="529" spans="1:2" x14ac:dyDescent="0.25">
      <c r="A529">
        <v>11559384</v>
      </c>
      <c r="B529" t="s">
        <v>36</v>
      </c>
    </row>
    <row r="530" spans="1:2" x14ac:dyDescent="0.25">
      <c r="A530">
        <v>11539094</v>
      </c>
      <c r="B530" t="s">
        <v>37</v>
      </c>
    </row>
    <row r="531" spans="1:2" x14ac:dyDescent="0.25">
      <c r="A531">
        <v>11505536</v>
      </c>
      <c r="B531" t="s">
        <v>40</v>
      </c>
    </row>
    <row r="532" spans="1:2" x14ac:dyDescent="0.25">
      <c r="A532">
        <v>10770176</v>
      </c>
      <c r="B532" t="s">
        <v>35</v>
      </c>
    </row>
    <row r="533" spans="1:2" x14ac:dyDescent="0.25">
      <c r="A533">
        <v>11385847</v>
      </c>
      <c r="B533" t="s">
        <v>35</v>
      </c>
    </row>
    <row r="534" spans="1:2" x14ac:dyDescent="0.25">
      <c r="A534">
        <v>11553893</v>
      </c>
      <c r="B534" t="s">
        <v>42</v>
      </c>
    </row>
    <row r="535" spans="1:2" x14ac:dyDescent="0.25">
      <c r="A535">
        <v>11905344</v>
      </c>
      <c r="B535" t="s">
        <v>37</v>
      </c>
    </row>
    <row r="536" spans="1:2" x14ac:dyDescent="0.25">
      <c r="A536">
        <v>11570421</v>
      </c>
      <c r="B536" t="s">
        <v>36</v>
      </c>
    </row>
    <row r="537" spans="1:2" x14ac:dyDescent="0.25">
      <c r="A537">
        <v>11007572</v>
      </c>
      <c r="B537" t="s">
        <v>37</v>
      </c>
    </row>
    <row r="538" spans="1:2" x14ac:dyDescent="0.25">
      <c r="A538">
        <v>10857291</v>
      </c>
      <c r="B538" t="s">
        <v>42</v>
      </c>
    </row>
    <row r="539" spans="1:2" x14ac:dyDescent="0.25">
      <c r="A539">
        <v>11600361</v>
      </c>
      <c r="B539" t="s">
        <v>41</v>
      </c>
    </row>
    <row r="540" spans="1:2" x14ac:dyDescent="0.25">
      <c r="A540">
        <v>10588433</v>
      </c>
      <c r="B540" t="s">
        <v>35</v>
      </c>
    </row>
    <row r="541" spans="1:2" x14ac:dyDescent="0.25">
      <c r="A541">
        <v>10609110</v>
      </c>
      <c r="B541" t="s">
        <v>35</v>
      </c>
    </row>
    <row r="542" spans="1:2" x14ac:dyDescent="0.25">
      <c r="A542">
        <v>11457922</v>
      </c>
      <c r="B542" t="s">
        <v>40</v>
      </c>
    </row>
    <row r="543" spans="1:2" x14ac:dyDescent="0.25">
      <c r="A543">
        <v>11405888</v>
      </c>
      <c r="B543" t="s">
        <v>41</v>
      </c>
    </row>
    <row r="544" spans="1:2" x14ac:dyDescent="0.25">
      <c r="A544">
        <v>11600276</v>
      </c>
      <c r="B544" t="s">
        <v>38</v>
      </c>
    </row>
    <row r="545" spans="1:2" x14ac:dyDescent="0.25">
      <c r="A545">
        <v>10704692</v>
      </c>
      <c r="B545" t="s">
        <v>40</v>
      </c>
    </row>
    <row r="546" spans="1:2" x14ac:dyDescent="0.25">
      <c r="A546">
        <v>10638715</v>
      </c>
      <c r="B546" t="s">
        <v>39</v>
      </c>
    </row>
    <row r="547" spans="1:2" x14ac:dyDescent="0.25">
      <c r="A547">
        <v>10793286</v>
      </c>
      <c r="B547" t="s">
        <v>37</v>
      </c>
    </row>
    <row r="548" spans="1:2" x14ac:dyDescent="0.25">
      <c r="A548">
        <v>10758645</v>
      </c>
      <c r="B548" t="s">
        <v>36</v>
      </c>
    </row>
    <row r="549" spans="1:2" x14ac:dyDescent="0.25">
      <c r="A549">
        <v>10852088</v>
      </c>
      <c r="B549" t="s">
        <v>40</v>
      </c>
    </row>
    <row r="550" spans="1:2" x14ac:dyDescent="0.25">
      <c r="A550">
        <v>10639119</v>
      </c>
      <c r="B550" t="s">
        <v>36</v>
      </c>
    </row>
    <row r="551" spans="1:2" x14ac:dyDescent="0.25">
      <c r="A551">
        <v>11929300</v>
      </c>
      <c r="B551" t="s">
        <v>37</v>
      </c>
    </row>
    <row r="552" spans="1:2" x14ac:dyDescent="0.25">
      <c r="A552">
        <v>11710981</v>
      </c>
      <c r="B552" t="s">
        <v>39</v>
      </c>
    </row>
    <row r="553" spans="1:2" x14ac:dyDescent="0.25">
      <c r="A553">
        <v>10598370</v>
      </c>
      <c r="B553" t="s">
        <v>36</v>
      </c>
    </row>
    <row r="554" spans="1:2" x14ac:dyDescent="0.25">
      <c r="A554">
        <v>10676625</v>
      </c>
      <c r="B554" t="s">
        <v>40</v>
      </c>
    </row>
    <row r="555" spans="1:2" x14ac:dyDescent="0.25">
      <c r="A555">
        <v>11921737</v>
      </c>
      <c r="B555" t="s">
        <v>37</v>
      </c>
    </row>
    <row r="556" spans="1:2" x14ac:dyDescent="0.25">
      <c r="A556">
        <v>10724498</v>
      </c>
      <c r="B556" t="s">
        <v>41</v>
      </c>
    </row>
    <row r="557" spans="1:2" x14ac:dyDescent="0.25">
      <c r="A557">
        <v>11635289</v>
      </c>
      <c r="B557" t="s">
        <v>35</v>
      </c>
    </row>
    <row r="558" spans="1:2" x14ac:dyDescent="0.25">
      <c r="A558">
        <v>10747347</v>
      </c>
      <c r="B558" t="s">
        <v>37</v>
      </c>
    </row>
    <row r="559" spans="1:2" x14ac:dyDescent="0.25">
      <c r="A559">
        <v>11999381</v>
      </c>
      <c r="B559" t="s">
        <v>40</v>
      </c>
    </row>
    <row r="560" spans="1:2" x14ac:dyDescent="0.25">
      <c r="A560">
        <v>11012233</v>
      </c>
      <c r="B560" t="s">
        <v>36</v>
      </c>
    </row>
    <row r="561" spans="1:2" x14ac:dyDescent="0.25">
      <c r="A561">
        <v>11373937</v>
      </c>
      <c r="B561" t="s">
        <v>39</v>
      </c>
    </row>
    <row r="562" spans="1:2" x14ac:dyDescent="0.25">
      <c r="A562">
        <v>11464860</v>
      </c>
      <c r="B562" t="s">
        <v>37</v>
      </c>
    </row>
    <row r="563" spans="1:2" x14ac:dyDescent="0.25">
      <c r="A563">
        <v>11496214</v>
      </c>
      <c r="B563" t="s">
        <v>39</v>
      </c>
    </row>
    <row r="564" spans="1:2" x14ac:dyDescent="0.25">
      <c r="A564">
        <v>11434554</v>
      </c>
      <c r="B564" t="s">
        <v>35</v>
      </c>
    </row>
    <row r="565" spans="1:2" x14ac:dyDescent="0.25">
      <c r="A565">
        <v>10843920</v>
      </c>
      <c r="B565" t="s">
        <v>35</v>
      </c>
    </row>
    <row r="566" spans="1:2" x14ac:dyDescent="0.25">
      <c r="A566">
        <v>10949862</v>
      </c>
      <c r="B566" t="s">
        <v>35</v>
      </c>
    </row>
    <row r="567" spans="1:2" x14ac:dyDescent="0.25">
      <c r="A567">
        <v>10822228</v>
      </c>
      <c r="B567" t="s">
        <v>39</v>
      </c>
    </row>
    <row r="568" spans="1:2" x14ac:dyDescent="0.25">
      <c r="A568">
        <v>11271605</v>
      </c>
      <c r="B568" t="s">
        <v>41</v>
      </c>
    </row>
    <row r="569" spans="1:2" x14ac:dyDescent="0.25">
      <c r="A569">
        <v>11600830</v>
      </c>
      <c r="B569" t="s">
        <v>41</v>
      </c>
    </row>
    <row r="570" spans="1:2" x14ac:dyDescent="0.25">
      <c r="A570">
        <v>11739087</v>
      </c>
      <c r="B570" t="s">
        <v>37</v>
      </c>
    </row>
    <row r="571" spans="1:2" x14ac:dyDescent="0.25">
      <c r="A571">
        <v>12007587</v>
      </c>
      <c r="B571" t="s">
        <v>37</v>
      </c>
    </row>
    <row r="572" spans="1:2" x14ac:dyDescent="0.25">
      <c r="A572">
        <v>11847721</v>
      </c>
      <c r="B572" t="s">
        <v>37</v>
      </c>
    </row>
    <row r="573" spans="1:2" x14ac:dyDescent="0.25">
      <c r="A573">
        <v>11607864</v>
      </c>
      <c r="B573" t="s">
        <v>40</v>
      </c>
    </row>
    <row r="574" spans="1:2" x14ac:dyDescent="0.25">
      <c r="A574">
        <v>11959280</v>
      </c>
      <c r="B574" t="s">
        <v>41</v>
      </c>
    </row>
    <row r="575" spans="1:2" x14ac:dyDescent="0.25">
      <c r="A575">
        <v>11407630</v>
      </c>
      <c r="B575" t="s">
        <v>40</v>
      </c>
    </row>
    <row r="576" spans="1:2" x14ac:dyDescent="0.25">
      <c r="A576">
        <v>11358751</v>
      </c>
      <c r="B576" t="s">
        <v>38</v>
      </c>
    </row>
    <row r="577" spans="1:2" x14ac:dyDescent="0.25">
      <c r="A577">
        <v>11500961</v>
      </c>
      <c r="B577" t="s">
        <v>37</v>
      </c>
    </row>
    <row r="578" spans="1:2" x14ac:dyDescent="0.25">
      <c r="A578">
        <v>10919837</v>
      </c>
      <c r="B578" t="s">
        <v>37</v>
      </c>
    </row>
    <row r="579" spans="1:2" x14ac:dyDescent="0.25">
      <c r="A579">
        <v>12012615</v>
      </c>
      <c r="B579" t="s">
        <v>41</v>
      </c>
    </row>
    <row r="580" spans="1:2" x14ac:dyDescent="0.25">
      <c r="A580">
        <v>11038970</v>
      </c>
      <c r="B580" t="s">
        <v>35</v>
      </c>
    </row>
    <row r="581" spans="1:2" x14ac:dyDescent="0.25">
      <c r="A581">
        <v>10623857</v>
      </c>
      <c r="B581" t="s">
        <v>35</v>
      </c>
    </row>
    <row r="582" spans="1:2" x14ac:dyDescent="0.25">
      <c r="A582">
        <v>11591999</v>
      </c>
      <c r="B582" t="s">
        <v>35</v>
      </c>
    </row>
    <row r="583" spans="1:2" x14ac:dyDescent="0.25">
      <c r="A583">
        <v>11835273</v>
      </c>
      <c r="B583" t="s">
        <v>37</v>
      </c>
    </row>
    <row r="584" spans="1:2" x14ac:dyDescent="0.25">
      <c r="A584">
        <v>10948125</v>
      </c>
      <c r="B584" t="s">
        <v>38</v>
      </c>
    </row>
    <row r="585" spans="1:2" x14ac:dyDescent="0.25">
      <c r="A585">
        <v>11751347</v>
      </c>
      <c r="B585" t="s">
        <v>38</v>
      </c>
    </row>
    <row r="586" spans="1:2" x14ac:dyDescent="0.25">
      <c r="A586">
        <v>11642856</v>
      </c>
      <c r="B586" t="s">
        <v>42</v>
      </c>
    </row>
    <row r="587" spans="1:2" x14ac:dyDescent="0.25">
      <c r="A587">
        <v>11289716</v>
      </c>
      <c r="B587" t="s">
        <v>39</v>
      </c>
    </row>
    <row r="588" spans="1:2" x14ac:dyDescent="0.25">
      <c r="A588">
        <v>11679220</v>
      </c>
      <c r="B588" t="s">
        <v>41</v>
      </c>
    </row>
    <row r="589" spans="1:2" x14ac:dyDescent="0.25">
      <c r="A589">
        <v>11661499</v>
      </c>
      <c r="B589" t="s">
        <v>40</v>
      </c>
    </row>
    <row r="590" spans="1:2" x14ac:dyDescent="0.25">
      <c r="A590">
        <v>11632169</v>
      </c>
      <c r="B590" t="s">
        <v>42</v>
      </c>
    </row>
    <row r="591" spans="1:2" x14ac:dyDescent="0.25">
      <c r="A591">
        <v>10918693</v>
      </c>
      <c r="B591" t="s">
        <v>40</v>
      </c>
    </row>
    <row r="592" spans="1:2" x14ac:dyDescent="0.25">
      <c r="A592">
        <v>11543130</v>
      </c>
      <c r="B592" t="s">
        <v>36</v>
      </c>
    </row>
    <row r="593" spans="1:2" x14ac:dyDescent="0.25">
      <c r="A593">
        <v>11557905</v>
      </c>
      <c r="B593" t="s">
        <v>36</v>
      </c>
    </row>
    <row r="594" spans="1:2" x14ac:dyDescent="0.25">
      <c r="A594">
        <v>10947732</v>
      </c>
      <c r="B594" t="s">
        <v>37</v>
      </c>
    </row>
    <row r="595" spans="1:2" x14ac:dyDescent="0.25">
      <c r="A595">
        <v>10911709</v>
      </c>
      <c r="B595" t="s">
        <v>37</v>
      </c>
    </row>
    <row r="596" spans="1:2" x14ac:dyDescent="0.25">
      <c r="A596">
        <v>10920068</v>
      </c>
      <c r="B596" t="s">
        <v>40</v>
      </c>
    </row>
    <row r="597" spans="1:2" x14ac:dyDescent="0.25">
      <c r="A597">
        <v>11010194</v>
      </c>
      <c r="B597" t="s">
        <v>36</v>
      </c>
    </row>
    <row r="598" spans="1:2" x14ac:dyDescent="0.25">
      <c r="A598">
        <v>11599311</v>
      </c>
      <c r="B598" t="s">
        <v>41</v>
      </c>
    </row>
    <row r="599" spans="1:2" x14ac:dyDescent="0.25">
      <c r="A599">
        <v>10954335</v>
      </c>
      <c r="B599" t="s">
        <v>37</v>
      </c>
    </row>
    <row r="600" spans="1:2" x14ac:dyDescent="0.25">
      <c r="A600">
        <v>11871153</v>
      </c>
      <c r="B600" t="s">
        <v>36</v>
      </c>
    </row>
    <row r="601" spans="1:2" x14ac:dyDescent="0.25">
      <c r="A601">
        <v>11492454</v>
      </c>
      <c r="B601" t="s">
        <v>37</v>
      </c>
    </row>
    <row r="602" spans="1:2" x14ac:dyDescent="0.25">
      <c r="A602">
        <v>10746239</v>
      </c>
      <c r="B602" t="s">
        <v>37</v>
      </c>
    </row>
    <row r="603" spans="1:2" x14ac:dyDescent="0.25">
      <c r="A603">
        <v>10926762</v>
      </c>
      <c r="B603" t="s">
        <v>41</v>
      </c>
    </row>
    <row r="604" spans="1:2" x14ac:dyDescent="0.25">
      <c r="A604">
        <v>11894363</v>
      </c>
      <c r="B604" t="s">
        <v>38</v>
      </c>
    </row>
    <row r="605" spans="1:2" x14ac:dyDescent="0.25">
      <c r="A605">
        <v>10936804</v>
      </c>
      <c r="B605" t="s">
        <v>41</v>
      </c>
    </row>
    <row r="606" spans="1:2" x14ac:dyDescent="0.25">
      <c r="A606">
        <v>11555571</v>
      </c>
      <c r="B606" t="s">
        <v>35</v>
      </c>
    </row>
    <row r="607" spans="1:2" x14ac:dyDescent="0.25">
      <c r="A607">
        <v>11335242</v>
      </c>
      <c r="B607" t="s">
        <v>37</v>
      </c>
    </row>
    <row r="608" spans="1:2" x14ac:dyDescent="0.25">
      <c r="A608">
        <v>11453940</v>
      </c>
      <c r="B608" t="s">
        <v>39</v>
      </c>
    </row>
    <row r="609" spans="1:2" x14ac:dyDescent="0.25">
      <c r="A609">
        <v>11640596</v>
      </c>
      <c r="B609" t="s">
        <v>42</v>
      </c>
    </row>
    <row r="610" spans="1:2" x14ac:dyDescent="0.25">
      <c r="A610">
        <v>10607463</v>
      </c>
      <c r="B610" t="s">
        <v>38</v>
      </c>
    </row>
    <row r="611" spans="1:2" x14ac:dyDescent="0.25">
      <c r="A611">
        <v>10828526</v>
      </c>
      <c r="B611" t="s">
        <v>39</v>
      </c>
    </row>
    <row r="612" spans="1:2" x14ac:dyDescent="0.25">
      <c r="A612">
        <v>11009193</v>
      </c>
      <c r="B612" t="s">
        <v>41</v>
      </c>
    </row>
    <row r="613" spans="1:2" x14ac:dyDescent="0.25">
      <c r="A613">
        <v>11006523</v>
      </c>
      <c r="B613" t="s">
        <v>41</v>
      </c>
    </row>
    <row r="614" spans="1:2" x14ac:dyDescent="0.25">
      <c r="A614">
        <v>10906597</v>
      </c>
      <c r="B614" t="s">
        <v>42</v>
      </c>
    </row>
    <row r="615" spans="1:2" x14ac:dyDescent="0.25">
      <c r="A615">
        <v>11847124</v>
      </c>
      <c r="B615" t="s">
        <v>37</v>
      </c>
    </row>
    <row r="616" spans="1:2" x14ac:dyDescent="0.25">
      <c r="A616">
        <v>10700405</v>
      </c>
      <c r="B616" t="s">
        <v>36</v>
      </c>
    </row>
    <row r="617" spans="1:2" x14ac:dyDescent="0.25">
      <c r="A617">
        <v>10851617</v>
      </c>
      <c r="B617" t="s">
        <v>37</v>
      </c>
    </row>
    <row r="618" spans="1:2" x14ac:dyDescent="0.25">
      <c r="A618">
        <v>11740157</v>
      </c>
      <c r="B618" t="s">
        <v>36</v>
      </c>
    </row>
    <row r="619" spans="1:2" x14ac:dyDescent="0.25">
      <c r="A619">
        <v>10921822</v>
      </c>
      <c r="B619" t="s">
        <v>37</v>
      </c>
    </row>
    <row r="620" spans="1:2" x14ac:dyDescent="0.25">
      <c r="A620">
        <v>10721256</v>
      </c>
      <c r="B620" t="s">
        <v>37</v>
      </c>
    </row>
    <row r="621" spans="1:2" x14ac:dyDescent="0.25">
      <c r="A621">
        <v>11728881</v>
      </c>
      <c r="B621" t="s">
        <v>37</v>
      </c>
    </row>
    <row r="622" spans="1:2" x14ac:dyDescent="0.25">
      <c r="A622">
        <v>11766700</v>
      </c>
      <c r="B622" t="s">
        <v>37</v>
      </c>
    </row>
    <row r="623" spans="1:2" x14ac:dyDescent="0.25">
      <c r="A623">
        <v>12006715</v>
      </c>
      <c r="B623" t="s">
        <v>36</v>
      </c>
    </row>
    <row r="624" spans="1:2" x14ac:dyDescent="0.25">
      <c r="A624">
        <v>11277382</v>
      </c>
      <c r="B624" t="s">
        <v>36</v>
      </c>
    </row>
    <row r="625" spans="1:2" x14ac:dyDescent="0.25">
      <c r="A625">
        <v>11797023</v>
      </c>
      <c r="B625" t="s">
        <v>36</v>
      </c>
    </row>
    <row r="626" spans="1:2" x14ac:dyDescent="0.25">
      <c r="A626">
        <v>11544223</v>
      </c>
      <c r="B626" t="s">
        <v>40</v>
      </c>
    </row>
    <row r="627" spans="1:2" x14ac:dyDescent="0.25">
      <c r="A627">
        <v>11769610</v>
      </c>
      <c r="B627" t="s">
        <v>35</v>
      </c>
    </row>
    <row r="628" spans="1:2" x14ac:dyDescent="0.25">
      <c r="A628">
        <v>11391397</v>
      </c>
      <c r="B628" t="s">
        <v>35</v>
      </c>
    </row>
    <row r="629" spans="1:2" x14ac:dyDescent="0.25">
      <c r="A629">
        <v>10816792</v>
      </c>
      <c r="B629" t="s">
        <v>37</v>
      </c>
    </row>
    <row r="630" spans="1:2" x14ac:dyDescent="0.25">
      <c r="A630">
        <v>11019482</v>
      </c>
      <c r="B630" t="s">
        <v>37</v>
      </c>
    </row>
    <row r="631" spans="1:2" x14ac:dyDescent="0.25">
      <c r="A631">
        <v>11393126</v>
      </c>
      <c r="B631" t="s">
        <v>35</v>
      </c>
    </row>
    <row r="632" spans="1:2" x14ac:dyDescent="0.25">
      <c r="A632">
        <v>11320857</v>
      </c>
      <c r="B632" t="s">
        <v>40</v>
      </c>
    </row>
    <row r="633" spans="1:2" x14ac:dyDescent="0.25">
      <c r="A633">
        <v>11109123</v>
      </c>
      <c r="B633" t="s">
        <v>35</v>
      </c>
    </row>
    <row r="634" spans="1:2" x14ac:dyDescent="0.25">
      <c r="A634">
        <v>11706299</v>
      </c>
      <c r="B634" t="s">
        <v>37</v>
      </c>
    </row>
    <row r="635" spans="1:2" x14ac:dyDescent="0.25">
      <c r="A635">
        <v>11560860</v>
      </c>
      <c r="B635" t="s">
        <v>35</v>
      </c>
    </row>
    <row r="636" spans="1:2" x14ac:dyDescent="0.25">
      <c r="A636">
        <v>11346491</v>
      </c>
      <c r="B636" t="s">
        <v>36</v>
      </c>
    </row>
    <row r="637" spans="1:2" x14ac:dyDescent="0.25">
      <c r="A637">
        <v>11876761</v>
      </c>
      <c r="B637" t="s">
        <v>37</v>
      </c>
    </row>
    <row r="638" spans="1:2" x14ac:dyDescent="0.25">
      <c r="A638">
        <v>11559467</v>
      </c>
      <c r="B638" t="s">
        <v>41</v>
      </c>
    </row>
    <row r="639" spans="1:2" x14ac:dyDescent="0.25">
      <c r="A639">
        <v>11223364</v>
      </c>
      <c r="B639" t="s">
        <v>37</v>
      </c>
    </row>
    <row r="640" spans="1:2" x14ac:dyDescent="0.25">
      <c r="A640">
        <v>11406027</v>
      </c>
      <c r="B640" t="s">
        <v>37</v>
      </c>
    </row>
    <row r="641" spans="1:2" x14ac:dyDescent="0.25">
      <c r="A641">
        <v>11623862</v>
      </c>
      <c r="B641" t="s">
        <v>37</v>
      </c>
    </row>
    <row r="642" spans="1:2" x14ac:dyDescent="0.25">
      <c r="A642">
        <v>11556796</v>
      </c>
      <c r="B642" t="s">
        <v>37</v>
      </c>
    </row>
    <row r="643" spans="1:2" x14ac:dyDescent="0.25">
      <c r="A643">
        <v>10621630</v>
      </c>
      <c r="B643" t="s">
        <v>35</v>
      </c>
    </row>
    <row r="644" spans="1:2" x14ac:dyDescent="0.25">
      <c r="A644">
        <v>11048291</v>
      </c>
      <c r="B644" t="s">
        <v>37</v>
      </c>
    </row>
    <row r="645" spans="1:2" x14ac:dyDescent="0.25">
      <c r="A645">
        <v>11707617</v>
      </c>
      <c r="B645" t="s">
        <v>42</v>
      </c>
    </row>
    <row r="646" spans="1:2" x14ac:dyDescent="0.25">
      <c r="A646">
        <v>11407763</v>
      </c>
      <c r="B646" t="s">
        <v>36</v>
      </c>
    </row>
    <row r="647" spans="1:2" x14ac:dyDescent="0.25">
      <c r="A647">
        <v>11905196</v>
      </c>
      <c r="B647" t="s">
        <v>41</v>
      </c>
    </row>
    <row r="648" spans="1:2" x14ac:dyDescent="0.25">
      <c r="A648">
        <v>11495335</v>
      </c>
      <c r="B648" t="s">
        <v>37</v>
      </c>
    </row>
    <row r="649" spans="1:2" x14ac:dyDescent="0.25">
      <c r="A649">
        <v>11390038</v>
      </c>
      <c r="B649" t="s">
        <v>35</v>
      </c>
    </row>
    <row r="650" spans="1:2" x14ac:dyDescent="0.25">
      <c r="A650">
        <v>10626499</v>
      </c>
      <c r="B650" t="s">
        <v>42</v>
      </c>
    </row>
    <row r="651" spans="1:2" x14ac:dyDescent="0.25">
      <c r="A651">
        <v>11608445</v>
      </c>
      <c r="B651" t="s">
        <v>35</v>
      </c>
    </row>
    <row r="652" spans="1:2" x14ac:dyDescent="0.25">
      <c r="A652">
        <v>10784228</v>
      </c>
      <c r="B652" t="s">
        <v>37</v>
      </c>
    </row>
    <row r="653" spans="1:2" x14ac:dyDescent="0.25">
      <c r="A653">
        <v>11607959</v>
      </c>
      <c r="B653" t="s">
        <v>42</v>
      </c>
    </row>
    <row r="654" spans="1:2" x14ac:dyDescent="0.25">
      <c r="A654">
        <v>11559552</v>
      </c>
      <c r="B654" t="s">
        <v>40</v>
      </c>
    </row>
    <row r="655" spans="1:2" x14ac:dyDescent="0.25">
      <c r="A655">
        <v>11607907</v>
      </c>
      <c r="B655" t="s">
        <v>40</v>
      </c>
    </row>
    <row r="656" spans="1:2" x14ac:dyDescent="0.25">
      <c r="A656">
        <v>10703869</v>
      </c>
      <c r="B656" t="s">
        <v>37</v>
      </c>
    </row>
    <row r="657" spans="1:2" x14ac:dyDescent="0.25">
      <c r="A657">
        <v>11891250</v>
      </c>
      <c r="B657" t="s">
        <v>37</v>
      </c>
    </row>
    <row r="658" spans="1:2" x14ac:dyDescent="0.25">
      <c r="A658">
        <v>11407295</v>
      </c>
      <c r="B658" t="s">
        <v>37</v>
      </c>
    </row>
    <row r="659" spans="1:2" x14ac:dyDescent="0.25">
      <c r="A659">
        <v>11022861</v>
      </c>
      <c r="B659" t="s">
        <v>37</v>
      </c>
    </row>
    <row r="660" spans="1:2" x14ac:dyDescent="0.25">
      <c r="A660">
        <v>11578188</v>
      </c>
      <c r="B660" t="s">
        <v>40</v>
      </c>
    </row>
    <row r="661" spans="1:2" x14ac:dyDescent="0.25">
      <c r="A661">
        <v>11783911</v>
      </c>
      <c r="B661" t="s">
        <v>37</v>
      </c>
    </row>
    <row r="662" spans="1:2" x14ac:dyDescent="0.25">
      <c r="A662">
        <v>11857166</v>
      </c>
      <c r="B662" t="s">
        <v>41</v>
      </c>
    </row>
    <row r="663" spans="1:2" x14ac:dyDescent="0.25">
      <c r="A663">
        <v>11026499</v>
      </c>
      <c r="B663" t="s">
        <v>41</v>
      </c>
    </row>
    <row r="664" spans="1:2" x14ac:dyDescent="0.25">
      <c r="A664">
        <v>10919744</v>
      </c>
      <c r="B664" t="s">
        <v>35</v>
      </c>
    </row>
    <row r="665" spans="1:2" x14ac:dyDescent="0.25">
      <c r="A665">
        <v>11423882</v>
      </c>
      <c r="B665" t="s">
        <v>35</v>
      </c>
    </row>
    <row r="666" spans="1:2" x14ac:dyDescent="0.25">
      <c r="A666">
        <v>11395337</v>
      </c>
      <c r="B666" t="s">
        <v>38</v>
      </c>
    </row>
    <row r="667" spans="1:2" x14ac:dyDescent="0.25">
      <c r="A667">
        <v>10578004</v>
      </c>
    </row>
    <row r="668" spans="1:2" x14ac:dyDescent="0.25">
      <c r="A668">
        <v>11630545</v>
      </c>
      <c r="B668" t="s">
        <v>39</v>
      </c>
    </row>
    <row r="669" spans="1:2" x14ac:dyDescent="0.25">
      <c r="A669">
        <v>11348409</v>
      </c>
      <c r="B669" t="s">
        <v>41</v>
      </c>
    </row>
    <row r="670" spans="1:2" x14ac:dyDescent="0.25">
      <c r="A670">
        <v>10708462</v>
      </c>
      <c r="B670" t="s">
        <v>37</v>
      </c>
    </row>
    <row r="671" spans="1:2" x14ac:dyDescent="0.25">
      <c r="A671">
        <v>11606454</v>
      </c>
      <c r="B671" t="s">
        <v>36</v>
      </c>
    </row>
    <row r="672" spans="1:2" x14ac:dyDescent="0.25">
      <c r="A672">
        <v>11543100</v>
      </c>
      <c r="B672" t="s">
        <v>42</v>
      </c>
    </row>
    <row r="673" spans="1:2" x14ac:dyDescent="0.25">
      <c r="A673">
        <v>10876945</v>
      </c>
      <c r="B673" t="s">
        <v>37</v>
      </c>
    </row>
    <row r="674" spans="1:2" x14ac:dyDescent="0.25">
      <c r="A674">
        <v>11562526</v>
      </c>
      <c r="B674" t="s">
        <v>37</v>
      </c>
    </row>
    <row r="675" spans="1:2" x14ac:dyDescent="0.25">
      <c r="A675">
        <v>11552141</v>
      </c>
      <c r="B675" t="s">
        <v>37</v>
      </c>
    </row>
    <row r="676" spans="1:2" x14ac:dyDescent="0.25">
      <c r="A676">
        <v>11645999</v>
      </c>
      <c r="B676" t="s">
        <v>39</v>
      </c>
    </row>
    <row r="677" spans="1:2" x14ac:dyDescent="0.25">
      <c r="A677">
        <v>10809501</v>
      </c>
      <c r="B677" t="s">
        <v>42</v>
      </c>
    </row>
    <row r="678" spans="1:2" x14ac:dyDescent="0.25">
      <c r="A678">
        <v>11734676</v>
      </c>
      <c r="B678" t="s">
        <v>37</v>
      </c>
    </row>
    <row r="679" spans="1:2" x14ac:dyDescent="0.25">
      <c r="A679">
        <v>11667217</v>
      </c>
      <c r="B679" t="s">
        <v>38</v>
      </c>
    </row>
    <row r="680" spans="1:2" x14ac:dyDescent="0.25">
      <c r="A680">
        <v>11698452</v>
      </c>
      <c r="B680" t="s">
        <v>38</v>
      </c>
    </row>
    <row r="681" spans="1:2" x14ac:dyDescent="0.25">
      <c r="A681">
        <v>11104423</v>
      </c>
      <c r="B681" t="s">
        <v>37</v>
      </c>
    </row>
    <row r="682" spans="1:2" x14ac:dyDescent="0.25">
      <c r="A682">
        <v>11089774</v>
      </c>
      <c r="B682" t="s">
        <v>37</v>
      </c>
    </row>
    <row r="683" spans="1:2" x14ac:dyDescent="0.25">
      <c r="A683">
        <v>11772727</v>
      </c>
      <c r="B683" t="s">
        <v>41</v>
      </c>
    </row>
    <row r="684" spans="1:2" x14ac:dyDescent="0.25">
      <c r="A684">
        <v>11556630</v>
      </c>
      <c r="B684" t="s">
        <v>38</v>
      </c>
    </row>
    <row r="685" spans="1:2" x14ac:dyDescent="0.25">
      <c r="A685">
        <v>11630006</v>
      </c>
      <c r="B685" t="s">
        <v>38</v>
      </c>
    </row>
    <row r="686" spans="1:2" x14ac:dyDescent="0.25">
      <c r="A686">
        <v>11562403</v>
      </c>
      <c r="B686" t="s">
        <v>37</v>
      </c>
    </row>
    <row r="687" spans="1:2" x14ac:dyDescent="0.25">
      <c r="A687">
        <v>11621115</v>
      </c>
      <c r="B687" t="s">
        <v>37</v>
      </c>
    </row>
    <row r="688" spans="1:2" x14ac:dyDescent="0.25">
      <c r="A688">
        <v>11382055</v>
      </c>
      <c r="B688" t="s">
        <v>41</v>
      </c>
    </row>
    <row r="689" spans="1:2" x14ac:dyDescent="0.25">
      <c r="A689">
        <v>11664768</v>
      </c>
      <c r="B689" t="s">
        <v>35</v>
      </c>
    </row>
    <row r="690" spans="1:2" x14ac:dyDescent="0.25">
      <c r="A690">
        <v>11948685</v>
      </c>
      <c r="B690" t="s">
        <v>41</v>
      </c>
    </row>
    <row r="691" spans="1:2" x14ac:dyDescent="0.25">
      <c r="A691">
        <v>10937639</v>
      </c>
      <c r="B691" t="s">
        <v>40</v>
      </c>
    </row>
    <row r="692" spans="1:2" x14ac:dyDescent="0.25">
      <c r="A692">
        <v>10931004</v>
      </c>
      <c r="B692" t="s">
        <v>36</v>
      </c>
    </row>
    <row r="693" spans="1:2" x14ac:dyDescent="0.25">
      <c r="A693">
        <v>10838230</v>
      </c>
      <c r="B693" t="s">
        <v>41</v>
      </c>
    </row>
    <row r="694" spans="1:2" x14ac:dyDescent="0.25">
      <c r="A694">
        <v>11710571</v>
      </c>
      <c r="B694" t="s">
        <v>41</v>
      </c>
    </row>
    <row r="695" spans="1:2" x14ac:dyDescent="0.25">
      <c r="A695">
        <v>11403261</v>
      </c>
      <c r="B695" t="s">
        <v>37</v>
      </c>
    </row>
    <row r="696" spans="1:2" x14ac:dyDescent="0.25">
      <c r="A696">
        <v>11027262</v>
      </c>
      <c r="B696" t="s">
        <v>37</v>
      </c>
    </row>
    <row r="697" spans="1:2" x14ac:dyDescent="0.25">
      <c r="A697">
        <v>11812580</v>
      </c>
      <c r="B697" t="s">
        <v>36</v>
      </c>
    </row>
    <row r="698" spans="1:2" x14ac:dyDescent="0.25">
      <c r="A698">
        <v>11670357</v>
      </c>
      <c r="B698" t="s">
        <v>36</v>
      </c>
    </row>
    <row r="699" spans="1:2" x14ac:dyDescent="0.25">
      <c r="A699">
        <v>11456770</v>
      </c>
      <c r="B699" t="s">
        <v>37</v>
      </c>
    </row>
    <row r="700" spans="1:2" x14ac:dyDescent="0.25">
      <c r="A700">
        <v>11383213</v>
      </c>
      <c r="B700" t="s">
        <v>42</v>
      </c>
    </row>
    <row r="701" spans="1:2" x14ac:dyDescent="0.25">
      <c r="A701">
        <v>11593583</v>
      </c>
      <c r="B701" t="s">
        <v>42</v>
      </c>
    </row>
    <row r="702" spans="1:2" x14ac:dyDescent="0.25">
      <c r="A702">
        <v>10700664</v>
      </c>
      <c r="B702" t="s">
        <v>37</v>
      </c>
    </row>
    <row r="703" spans="1:2" x14ac:dyDescent="0.25">
      <c r="A703">
        <v>10835291</v>
      </c>
      <c r="B703" t="s">
        <v>36</v>
      </c>
    </row>
    <row r="704" spans="1:2" x14ac:dyDescent="0.25">
      <c r="A704">
        <v>10849171</v>
      </c>
      <c r="B704" t="s">
        <v>35</v>
      </c>
    </row>
    <row r="705" spans="1:2" x14ac:dyDescent="0.25">
      <c r="A705">
        <v>11310938</v>
      </c>
      <c r="B705" t="s">
        <v>42</v>
      </c>
    </row>
    <row r="706" spans="1:2" x14ac:dyDescent="0.25">
      <c r="A706">
        <v>10931540</v>
      </c>
      <c r="B706" t="s">
        <v>41</v>
      </c>
    </row>
    <row r="707" spans="1:2" x14ac:dyDescent="0.25">
      <c r="A707">
        <v>10940586</v>
      </c>
      <c r="B707" t="s">
        <v>41</v>
      </c>
    </row>
    <row r="708" spans="1:2" x14ac:dyDescent="0.25">
      <c r="A708">
        <v>10848765</v>
      </c>
      <c r="B708" t="s">
        <v>36</v>
      </c>
    </row>
    <row r="709" spans="1:2" x14ac:dyDescent="0.25">
      <c r="A709">
        <v>11942913</v>
      </c>
      <c r="B709" t="s">
        <v>41</v>
      </c>
    </row>
    <row r="710" spans="1:2" x14ac:dyDescent="0.25">
      <c r="A710">
        <v>11708412</v>
      </c>
      <c r="B710" t="s">
        <v>37</v>
      </c>
    </row>
    <row r="711" spans="1:2" x14ac:dyDescent="0.25">
      <c r="A711">
        <v>11407359</v>
      </c>
      <c r="B711" t="s">
        <v>37</v>
      </c>
    </row>
    <row r="712" spans="1:2" x14ac:dyDescent="0.25">
      <c r="A712">
        <v>10889329</v>
      </c>
      <c r="B712" t="s">
        <v>37</v>
      </c>
    </row>
    <row r="713" spans="1:2" x14ac:dyDescent="0.25">
      <c r="A713">
        <v>11725316</v>
      </c>
      <c r="B713" t="s">
        <v>37</v>
      </c>
    </row>
    <row r="714" spans="1:2" x14ac:dyDescent="0.25">
      <c r="A714">
        <v>11543633</v>
      </c>
      <c r="B714" t="s">
        <v>40</v>
      </c>
    </row>
    <row r="715" spans="1:2" x14ac:dyDescent="0.25">
      <c r="A715">
        <v>11405918</v>
      </c>
      <c r="B715" t="s">
        <v>37</v>
      </c>
    </row>
    <row r="716" spans="1:2" x14ac:dyDescent="0.25">
      <c r="A716">
        <v>10957865</v>
      </c>
      <c r="B716" t="s">
        <v>38</v>
      </c>
    </row>
    <row r="717" spans="1:2" x14ac:dyDescent="0.25">
      <c r="A717">
        <v>11543871</v>
      </c>
      <c r="B717" t="s">
        <v>39</v>
      </c>
    </row>
    <row r="718" spans="1:2" x14ac:dyDescent="0.25">
      <c r="A718">
        <v>11427456</v>
      </c>
      <c r="B718" t="s">
        <v>35</v>
      </c>
    </row>
    <row r="719" spans="1:2" x14ac:dyDescent="0.25">
      <c r="A719">
        <v>11300428</v>
      </c>
      <c r="B719" t="s">
        <v>39</v>
      </c>
    </row>
    <row r="720" spans="1:2" x14ac:dyDescent="0.25">
      <c r="A720">
        <v>11870485</v>
      </c>
      <c r="B720" t="s">
        <v>41</v>
      </c>
    </row>
    <row r="721" spans="1:2" x14ac:dyDescent="0.25">
      <c r="A721">
        <v>11828805</v>
      </c>
      <c r="B721" t="s">
        <v>35</v>
      </c>
    </row>
    <row r="722" spans="1:2" x14ac:dyDescent="0.25">
      <c r="A722">
        <v>11116799</v>
      </c>
      <c r="B722" t="s">
        <v>37</v>
      </c>
    </row>
    <row r="723" spans="1:2" x14ac:dyDescent="0.25">
      <c r="A723">
        <v>11593129</v>
      </c>
      <c r="B723" t="s">
        <v>37</v>
      </c>
    </row>
    <row r="724" spans="1:2" x14ac:dyDescent="0.25">
      <c r="A724">
        <v>11483746</v>
      </c>
      <c r="B724" t="s">
        <v>42</v>
      </c>
    </row>
    <row r="725" spans="1:2" x14ac:dyDescent="0.25">
      <c r="A725">
        <v>11037020</v>
      </c>
      <c r="B725" t="s">
        <v>38</v>
      </c>
    </row>
    <row r="726" spans="1:2" x14ac:dyDescent="0.25">
      <c r="A726">
        <v>11300155</v>
      </c>
      <c r="B726" t="s">
        <v>37</v>
      </c>
    </row>
    <row r="727" spans="1:2" x14ac:dyDescent="0.25">
      <c r="A727">
        <v>10817894</v>
      </c>
      <c r="B727" t="s">
        <v>37</v>
      </c>
    </row>
    <row r="728" spans="1:2" x14ac:dyDescent="0.25">
      <c r="A728">
        <v>11282287</v>
      </c>
      <c r="B728" t="s">
        <v>35</v>
      </c>
    </row>
    <row r="729" spans="1:2" x14ac:dyDescent="0.25">
      <c r="A729">
        <v>10964370</v>
      </c>
      <c r="B729" t="s">
        <v>37</v>
      </c>
    </row>
    <row r="730" spans="1:2" x14ac:dyDescent="0.25">
      <c r="A730">
        <v>11396005</v>
      </c>
      <c r="B730" t="s">
        <v>38</v>
      </c>
    </row>
    <row r="731" spans="1:2" x14ac:dyDescent="0.25">
      <c r="A731">
        <v>11397580</v>
      </c>
      <c r="B731" t="s">
        <v>42</v>
      </c>
    </row>
    <row r="732" spans="1:2" x14ac:dyDescent="0.25">
      <c r="A732">
        <v>11916493</v>
      </c>
      <c r="B732" t="s">
        <v>42</v>
      </c>
    </row>
    <row r="733" spans="1:2" x14ac:dyDescent="0.25">
      <c r="A733">
        <v>10619822</v>
      </c>
      <c r="B733" t="s">
        <v>38</v>
      </c>
    </row>
    <row r="734" spans="1:2" x14ac:dyDescent="0.25">
      <c r="A734">
        <v>10877427</v>
      </c>
      <c r="B734" t="s">
        <v>38</v>
      </c>
    </row>
    <row r="735" spans="1:2" x14ac:dyDescent="0.25">
      <c r="A735">
        <v>11262017</v>
      </c>
      <c r="B735" t="s">
        <v>39</v>
      </c>
    </row>
    <row r="736" spans="1:2" x14ac:dyDescent="0.25">
      <c r="A736">
        <v>11546153</v>
      </c>
      <c r="B736" t="s">
        <v>36</v>
      </c>
    </row>
    <row r="737" spans="1:2" x14ac:dyDescent="0.25">
      <c r="A737">
        <v>11890620</v>
      </c>
      <c r="B737" t="s">
        <v>42</v>
      </c>
    </row>
    <row r="738" spans="1:2" x14ac:dyDescent="0.25">
      <c r="A738">
        <v>11965527</v>
      </c>
      <c r="B738" t="s">
        <v>39</v>
      </c>
    </row>
    <row r="739" spans="1:2" x14ac:dyDescent="0.25">
      <c r="A739">
        <v>11242878</v>
      </c>
      <c r="B739" t="s">
        <v>41</v>
      </c>
    </row>
    <row r="740" spans="1:2" x14ac:dyDescent="0.25">
      <c r="A740">
        <v>11725616</v>
      </c>
      <c r="B740" t="s">
        <v>41</v>
      </c>
    </row>
    <row r="741" spans="1:2" x14ac:dyDescent="0.25">
      <c r="A741">
        <v>11858224</v>
      </c>
      <c r="B741" t="s">
        <v>35</v>
      </c>
    </row>
    <row r="742" spans="1:2" x14ac:dyDescent="0.25">
      <c r="A742">
        <v>10612933</v>
      </c>
      <c r="B742" t="s">
        <v>35</v>
      </c>
    </row>
    <row r="743" spans="1:2" x14ac:dyDescent="0.25">
      <c r="A743">
        <v>11790438</v>
      </c>
      <c r="B743" t="s">
        <v>41</v>
      </c>
    </row>
    <row r="744" spans="1:2" x14ac:dyDescent="0.25">
      <c r="A744">
        <v>11394935</v>
      </c>
      <c r="B744" t="s">
        <v>41</v>
      </c>
    </row>
    <row r="745" spans="1:2" x14ac:dyDescent="0.25">
      <c r="A745">
        <v>11981766</v>
      </c>
      <c r="B745" t="s">
        <v>41</v>
      </c>
    </row>
    <row r="746" spans="1:2" x14ac:dyDescent="0.25">
      <c r="A746">
        <v>11592970</v>
      </c>
      <c r="B746" t="s">
        <v>39</v>
      </c>
    </row>
    <row r="747" spans="1:2" x14ac:dyDescent="0.25">
      <c r="A747">
        <v>11124836</v>
      </c>
      <c r="B747" t="s">
        <v>39</v>
      </c>
    </row>
    <row r="748" spans="1:2" x14ac:dyDescent="0.25">
      <c r="A748">
        <v>10849481</v>
      </c>
      <c r="B748" t="s">
        <v>39</v>
      </c>
    </row>
    <row r="749" spans="1:2" x14ac:dyDescent="0.25">
      <c r="A749">
        <v>11667512</v>
      </c>
      <c r="B749" t="s">
        <v>37</v>
      </c>
    </row>
    <row r="750" spans="1:2" x14ac:dyDescent="0.25">
      <c r="A750">
        <v>10596772</v>
      </c>
      <c r="B750" t="s">
        <v>36</v>
      </c>
    </row>
    <row r="751" spans="1:2" x14ac:dyDescent="0.25">
      <c r="A751">
        <v>11001963</v>
      </c>
      <c r="B751" t="s">
        <v>41</v>
      </c>
    </row>
    <row r="752" spans="1:2" x14ac:dyDescent="0.25">
      <c r="A752">
        <v>11738374</v>
      </c>
      <c r="B752" t="s">
        <v>36</v>
      </c>
    </row>
    <row r="753" spans="1:2" x14ac:dyDescent="0.25">
      <c r="A753">
        <v>10633197</v>
      </c>
    </row>
    <row r="754" spans="1:2" x14ac:dyDescent="0.25">
      <c r="A754">
        <v>11918945</v>
      </c>
      <c r="B754" t="s">
        <v>37</v>
      </c>
    </row>
    <row r="755" spans="1:2" x14ac:dyDescent="0.25">
      <c r="A755">
        <v>11936527</v>
      </c>
      <c r="B755" t="s">
        <v>37</v>
      </c>
    </row>
    <row r="756" spans="1:2" x14ac:dyDescent="0.25">
      <c r="A756">
        <v>11327939</v>
      </c>
      <c r="B756" t="s">
        <v>35</v>
      </c>
    </row>
    <row r="757" spans="1:2" x14ac:dyDescent="0.25">
      <c r="A757">
        <v>11737167</v>
      </c>
      <c r="B757" t="s">
        <v>35</v>
      </c>
    </row>
    <row r="758" spans="1:2" x14ac:dyDescent="0.25">
      <c r="A758">
        <v>11632926</v>
      </c>
      <c r="B758" t="s">
        <v>41</v>
      </c>
    </row>
    <row r="759" spans="1:2" x14ac:dyDescent="0.25">
      <c r="A759">
        <v>11941801</v>
      </c>
      <c r="B759" t="s">
        <v>42</v>
      </c>
    </row>
    <row r="760" spans="1:2" x14ac:dyDescent="0.25">
      <c r="A760">
        <v>11215699</v>
      </c>
      <c r="B760" t="s">
        <v>35</v>
      </c>
    </row>
    <row r="761" spans="1:2" x14ac:dyDescent="0.25">
      <c r="A761">
        <v>10816822</v>
      </c>
      <c r="B761" t="s">
        <v>35</v>
      </c>
    </row>
    <row r="762" spans="1:2" x14ac:dyDescent="0.25">
      <c r="A762">
        <v>10821010</v>
      </c>
      <c r="B762" t="s">
        <v>37</v>
      </c>
    </row>
    <row r="763" spans="1:2" x14ac:dyDescent="0.25">
      <c r="A763">
        <v>11037348</v>
      </c>
      <c r="B763" t="s">
        <v>37</v>
      </c>
    </row>
    <row r="764" spans="1:2" x14ac:dyDescent="0.25">
      <c r="A764">
        <v>10823699</v>
      </c>
      <c r="B764" t="s">
        <v>37</v>
      </c>
    </row>
    <row r="765" spans="1:2" x14ac:dyDescent="0.25">
      <c r="A765">
        <v>10852630</v>
      </c>
      <c r="B765" t="s">
        <v>37</v>
      </c>
    </row>
    <row r="766" spans="1:2" x14ac:dyDescent="0.25">
      <c r="A766">
        <v>10973177</v>
      </c>
      <c r="B766" t="s">
        <v>37</v>
      </c>
    </row>
    <row r="767" spans="1:2" x14ac:dyDescent="0.25">
      <c r="A767">
        <v>10638310</v>
      </c>
      <c r="B767" t="s">
        <v>35</v>
      </c>
    </row>
    <row r="768" spans="1:2" x14ac:dyDescent="0.25">
      <c r="A768">
        <v>11087312</v>
      </c>
      <c r="B768" t="s">
        <v>35</v>
      </c>
    </row>
    <row r="769" spans="1:2" x14ac:dyDescent="0.25">
      <c r="A769">
        <v>11307145</v>
      </c>
      <c r="B769" t="s">
        <v>35</v>
      </c>
    </row>
    <row r="770" spans="1:2" x14ac:dyDescent="0.25">
      <c r="A770">
        <v>11831700</v>
      </c>
      <c r="B770" t="s">
        <v>36</v>
      </c>
    </row>
    <row r="771" spans="1:2" x14ac:dyDescent="0.25">
      <c r="A771">
        <v>11983924</v>
      </c>
      <c r="B771" t="s">
        <v>36</v>
      </c>
    </row>
    <row r="772" spans="1:2" x14ac:dyDescent="0.25">
      <c r="A772">
        <v>11560028</v>
      </c>
      <c r="B772" t="s">
        <v>36</v>
      </c>
    </row>
    <row r="773" spans="1:2" x14ac:dyDescent="0.25">
      <c r="A773">
        <v>11676977</v>
      </c>
      <c r="B773" t="s">
        <v>42</v>
      </c>
    </row>
    <row r="774" spans="1:2" x14ac:dyDescent="0.25">
      <c r="A774">
        <v>11425569</v>
      </c>
      <c r="B774" t="s">
        <v>40</v>
      </c>
    </row>
    <row r="775" spans="1:2" x14ac:dyDescent="0.25">
      <c r="A775">
        <v>11719955</v>
      </c>
      <c r="B775" t="s">
        <v>37</v>
      </c>
    </row>
    <row r="776" spans="1:2" x14ac:dyDescent="0.25">
      <c r="A776">
        <v>11424802</v>
      </c>
      <c r="B776" t="s">
        <v>37</v>
      </c>
    </row>
    <row r="777" spans="1:2" x14ac:dyDescent="0.25">
      <c r="A777">
        <v>11340180</v>
      </c>
      <c r="B777" t="s">
        <v>37</v>
      </c>
    </row>
    <row r="778" spans="1:2" x14ac:dyDescent="0.25">
      <c r="A778">
        <v>11562993</v>
      </c>
      <c r="B778" t="s">
        <v>37</v>
      </c>
    </row>
    <row r="779" spans="1:2" x14ac:dyDescent="0.25">
      <c r="A779">
        <v>11557518</v>
      </c>
      <c r="B779" t="s">
        <v>37</v>
      </c>
    </row>
    <row r="780" spans="1:2" x14ac:dyDescent="0.25">
      <c r="A780">
        <v>10624287</v>
      </c>
      <c r="B780" t="s">
        <v>38</v>
      </c>
    </row>
    <row r="781" spans="1:2" x14ac:dyDescent="0.25">
      <c r="A781">
        <v>10630515</v>
      </c>
      <c r="B781" t="s">
        <v>38</v>
      </c>
    </row>
    <row r="782" spans="1:2" x14ac:dyDescent="0.25">
      <c r="A782">
        <v>10977553</v>
      </c>
      <c r="B782" t="s">
        <v>38</v>
      </c>
    </row>
    <row r="783" spans="1:2" x14ac:dyDescent="0.25">
      <c r="A783">
        <v>11996368</v>
      </c>
      <c r="B783" t="s">
        <v>36</v>
      </c>
    </row>
    <row r="784" spans="1:2" x14ac:dyDescent="0.25">
      <c r="A784">
        <v>11703261</v>
      </c>
      <c r="B784" t="s">
        <v>40</v>
      </c>
    </row>
    <row r="785" spans="1:2" x14ac:dyDescent="0.25">
      <c r="A785">
        <v>10757007</v>
      </c>
      <c r="B785" t="s">
        <v>40</v>
      </c>
    </row>
    <row r="786" spans="1:2" x14ac:dyDescent="0.25">
      <c r="A786">
        <v>11419493</v>
      </c>
      <c r="B786" t="s">
        <v>36</v>
      </c>
    </row>
    <row r="787" spans="1:2" x14ac:dyDescent="0.25">
      <c r="A787">
        <v>11426562</v>
      </c>
      <c r="B787" t="s">
        <v>36</v>
      </c>
    </row>
    <row r="788" spans="1:2" x14ac:dyDescent="0.25">
      <c r="A788">
        <v>11445400</v>
      </c>
      <c r="B788" t="s">
        <v>36</v>
      </c>
    </row>
    <row r="789" spans="1:2" x14ac:dyDescent="0.25">
      <c r="A789">
        <v>11602153</v>
      </c>
      <c r="B789" t="s">
        <v>36</v>
      </c>
    </row>
    <row r="790" spans="1:2" x14ac:dyDescent="0.25">
      <c r="A790">
        <v>11557701</v>
      </c>
      <c r="B790" t="s">
        <v>42</v>
      </c>
    </row>
    <row r="791" spans="1:2" x14ac:dyDescent="0.25">
      <c r="A791">
        <v>11283789</v>
      </c>
      <c r="B791" t="s">
        <v>42</v>
      </c>
    </row>
    <row r="792" spans="1:2" x14ac:dyDescent="0.25">
      <c r="A792">
        <v>11488783</v>
      </c>
      <c r="B792" t="s">
        <v>42</v>
      </c>
    </row>
    <row r="793" spans="1:2" x14ac:dyDescent="0.25">
      <c r="A793">
        <v>11698506</v>
      </c>
      <c r="B793" t="s">
        <v>36</v>
      </c>
    </row>
    <row r="794" spans="1:2" x14ac:dyDescent="0.25">
      <c r="A794">
        <v>11709366</v>
      </c>
      <c r="B794" t="s">
        <v>42</v>
      </c>
    </row>
    <row r="795" spans="1:2" x14ac:dyDescent="0.25">
      <c r="A795">
        <v>11212439</v>
      </c>
      <c r="B795" t="s">
        <v>42</v>
      </c>
    </row>
    <row r="796" spans="1:2" x14ac:dyDescent="0.25">
      <c r="A796">
        <v>11642661</v>
      </c>
      <c r="B796" t="s">
        <v>42</v>
      </c>
    </row>
    <row r="797" spans="1:2" x14ac:dyDescent="0.25">
      <c r="A797">
        <v>11743421</v>
      </c>
      <c r="B797" t="s">
        <v>42</v>
      </c>
    </row>
    <row r="798" spans="1:2" x14ac:dyDescent="0.25">
      <c r="A798">
        <v>11482056</v>
      </c>
      <c r="B798" t="s">
        <v>42</v>
      </c>
    </row>
    <row r="799" spans="1:2" x14ac:dyDescent="0.25">
      <c r="A799">
        <v>11561488</v>
      </c>
      <c r="B799" t="s">
        <v>42</v>
      </c>
    </row>
    <row r="800" spans="1:2" x14ac:dyDescent="0.25">
      <c r="A800">
        <v>11559549</v>
      </c>
      <c r="B800" t="s">
        <v>42</v>
      </c>
    </row>
    <row r="801" spans="1:2" x14ac:dyDescent="0.25">
      <c r="A801">
        <v>11557319</v>
      </c>
      <c r="B801" t="s">
        <v>42</v>
      </c>
    </row>
    <row r="802" spans="1:2" x14ac:dyDescent="0.25">
      <c r="A802">
        <v>11557408</v>
      </c>
      <c r="B802" t="s">
        <v>42</v>
      </c>
    </row>
    <row r="803" spans="1:2" x14ac:dyDescent="0.25">
      <c r="A803">
        <v>11865530</v>
      </c>
      <c r="B803" t="s">
        <v>42</v>
      </c>
    </row>
    <row r="804" spans="1:2" x14ac:dyDescent="0.25">
      <c r="A804">
        <v>11114472</v>
      </c>
      <c r="B804" t="s">
        <v>42</v>
      </c>
    </row>
    <row r="805" spans="1:2" x14ac:dyDescent="0.25">
      <c r="A805">
        <v>11469928</v>
      </c>
      <c r="B805" t="s">
        <v>42</v>
      </c>
    </row>
    <row r="806" spans="1:2" x14ac:dyDescent="0.25">
      <c r="A806">
        <v>10957709</v>
      </c>
      <c r="B806" t="s">
        <v>42</v>
      </c>
    </row>
    <row r="807" spans="1:2" x14ac:dyDescent="0.25">
      <c r="A807">
        <v>11387888</v>
      </c>
      <c r="B807" t="s">
        <v>42</v>
      </c>
    </row>
    <row r="808" spans="1:2" x14ac:dyDescent="0.25">
      <c r="A808">
        <v>11381518</v>
      </c>
      <c r="B808" t="s">
        <v>42</v>
      </c>
    </row>
    <row r="809" spans="1:2" x14ac:dyDescent="0.25">
      <c r="A809">
        <v>11787596</v>
      </c>
      <c r="B809" t="s">
        <v>36</v>
      </c>
    </row>
    <row r="810" spans="1:2" x14ac:dyDescent="0.25">
      <c r="A810">
        <v>11725595</v>
      </c>
      <c r="B810" t="s">
        <v>36</v>
      </c>
    </row>
    <row r="811" spans="1:2" x14ac:dyDescent="0.25">
      <c r="A811">
        <v>11881003</v>
      </c>
      <c r="B811" t="s">
        <v>36</v>
      </c>
    </row>
    <row r="812" spans="1:2" x14ac:dyDescent="0.25">
      <c r="A812">
        <v>11707025</v>
      </c>
      <c r="B812" t="s">
        <v>36</v>
      </c>
    </row>
    <row r="813" spans="1:2" x14ac:dyDescent="0.25">
      <c r="A813">
        <v>11404639</v>
      </c>
      <c r="B813" t="s">
        <v>36</v>
      </c>
    </row>
    <row r="814" spans="1:2" x14ac:dyDescent="0.25">
      <c r="A814">
        <v>11387718</v>
      </c>
      <c r="B814" t="s">
        <v>36</v>
      </c>
    </row>
    <row r="815" spans="1:2" x14ac:dyDescent="0.25">
      <c r="A815">
        <v>11357327</v>
      </c>
      <c r="B815" t="s">
        <v>36</v>
      </c>
    </row>
    <row r="816" spans="1:2" x14ac:dyDescent="0.25">
      <c r="A816">
        <v>11348504</v>
      </c>
      <c r="B816" t="s">
        <v>36</v>
      </c>
    </row>
    <row r="817" spans="1:2" x14ac:dyDescent="0.25">
      <c r="A817">
        <v>11406856</v>
      </c>
      <c r="B817" t="s">
        <v>36</v>
      </c>
    </row>
    <row r="818" spans="1:2" x14ac:dyDescent="0.25">
      <c r="A818">
        <v>11406089</v>
      </c>
      <c r="B818" t="s">
        <v>36</v>
      </c>
    </row>
    <row r="819" spans="1:2" x14ac:dyDescent="0.25">
      <c r="A819">
        <v>11697953</v>
      </c>
      <c r="B819" t="s">
        <v>36</v>
      </c>
    </row>
    <row r="820" spans="1:2" x14ac:dyDescent="0.25">
      <c r="A820">
        <v>11267627</v>
      </c>
      <c r="B820" t="s">
        <v>36</v>
      </c>
    </row>
    <row r="821" spans="1:2" x14ac:dyDescent="0.25">
      <c r="A821">
        <v>11299805</v>
      </c>
      <c r="B821" t="s">
        <v>36</v>
      </c>
    </row>
    <row r="822" spans="1:2" x14ac:dyDescent="0.25">
      <c r="A822">
        <v>11290394</v>
      </c>
      <c r="B822" t="s">
        <v>36</v>
      </c>
    </row>
    <row r="823" spans="1:2" x14ac:dyDescent="0.25">
      <c r="A823">
        <v>11659177</v>
      </c>
      <c r="B823" t="s">
        <v>36</v>
      </c>
    </row>
    <row r="824" spans="1:2" x14ac:dyDescent="0.25">
      <c r="A824">
        <v>11595858</v>
      </c>
      <c r="B824" t="s">
        <v>36</v>
      </c>
    </row>
    <row r="825" spans="1:2" x14ac:dyDescent="0.25">
      <c r="A825">
        <v>11939374</v>
      </c>
      <c r="B825" t="s">
        <v>36</v>
      </c>
    </row>
    <row r="826" spans="1:2" x14ac:dyDescent="0.25">
      <c r="A826">
        <v>11890180</v>
      </c>
      <c r="B826" t="s">
        <v>36</v>
      </c>
    </row>
    <row r="827" spans="1:2" x14ac:dyDescent="0.25">
      <c r="A827">
        <v>11933244</v>
      </c>
      <c r="B827" t="s">
        <v>36</v>
      </c>
    </row>
    <row r="828" spans="1:2" x14ac:dyDescent="0.25">
      <c r="A828">
        <v>11020867</v>
      </c>
      <c r="B828" t="s">
        <v>36</v>
      </c>
    </row>
    <row r="829" spans="1:2" x14ac:dyDescent="0.25">
      <c r="A829">
        <v>10983811</v>
      </c>
      <c r="B829" t="s">
        <v>36</v>
      </c>
    </row>
    <row r="830" spans="1:2" x14ac:dyDescent="0.25">
      <c r="A830">
        <v>11001895</v>
      </c>
      <c r="B830" t="s">
        <v>36</v>
      </c>
    </row>
    <row r="831" spans="1:2" x14ac:dyDescent="0.25">
      <c r="A831">
        <v>11001917</v>
      </c>
      <c r="B831" t="s">
        <v>36</v>
      </c>
    </row>
    <row r="832" spans="1:2" x14ac:dyDescent="0.25">
      <c r="A832">
        <v>11345811</v>
      </c>
      <c r="B832" t="s">
        <v>36</v>
      </c>
    </row>
    <row r="833" spans="1:2" x14ac:dyDescent="0.25">
      <c r="A833">
        <v>11348445</v>
      </c>
      <c r="B833" t="s">
        <v>36</v>
      </c>
    </row>
    <row r="834" spans="1:2" x14ac:dyDescent="0.25">
      <c r="A834">
        <v>11272040</v>
      </c>
      <c r="B834" t="s">
        <v>36</v>
      </c>
    </row>
    <row r="835" spans="1:2" x14ac:dyDescent="0.25">
      <c r="A835">
        <v>11263319</v>
      </c>
      <c r="B835" t="s">
        <v>36</v>
      </c>
    </row>
    <row r="836" spans="1:2" x14ac:dyDescent="0.25">
      <c r="A836">
        <v>11434164</v>
      </c>
      <c r="B836" t="s">
        <v>36</v>
      </c>
    </row>
    <row r="837" spans="1:2" x14ac:dyDescent="0.25">
      <c r="A837">
        <v>11443744</v>
      </c>
      <c r="B837" t="s">
        <v>36</v>
      </c>
    </row>
    <row r="838" spans="1:2" x14ac:dyDescent="0.25">
      <c r="A838">
        <v>11391560</v>
      </c>
      <c r="B838" t="s">
        <v>36</v>
      </c>
    </row>
    <row r="839" spans="1:2" x14ac:dyDescent="0.25">
      <c r="A839">
        <v>11561463</v>
      </c>
      <c r="B839" t="s">
        <v>36</v>
      </c>
    </row>
    <row r="840" spans="1:2" x14ac:dyDescent="0.25">
      <c r="A840">
        <v>11569316</v>
      </c>
      <c r="B840" t="s">
        <v>36</v>
      </c>
    </row>
    <row r="841" spans="1:2" x14ac:dyDescent="0.25">
      <c r="A841">
        <v>11570077</v>
      </c>
      <c r="B841" t="s">
        <v>36</v>
      </c>
    </row>
    <row r="842" spans="1:2" x14ac:dyDescent="0.25">
      <c r="A842">
        <v>11571867</v>
      </c>
      <c r="B842" t="s">
        <v>36</v>
      </c>
    </row>
    <row r="843" spans="1:2" x14ac:dyDescent="0.25">
      <c r="A843">
        <v>11563069</v>
      </c>
      <c r="B843" t="s">
        <v>36</v>
      </c>
    </row>
    <row r="844" spans="1:2" x14ac:dyDescent="0.25">
      <c r="A844">
        <v>11345572</v>
      </c>
      <c r="B844" t="s">
        <v>36</v>
      </c>
    </row>
    <row r="845" spans="1:2" x14ac:dyDescent="0.25">
      <c r="A845">
        <v>11446953</v>
      </c>
      <c r="B845" t="s">
        <v>36</v>
      </c>
    </row>
    <row r="846" spans="1:2" x14ac:dyDescent="0.25">
      <c r="A846">
        <v>11631896</v>
      </c>
      <c r="B846" t="s">
        <v>36</v>
      </c>
    </row>
    <row r="847" spans="1:2" x14ac:dyDescent="0.25">
      <c r="A847">
        <v>10701390</v>
      </c>
      <c r="B847" t="s">
        <v>36</v>
      </c>
    </row>
    <row r="848" spans="1:2" x14ac:dyDescent="0.25">
      <c r="A848">
        <v>11578041</v>
      </c>
      <c r="B848" t="s">
        <v>36</v>
      </c>
    </row>
    <row r="849" spans="1:2" x14ac:dyDescent="0.25">
      <c r="A849">
        <v>11557827</v>
      </c>
      <c r="B849" t="s">
        <v>36</v>
      </c>
    </row>
    <row r="850" spans="1:2" x14ac:dyDescent="0.25">
      <c r="A850">
        <v>11406061</v>
      </c>
      <c r="B850" t="s">
        <v>36</v>
      </c>
    </row>
    <row r="851" spans="1:2" x14ac:dyDescent="0.25">
      <c r="A851">
        <v>12003726</v>
      </c>
      <c r="B851" t="s">
        <v>36</v>
      </c>
    </row>
    <row r="852" spans="1:2" x14ac:dyDescent="0.25">
      <c r="A852">
        <v>11915277</v>
      </c>
      <c r="B852" t="s">
        <v>36</v>
      </c>
    </row>
    <row r="853" spans="1:2" x14ac:dyDescent="0.25">
      <c r="A853">
        <v>11927936</v>
      </c>
      <c r="B853" t="s">
        <v>36</v>
      </c>
    </row>
    <row r="854" spans="1:2" x14ac:dyDescent="0.25">
      <c r="A854">
        <v>11722345</v>
      </c>
      <c r="B854" t="s">
        <v>36</v>
      </c>
    </row>
    <row r="855" spans="1:2" x14ac:dyDescent="0.25">
      <c r="A855">
        <v>11118407</v>
      </c>
      <c r="B855" t="s">
        <v>36</v>
      </c>
    </row>
    <row r="856" spans="1:2" x14ac:dyDescent="0.25">
      <c r="A856">
        <v>11546605</v>
      </c>
      <c r="B856" t="s">
        <v>36</v>
      </c>
    </row>
    <row r="857" spans="1:2" x14ac:dyDescent="0.25">
      <c r="A857">
        <v>11556974</v>
      </c>
      <c r="B857" t="s">
        <v>36</v>
      </c>
    </row>
    <row r="858" spans="1:2" x14ac:dyDescent="0.25">
      <c r="A858">
        <v>11551951</v>
      </c>
      <c r="B858" t="s">
        <v>36</v>
      </c>
    </row>
    <row r="859" spans="1:2" x14ac:dyDescent="0.25">
      <c r="A859">
        <v>11607906</v>
      </c>
      <c r="B859" t="s">
        <v>36</v>
      </c>
    </row>
    <row r="860" spans="1:2" x14ac:dyDescent="0.25">
      <c r="A860">
        <v>11555511</v>
      </c>
      <c r="B860" t="s">
        <v>37</v>
      </c>
    </row>
    <row r="861" spans="1:2" x14ac:dyDescent="0.25">
      <c r="A861">
        <v>11406696</v>
      </c>
      <c r="B861" t="s">
        <v>38</v>
      </c>
    </row>
    <row r="862" spans="1:2" x14ac:dyDescent="0.25">
      <c r="A862">
        <v>11611688</v>
      </c>
      <c r="B862" t="s">
        <v>36</v>
      </c>
    </row>
    <row r="863" spans="1:2" x14ac:dyDescent="0.25">
      <c r="A863">
        <v>10803906</v>
      </c>
      <c r="B863" t="s">
        <v>41</v>
      </c>
    </row>
    <row r="864" spans="1:2" x14ac:dyDescent="0.25">
      <c r="A864">
        <v>11578096</v>
      </c>
      <c r="B864" t="s">
        <v>36</v>
      </c>
    </row>
    <row r="865" spans="1:2" x14ac:dyDescent="0.25">
      <c r="A865">
        <v>11397768</v>
      </c>
      <c r="B865" t="s">
        <v>37</v>
      </c>
    </row>
    <row r="866" spans="1:2" x14ac:dyDescent="0.25">
      <c r="A866">
        <v>11577519</v>
      </c>
      <c r="B866" t="s">
        <v>41</v>
      </c>
    </row>
    <row r="867" spans="1:2" x14ac:dyDescent="0.25">
      <c r="A867">
        <v>11543483</v>
      </c>
      <c r="B867" t="s">
        <v>38</v>
      </c>
    </row>
    <row r="868" spans="1:2" x14ac:dyDescent="0.25">
      <c r="A868">
        <v>11543243</v>
      </c>
      <c r="B868" t="s">
        <v>35</v>
      </c>
    </row>
    <row r="869" spans="1:2" x14ac:dyDescent="0.25">
      <c r="A869">
        <v>11410871</v>
      </c>
      <c r="B869" t="s">
        <v>35</v>
      </c>
    </row>
    <row r="870" spans="1:2" x14ac:dyDescent="0.25">
      <c r="A870">
        <v>11438527</v>
      </c>
      <c r="B870" t="s">
        <v>35</v>
      </c>
    </row>
    <row r="871" spans="1:2" x14ac:dyDescent="0.25">
      <c r="A871">
        <v>11912313</v>
      </c>
      <c r="B871" t="s">
        <v>35</v>
      </c>
    </row>
    <row r="872" spans="1:2" x14ac:dyDescent="0.25">
      <c r="A872">
        <v>11450954</v>
      </c>
      <c r="B872" t="s">
        <v>37</v>
      </c>
    </row>
    <row r="873" spans="1:2" x14ac:dyDescent="0.25">
      <c r="A873">
        <v>11983393</v>
      </c>
      <c r="B873" t="s">
        <v>42</v>
      </c>
    </row>
    <row r="874" spans="1:2" x14ac:dyDescent="0.25">
      <c r="A874">
        <v>10848825</v>
      </c>
      <c r="B874" t="s">
        <v>42</v>
      </c>
    </row>
    <row r="875" spans="1:2" x14ac:dyDescent="0.25">
      <c r="A875">
        <v>10945780</v>
      </c>
      <c r="B875" t="s">
        <v>42</v>
      </c>
    </row>
    <row r="876" spans="1:2" x14ac:dyDescent="0.25">
      <c r="A876">
        <v>11557930</v>
      </c>
      <c r="B876" t="s">
        <v>42</v>
      </c>
    </row>
    <row r="877" spans="1:2" x14ac:dyDescent="0.25">
      <c r="A877">
        <v>11537969</v>
      </c>
      <c r="B877" t="s">
        <v>42</v>
      </c>
    </row>
    <row r="878" spans="1:2" x14ac:dyDescent="0.25">
      <c r="A878">
        <v>11363349</v>
      </c>
      <c r="B878" t="s">
        <v>42</v>
      </c>
    </row>
    <row r="879" spans="1:2" x14ac:dyDescent="0.25">
      <c r="A879">
        <v>11266152</v>
      </c>
      <c r="B879" t="s">
        <v>42</v>
      </c>
    </row>
    <row r="880" spans="1:2" x14ac:dyDescent="0.25">
      <c r="A880">
        <v>11299097</v>
      </c>
      <c r="B880" t="s">
        <v>42</v>
      </c>
    </row>
    <row r="881" spans="1:2" x14ac:dyDescent="0.25">
      <c r="A881">
        <v>10965606</v>
      </c>
      <c r="B881" t="s">
        <v>42</v>
      </c>
    </row>
    <row r="882" spans="1:2" x14ac:dyDescent="0.25">
      <c r="A882">
        <v>10923624</v>
      </c>
      <c r="B882" t="s">
        <v>42</v>
      </c>
    </row>
    <row r="883" spans="1:2" x14ac:dyDescent="0.25">
      <c r="A883">
        <v>10935352</v>
      </c>
      <c r="B883" t="s">
        <v>42</v>
      </c>
    </row>
    <row r="884" spans="1:2" x14ac:dyDescent="0.25">
      <c r="A884">
        <v>10948184</v>
      </c>
      <c r="B884" t="s">
        <v>42</v>
      </c>
    </row>
    <row r="885" spans="1:2" x14ac:dyDescent="0.25">
      <c r="A885">
        <v>10724396</v>
      </c>
      <c r="B885" t="s">
        <v>42</v>
      </c>
    </row>
    <row r="886" spans="1:2" x14ac:dyDescent="0.25">
      <c r="A886">
        <v>10748632</v>
      </c>
      <c r="B886" t="s">
        <v>42</v>
      </c>
    </row>
    <row r="887" spans="1:2" x14ac:dyDescent="0.25">
      <c r="A887">
        <v>10892112</v>
      </c>
      <c r="B887" t="s">
        <v>42</v>
      </c>
    </row>
    <row r="888" spans="1:2" x14ac:dyDescent="0.25">
      <c r="A888">
        <v>10878619</v>
      </c>
      <c r="B888" t="s">
        <v>42</v>
      </c>
    </row>
    <row r="889" spans="1:2" x14ac:dyDescent="0.25">
      <c r="A889">
        <v>10804208</v>
      </c>
      <c r="B889" t="s">
        <v>42</v>
      </c>
    </row>
    <row r="890" spans="1:2" x14ac:dyDescent="0.25">
      <c r="A890">
        <v>10818064</v>
      </c>
      <c r="B890" t="s">
        <v>42</v>
      </c>
    </row>
    <row r="891" spans="1:2" x14ac:dyDescent="0.25">
      <c r="A891">
        <v>10835424</v>
      </c>
      <c r="B891" t="s">
        <v>42</v>
      </c>
    </row>
    <row r="892" spans="1:2" x14ac:dyDescent="0.25">
      <c r="A892">
        <v>10731532</v>
      </c>
      <c r="B892" t="s">
        <v>42</v>
      </c>
    </row>
    <row r="893" spans="1:2" x14ac:dyDescent="0.25">
      <c r="A893">
        <v>11890015</v>
      </c>
      <c r="B893" t="s">
        <v>42</v>
      </c>
    </row>
    <row r="894" spans="1:2" x14ac:dyDescent="0.25">
      <c r="A894">
        <v>11715288</v>
      </c>
      <c r="B894" t="s">
        <v>42</v>
      </c>
    </row>
    <row r="895" spans="1:2" x14ac:dyDescent="0.25">
      <c r="A895">
        <v>11723147</v>
      </c>
      <c r="B895" t="s">
        <v>42</v>
      </c>
    </row>
    <row r="896" spans="1:2" x14ac:dyDescent="0.25">
      <c r="A896">
        <v>11711387</v>
      </c>
      <c r="B896" t="s">
        <v>42</v>
      </c>
    </row>
    <row r="897" spans="1:2" x14ac:dyDescent="0.25">
      <c r="A897">
        <v>11611514</v>
      </c>
      <c r="B897" t="s">
        <v>42</v>
      </c>
    </row>
    <row r="898" spans="1:2" x14ac:dyDescent="0.25">
      <c r="A898">
        <v>11508898</v>
      </c>
      <c r="B898" t="s">
        <v>42</v>
      </c>
    </row>
    <row r="899" spans="1:2" x14ac:dyDescent="0.25">
      <c r="A899">
        <v>11274543</v>
      </c>
      <c r="B899" t="s">
        <v>42</v>
      </c>
    </row>
    <row r="900" spans="1:2" x14ac:dyDescent="0.25">
      <c r="A900">
        <v>11298995</v>
      </c>
      <c r="B900" t="s">
        <v>42</v>
      </c>
    </row>
    <row r="901" spans="1:2" x14ac:dyDescent="0.25">
      <c r="A901">
        <v>11325600</v>
      </c>
      <c r="B901" t="s">
        <v>42</v>
      </c>
    </row>
    <row r="902" spans="1:2" x14ac:dyDescent="0.25">
      <c r="A902">
        <v>11008042</v>
      </c>
      <c r="B902" t="s">
        <v>42</v>
      </c>
    </row>
    <row r="903" spans="1:2" x14ac:dyDescent="0.25">
      <c r="A903">
        <v>11035343</v>
      </c>
      <c r="B903" t="s">
        <v>42</v>
      </c>
    </row>
    <row r="904" spans="1:2" x14ac:dyDescent="0.25">
      <c r="A904">
        <v>11036625</v>
      </c>
      <c r="B904" t="s">
        <v>42</v>
      </c>
    </row>
    <row r="905" spans="1:2" x14ac:dyDescent="0.25">
      <c r="A905">
        <v>10802698</v>
      </c>
      <c r="B905" t="s">
        <v>42</v>
      </c>
    </row>
    <row r="906" spans="1:2" x14ac:dyDescent="0.25">
      <c r="A906">
        <v>10763288</v>
      </c>
      <c r="B906" t="s">
        <v>42</v>
      </c>
    </row>
    <row r="907" spans="1:2" x14ac:dyDescent="0.25">
      <c r="A907">
        <v>10767538</v>
      </c>
      <c r="B907" t="s">
        <v>42</v>
      </c>
    </row>
    <row r="908" spans="1:2" x14ac:dyDescent="0.25">
      <c r="A908">
        <v>11591609</v>
      </c>
      <c r="B908" t="s">
        <v>35</v>
      </c>
    </row>
    <row r="909" spans="1:2" x14ac:dyDescent="0.25">
      <c r="A909">
        <v>11348297</v>
      </c>
      <c r="B909" t="s">
        <v>35</v>
      </c>
    </row>
    <row r="910" spans="1:2" x14ac:dyDescent="0.25">
      <c r="A910">
        <v>11944614</v>
      </c>
      <c r="B910" t="s">
        <v>37</v>
      </c>
    </row>
    <row r="911" spans="1:2" x14ac:dyDescent="0.25">
      <c r="A911">
        <v>11711379</v>
      </c>
      <c r="B911" t="s">
        <v>37</v>
      </c>
    </row>
    <row r="912" spans="1:2" x14ac:dyDescent="0.25">
      <c r="A912">
        <v>10955275</v>
      </c>
      <c r="B912" t="s">
        <v>37</v>
      </c>
    </row>
    <row r="913" spans="1:2" x14ac:dyDescent="0.25">
      <c r="A913">
        <v>11712731</v>
      </c>
      <c r="B913" t="s">
        <v>36</v>
      </c>
    </row>
    <row r="914" spans="1:2" x14ac:dyDescent="0.25">
      <c r="A914">
        <v>11590342</v>
      </c>
      <c r="B914" t="s">
        <v>40</v>
      </c>
    </row>
    <row r="915" spans="1:2" x14ac:dyDescent="0.25">
      <c r="A915">
        <v>11348238</v>
      </c>
      <c r="B915" t="s">
        <v>35</v>
      </c>
    </row>
    <row r="916" spans="1:2" x14ac:dyDescent="0.25">
      <c r="A916">
        <v>11622938</v>
      </c>
      <c r="B916" t="s">
        <v>35</v>
      </c>
    </row>
    <row r="917" spans="1:2" x14ac:dyDescent="0.25">
      <c r="A917">
        <v>10573098</v>
      </c>
      <c r="B917" t="s">
        <v>36</v>
      </c>
    </row>
    <row r="918" spans="1:2" x14ac:dyDescent="0.25">
      <c r="A918">
        <v>10698755</v>
      </c>
      <c r="B918" t="s">
        <v>38</v>
      </c>
    </row>
    <row r="919" spans="1:2" x14ac:dyDescent="0.25">
      <c r="A919">
        <v>10737181</v>
      </c>
      <c r="B919" t="s">
        <v>40</v>
      </c>
    </row>
    <row r="920" spans="1:2" x14ac:dyDescent="0.25">
      <c r="A920">
        <v>11600848</v>
      </c>
      <c r="B920" t="s">
        <v>37</v>
      </c>
    </row>
    <row r="921" spans="1:2" x14ac:dyDescent="0.25">
      <c r="A921">
        <v>10572729</v>
      </c>
    </row>
    <row r="922" spans="1:2" x14ac:dyDescent="0.25">
      <c r="A922">
        <v>11654968</v>
      </c>
      <c r="B922" t="s">
        <v>40</v>
      </c>
    </row>
    <row r="923" spans="1:2" x14ac:dyDescent="0.25">
      <c r="A923">
        <v>11634952</v>
      </c>
      <c r="B923" t="s">
        <v>37</v>
      </c>
    </row>
    <row r="924" spans="1:2" x14ac:dyDescent="0.25">
      <c r="A924">
        <v>10620187</v>
      </c>
      <c r="B924" t="s">
        <v>35</v>
      </c>
    </row>
    <row r="925" spans="1:2" x14ac:dyDescent="0.25">
      <c r="A925">
        <v>11345506</v>
      </c>
      <c r="B925" t="s">
        <v>37</v>
      </c>
    </row>
    <row r="926" spans="1:2" x14ac:dyDescent="0.25">
      <c r="A926">
        <v>11498317</v>
      </c>
      <c r="B926" t="s">
        <v>38</v>
      </c>
    </row>
    <row r="927" spans="1:2" x14ac:dyDescent="0.25">
      <c r="A927">
        <v>11021786</v>
      </c>
      <c r="B927" t="s">
        <v>37</v>
      </c>
    </row>
    <row r="928" spans="1:2" x14ac:dyDescent="0.25">
      <c r="A928">
        <v>11690662</v>
      </c>
      <c r="B928" t="s">
        <v>37</v>
      </c>
    </row>
    <row r="929" spans="1:2" x14ac:dyDescent="0.25">
      <c r="A929">
        <v>10956450</v>
      </c>
      <c r="B929" t="s">
        <v>37</v>
      </c>
    </row>
    <row r="930" spans="1:2" x14ac:dyDescent="0.25">
      <c r="A930">
        <v>11041689</v>
      </c>
      <c r="B930" t="s">
        <v>36</v>
      </c>
    </row>
    <row r="931" spans="1:2" x14ac:dyDescent="0.25">
      <c r="A931">
        <v>12005155</v>
      </c>
      <c r="B931" t="s">
        <v>35</v>
      </c>
    </row>
    <row r="932" spans="1:2" x14ac:dyDescent="0.25">
      <c r="A932">
        <v>11593000</v>
      </c>
      <c r="B932" t="s">
        <v>41</v>
      </c>
    </row>
    <row r="933" spans="1:2" x14ac:dyDescent="0.25">
      <c r="A933">
        <v>11381522</v>
      </c>
      <c r="B933" t="s">
        <v>37</v>
      </c>
    </row>
    <row r="934" spans="1:2" x14ac:dyDescent="0.25">
      <c r="A934">
        <v>10677014</v>
      </c>
      <c r="B934" t="s">
        <v>37</v>
      </c>
    </row>
    <row r="935" spans="1:2" x14ac:dyDescent="0.25">
      <c r="A935">
        <v>11028387</v>
      </c>
      <c r="B935" t="s">
        <v>37</v>
      </c>
    </row>
    <row r="936" spans="1:2" x14ac:dyDescent="0.25">
      <c r="A936">
        <v>11042212</v>
      </c>
      <c r="B936" t="s">
        <v>37</v>
      </c>
    </row>
    <row r="937" spans="1:2" x14ac:dyDescent="0.25">
      <c r="A937">
        <v>10704999</v>
      </c>
      <c r="B937" t="s">
        <v>37</v>
      </c>
    </row>
    <row r="938" spans="1:2" x14ac:dyDescent="0.25">
      <c r="A938">
        <v>11253841</v>
      </c>
      <c r="B938" t="s">
        <v>37</v>
      </c>
    </row>
    <row r="939" spans="1:2" x14ac:dyDescent="0.25">
      <c r="A939">
        <v>11294430</v>
      </c>
      <c r="B939" t="s">
        <v>37</v>
      </c>
    </row>
    <row r="940" spans="1:2" x14ac:dyDescent="0.25">
      <c r="A940">
        <v>11122779</v>
      </c>
      <c r="B940" t="s">
        <v>37</v>
      </c>
    </row>
    <row r="941" spans="1:2" x14ac:dyDescent="0.25">
      <c r="A941">
        <v>11093398</v>
      </c>
      <c r="B941" t="s">
        <v>37</v>
      </c>
    </row>
    <row r="942" spans="1:2" x14ac:dyDescent="0.25">
      <c r="A942">
        <v>11617289</v>
      </c>
      <c r="B942" t="s">
        <v>37</v>
      </c>
    </row>
    <row r="943" spans="1:2" x14ac:dyDescent="0.25">
      <c r="A943">
        <v>11591977</v>
      </c>
      <c r="B943" t="s">
        <v>37</v>
      </c>
    </row>
    <row r="944" spans="1:2" x14ac:dyDescent="0.25">
      <c r="A944">
        <v>11592484</v>
      </c>
      <c r="B944" t="s">
        <v>37</v>
      </c>
    </row>
    <row r="945" spans="1:2" x14ac:dyDescent="0.25">
      <c r="A945">
        <v>11370765</v>
      </c>
      <c r="B945" t="s">
        <v>37</v>
      </c>
    </row>
    <row r="946" spans="1:2" x14ac:dyDescent="0.25">
      <c r="A946">
        <v>11391578</v>
      </c>
      <c r="B946" t="s">
        <v>37</v>
      </c>
    </row>
    <row r="947" spans="1:2" x14ac:dyDescent="0.25">
      <c r="A947">
        <v>11557377</v>
      </c>
      <c r="B947" t="s">
        <v>37</v>
      </c>
    </row>
    <row r="948" spans="1:2" x14ac:dyDescent="0.25">
      <c r="A948">
        <v>11448244</v>
      </c>
      <c r="B948" t="s">
        <v>37</v>
      </c>
    </row>
    <row r="949" spans="1:2" x14ac:dyDescent="0.25">
      <c r="A949">
        <v>11449441</v>
      </c>
      <c r="B949" t="s">
        <v>37</v>
      </c>
    </row>
    <row r="950" spans="1:2" x14ac:dyDescent="0.25">
      <c r="A950">
        <v>11450712</v>
      </c>
      <c r="B950" t="s">
        <v>37</v>
      </c>
    </row>
    <row r="951" spans="1:2" x14ac:dyDescent="0.25">
      <c r="A951">
        <v>11854161</v>
      </c>
      <c r="B951" t="s">
        <v>37</v>
      </c>
    </row>
    <row r="952" spans="1:2" x14ac:dyDescent="0.25">
      <c r="A952">
        <v>11754482</v>
      </c>
      <c r="B952" t="s">
        <v>37</v>
      </c>
    </row>
    <row r="953" spans="1:2" x14ac:dyDescent="0.25">
      <c r="A953">
        <v>11433582</v>
      </c>
      <c r="B953" t="s">
        <v>37</v>
      </c>
    </row>
    <row r="954" spans="1:2" x14ac:dyDescent="0.25">
      <c r="A954">
        <v>11284013</v>
      </c>
      <c r="B954" t="s">
        <v>37</v>
      </c>
    </row>
    <row r="955" spans="1:2" x14ac:dyDescent="0.25">
      <c r="A955">
        <v>11117786</v>
      </c>
      <c r="B955" t="s">
        <v>37</v>
      </c>
    </row>
    <row r="956" spans="1:2" x14ac:dyDescent="0.25">
      <c r="A956">
        <v>11498068</v>
      </c>
      <c r="B956" t="s">
        <v>37</v>
      </c>
    </row>
    <row r="957" spans="1:2" x14ac:dyDescent="0.25">
      <c r="A957">
        <v>11630930</v>
      </c>
      <c r="B957" t="s">
        <v>37</v>
      </c>
    </row>
    <row r="958" spans="1:2" x14ac:dyDescent="0.25">
      <c r="A958">
        <v>11633028</v>
      </c>
      <c r="B958" t="s">
        <v>37</v>
      </c>
    </row>
    <row r="959" spans="1:2" x14ac:dyDescent="0.25">
      <c r="A959">
        <v>11481392</v>
      </c>
      <c r="B959" t="s">
        <v>37</v>
      </c>
    </row>
    <row r="960" spans="1:2" x14ac:dyDescent="0.25">
      <c r="A960">
        <v>11425987</v>
      </c>
      <c r="B960" t="s">
        <v>37</v>
      </c>
    </row>
    <row r="961" spans="1:2" x14ac:dyDescent="0.25">
      <c r="A961">
        <v>11406835</v>
      </c>
      <c r="B961" t="s">
        <v>37</v>
      </c>
    </row>
    <row r="962" spans="1:2" x14ac:dyDescent="0.25">
      <c r="A962">
        <v>11306154</v>
      </c>
      <c r="B962" t="s">
        <v>37</v>
      </c>
    </row>
    <row r="963" spans="1:2" x14ac:dyDescent="0.25">
      <c r="A963">
        <v>12003787</v>
      </c>
      <c r="B963" t="s">
        <v>37</v>
      </c>
    </row>
    <row r="964" spans="1:2" x14ac:dyDescent="0.25">
      <c r="A964">
        <v>11344789</v>
      </c>
      <c r="B964" t="s">
        <v>37</v>
      </c>
    </row>
    <row r="965" spans="1:2" x14ac:dyDescent="0.25">
      <c r="A965">
        <v>11787134</v>
      </c>
      <c r="B965" t="s">
        <v>37</v>
      </c>
    </row>
    <row r="966" spans="1:2" x14ac:dyDescent="0.25">
      <c r="A966">
        <v>11347884</v>
      </c>
      <c r="B966" t="s">
        <v>37</v>
      </c>
    </row>
    <row r="967" spans="1:2" x14ac:dyDescent="0.25">
      <c r="A967">
        <v>11405326</v>
      </c>
      <c r="B967" t="s">
        <v>37</v>
      </c>
    </row>
    <row r="968" spans="1:2" x14ac:dyDescent="0.25">
      <c r="A968">
        <v>11409096</v>
      </c>
      <c r="B968" t="s">
        <v>37</v>
      </c>
    </row>
    <row r="969" spans="1:2" x14ac:dyDescent="0.25">
      <c r="A969">
        <v>11409166</v>
      </c>
      <c r="B969" t="s">
        <v>37</v>
      </c>
    </row>
    <row r="970" spans="1:2" x14ac:dyDescent="0.25">
      <c r="A970">
        <v>11409459</v>
      </c>
      <c r="B970" t="s">
        <v>37</v>
      </c>
    </row>
    <row r="971" spans="1:2" x14ac:dyDescent="0.25">
      <c r="A971">
        <v>11410921</v>
      </c>
      <c r="B971" t="s">
        <v>37</v>
      </c>
    </row>
    <row r="972" spans="1:2" x14ac:dyDescent="0.25">
      <c r="A972">
        <v>11624828</v>
      </c>
      <c r="B972" t="s">
        <v>37</v>
      </c>
    </row>
    <row r="973" spans="1:2" x14ac:dyDescent="0.25">
      <c r="A973">
        <v>11640357</v>
      </c>
      <c r="B973" t="s">
        <v>37</v>
      </c>
    </row>
    <row r="974" spans="1:2" x14ac:dyDescent="0.25">
      <c r="A974">
        <v>12018248</v>
      </c>
      <c r="B974" t="s">
        <v>37</v>
      </c>
    </row>
    <row r="975" spans="1:2" x14ac:dyDescent="0.25">
      <c r="A975">
        <v>11664759</v>
      </c>
      <c r="B975" t="s">
        <v>37</v>
      </c>
    </row>
    <row r="976" spans="1:2" x14ac:dyDescent="0.25">
      <c r="A976">
        <v>11633138</v>
      </c>
      <c r="B976" t="s">
        <v>40</v>
      </c>
    </row>
    <row r="977" spans="1:2" x14ac:dyDescent="0.25">
      <c r="A977">
        <v>11425589</v>
      </c>
      <c r="B977" t="s">
        <v>40</v>
      </c>
    </row>
    <row r="978" spans="1:2" x14ac:dyDescent="0.25">
      <c r="A978">
        <v>11110876</v>
      </c>
      <c r="B978" t="s">
        <v>40</v>
      </c>
    </row>
    <row r="979" spans="1:2" x14ac:dyDescent="0.25">
      <c r="A979">
        <v>11416642</v>
      </c>
      <c r="B979" t="s">
        <v>40</v>
      </c>
    </row>
    <row r="980" spans="1:2" x14ac:dyDescent="0.25">
      <c r="A980">
        <v>11416887</v>
      </c>
      <c r="B980" t="s">
        <v>40</v>
      </c>
    </row>
    <row r="981" spans="1:2" x14ac:dyDescent="0.25">
      <c r="A981">
        <v>11707246</v>
      </c>
      <c r="B981" t="s">
        <v>37</v>
      </c>
    </row>
    <row r="982" spans="1:2" x14ac:dyDescent="0.25">
      <c r="A982">
        <v>11290835</v>
      </c>
      <c r="B982" t="s">
        <v>37</v>
      </c>
    </row>
    <row r="983" spans="1:2" x14ac:dyDescent="0.25">
      <c r="A983">
        <v>11348116</v>
      </c>
      <c r="B983" t="s">
        <v>37</v>
      </c>
    </row>
    <row r="984" spans="1:2" x14ac:dyDescent="0.25">
      <c r="A984">
        <v>11876309</v>
      </c>
      <c r="B984" t="s">
        <v>37</v>
      </c>
    </row>
    <row r="985" spans="1:2" x14ac:dyDescent="0.25">
      <c r="A985">
        <v>11362338</v>
      </c>
      <c r="B985" t="s">
        <v>37</v>
      </c>
    </row>
    <row r="986" spans="1:2" x14ac:dyDescent="0.25">
      <c r="A986">
        <v>11362514</v>
      </c>
      <c r="B986" t="s">
        <v>37</v>
      </c>
    </row>
    <row r="987" spans="1:2" x14ac:dyDescent="0.25">
      <c r="A987">
        <v>11387699</v>
      </c>
      <c r="B987" t="s">
        <v>37</v>
      </c>
    </row>
    <row r="988" spans="1:2" x14ac:dyDescent="0.25">
      <c r="A988">
        <v>11371674</v>
      </c>
      <c r="B988" t="s">
        <v>37</v>
      </c>
    </row>
    <row r="989" spans="1:2" x14ac:dyDescent="0.25">
      <c r="A989">
        <v>11376681</v>
      </c>
      <c r="B989" t="s">
        <v>37</v>
      </c>
    </row>
    <row r="990" spans="1:2" x14ac:dyDescent="0.25">
      <c r="A990">
        <v>11400629</v>
      </c>
      <c r="B990" t="s">
        <v>37</v>
      </c>
    </row>
    <row r="991" spans="1:2" x14ac:dyDescent="0.25">
      <c r="A991">
        <v>11442364</v>
      </c>
      <c r="B991" t="s">
        <v>37</v>
      </c>
    </row>
    <row r="992" spans="1:2" x14ac:dyDescent="0.25">
      <c r="A992">
        <v>11440195</v>
      </c>
      <c r="B992" t="s">
        <v>37</v>
      </c>
    </row>
    <row r="993" spans="1:2" x14ac:dyDescent="0.25">
      <c r="A993">
        <v>11435335</v>
      </c>
      <c r="B993" t="s">
        <v>37</v>
      </c>
    </row>
    <row r="994" spans="1:2" x14ac:dyDescent="0.25">
      <c r="A994">
        <v>11407907</v>
      </c>
      <c r="B994" t="s">
        <v>37</v>
      </c>
    </row>
    <row r="995" spans="1:2" x14ac:dyDescent="0.25">
      <c r="A995">
        <v>11409021</v>
      </c>
      <c r="B995" t="s">
        <v>37</v>
      </c>
    </row>
    <row r="996" spans="1:2" x14ac:dyDescent="0.25">
      <c r="A996">
        <v>11407130</v>
      </c>
      <c r="B996" t="s">
        <v>37</v>
      </c>
    </row>
    <row r="997" spans="1:2" x14ac:dyDescent="0.25">
      <c r="A997">
        <v>11559065</v>
      </c>
      <c r="B997" t="s">
        <v>37</v>
      </c>
    </row>
    <row r="998" spans="1:2" x14ac:dyDescent="0.25">
      <c r="A998">
        <v>11558061</v>
      </c>
      <c r="B998" t="s">
        <v>37</v>
      </c>
    </row>
    <row r="999" spans="1:2" x14ac:dyDescent="0.25">
      <c r="A999">
        <v>11639160</v>
      </c>
      <c r="B999" t="s">
        <v>37</v>
      </c>
    </row>
    <row r="1000" spans="1:2" x14ac:dyDescent="0.25">
      <c r="A1000">
        <v>11834524</v>
      </c>
      <c r="B1000" t="s">
        <v>37</v>
      </c>
    </row>
    <row r="1001" spans="1:2" x14ac:dyDescent="0.25">
      <c r="A1001">
        <v>11028847</v>
      </c>
      <c r="B1001" t="s">
        <v>37</v>
      </c>
    </row>
    <row r="1002" spans="1:2" x14ac:dyDescent="0.25">
      <c r="A1002">
        <v>11454466</v>
      </c>
      <c r="B1002" t="s">
        <v>37</v>
      </c>
    </row>
    <row r="1003" spans="1:2" x14ac:dyDescent="0.25">
      <c r="A1003">
        <v>11552000</v>
      </c>
      <c r="B1003" t="s">
        <v>37</v>
      </c>
    </row>
    <row r="1004" spans="1:2" x14ac:dyDescent="0.25">
      <c r="A1004">
        <v>11557557</v>
      </c>
      <c r="B1004" t="s">
        <v>37</v>
      </c>
    </row>
    <row r="1005" spans="1:2" x14ac:dyDescent="0.25">
      <c r="A1005">
        <v>11559883</v>
      </c>
      <c r="B1005" t="s">
        <v>37</v>
      </c>
    </row>
    <row r="1006" spans="1:2" x14ac:dyDescent="0.25">
      <c r="A1006">
        <v>11559976</v>
      </c>
      <c r="B1006" t="s">
        <v>37</v>
      </c>
    </row>
    <row r="1007" spans="1:2" x14ac:dyDescent="0.25">
      <c r="A1007">
        <v>11561221</v>
      </c>
      <c r="B1007" t="s">
        <v>37</v>
      </c>
    </row>
    <row r="1008" spans="1:2" x14ac:dyDescent="0.25">
      <c r="A1008">
        <v>11561234</v>
      </c>
      <c r="B1008" t="s">
        <v>37</v>
      </c>
    </row>
    <row r="1009" spans="1:2" x14ac:dyDescent="0.25">
      <c r="A1009">
        <v>11597889</v>
      </c>
      <c r="B1009" t="s">
        <v>37</v>
      </c>
    </row>
    <row r="1010" spans="1:2" x14ac:dyDescent="0.25">
      <c r="A1010">
        <v>11559130</v>
      </c>
      <c r="B1010" t="s">
        <v>37</v>
      </c>
    </row>
    <row r="1011" spans="1:2" x14ac:dyDescent="0.25">
      <c r="A1011">
        <v>11562133</v>
      </c>
      <c r="B1011" t="s">
        <v>37</v>
      </c>
    </row>
    <row r="1012" spans="1:2" x14ac:dyDescent="0.25">
      <c r="A1012">
        <v>11561833</v>
      </c>
      <c r="B1012" t="s">
        <v>37</v>
      </c>
    </row>
    <row r="1013" spans="1:2" x14ac:dyDescent="0.25">
      <c r="A1013">
        <v>11561470</v>
      </c>
      <c r="B1013" t="s">
        <v>37</v>
      </c>
    </row>
    <row r="1014" spans="1:2" x14ac:dyDescent="0.25">
      <c r="A1014">
        <v>11561520</v>
      </c>
      <c r="B1014" t="s">
        <v>37</v>
      </c>
    </row>
    <row r="1015" spans="1:2" x14ac:dyDescent="0.25">
      <c r="A1015">
        <v>11562604</v>
      </c>
      <c r="B1015" t="s">
        <v>37</v>
      </c>
    </row>
    <row r="1016" spans="1:2" x14ac:dyDescent="0.25">
      <c r="A1016">
        <v>11574977</v>
      </c>
      <c r="B1016" t="s">
        <v>37</v>
      </c>
    </row>
    <row r="1017" spans="1:2" x14ac:dyDescent="0.25">
      <c r="A1017">
        <v>11577189</v>
      </c>
      <c r="B1017" t="s">
        <v>37</v>
      </c>
    </row>
    <row r="1018" spans="1:2" x14ac:dyDescent="0.25">
      <c r="A1018">
        <v>11585905</v>
      </c>
      <c r="B1018" t="s">
        <v>37</v>
      </c>
    </row>
    <row r="1019" spans="1:2" x14ac:dyDescent="0.25">
      <c r="A1019">
        <v>11592409</v>
      </c>
      <c r="B1019" t="s">
        <v>37</v>
      </c>
    </row>
    <row r="1020" spans="1:2" x14ac:dyDescent="0.25">
      <c r="A1020">
        <v>11592602</v>
      </c>
      <c r="B1020" t="s">
        <v>37</v>
      </c>
    </row>
    <row r="1021" spans="1:2" x14ac:dyDescent="0.25">
      <c r="A1021">
        <v>11591321</v>
      </c>
      <c r="B1021" t="s">
        <v>37</v>
      </c>
    </row>
    <row r="1022" spans="1:2" x14ac:dyDescent="0.25">
      <c r="A1022">
        <v>11346354</v>
      </c>
      <c r="B1022" t="s">
        <v>37</v>
      </c>
    </row>
    <row r="1023" spans="1:2" x14ac:dyDescent="0.25">
      <c r="A1023">
        <v>10808428</v>
      </c>
      <c r="B1023" t="s">
        <v>37</v>
      </c>
    </row>
    <row r="1024" spans="1:2" x14ac:dyDescent="0.25">
      <c r="A1024">
        <v>11445403</v>
      </c>
      <c r="B1024" t="s">
        <v>37</v>
      </c>
    </row>
    <row r="1025" spans="1:2" x14ac:dyDescent="0.25">
      <c r="A1025">
        <v>11484593</v>
      </c>
      <c r="B1025" t="s">
        <v>37</v>
      </c>
    </row>
    <row r="1026" spans="1:2" x14ac:dyDescent="0.25">
      <c r="A1026">
        <v>11483930</v>
      </c>
      <c r="B1026" t="s">
        <v>37</v>
      </c>
    </row>
    <row r="1027" spans="1:2" x14ac:dyDescent="0.25">
      <c r="A1027">
        <v>11350395</v>
      </c>
      <c r="B1027" t="s">
        <v>37</v>
      </c>
    </row>
    <row r="1028" spans="1:2" x14ac:dyDescent="0.25">
      <c r="A1028">
        <v>11627287</v>
      </c>
      <c r="B1028" t="s">
        <v>37</v>
      </c>
    </row>
    <row r="1029" spans="1:2" x14ac:dyDescent="0.25">
      <c r="A1029">
        <v>11616011</v>
      </c>
      <c r="B1029" t="s">
        <v>37</v>
      </c>
    </row>
    <row r="1030" spans="1:2" x14ac:dyDescent="0.25">
      <c r="A1030">
        <v>11616419</v>
      </c>
      <c r="B1030" t="s">
        <v>37</v>
      </c>
    </row>
    <row r="1031" spans="1:2" x14ac:dyDescent="0.25">
      <c r="A1031">
        <v>11543242</v>
      </c>
      <c r="B1031" t="s">
        <v>37</v>
      </c>
    </row>
    <row r="1032" spans="1:2" x14ac:dyDescent="0.25">
      <c r="A1032">
        <v>11632226</v>
      </c>
      <c r="B1032" t="s">
        <v>37</v>
      </c>
    </row>
    <row r="1033" spans="1:2" x14ac:dyDescent="0.25">
      <c r="A1033">
        <v>11556016</v>
      </c>
      <c r="B1033" t="s">
        <v>37</v>
      </c>
    </row>
    <row r="1034" spans="1:2" x14ac:dyDescent="0.25">
      <c r="A1034">
        <v>11557330</v>
      </c>
      <c r="B1034" t="s">
        <v>37</v>
      </c>
    </row>
    <row r="1035" spans="1:2" x14ac:dyDescent="0.25">
      <c r="A1035">
        <v>11543702</v>
      </c>
      <c r="B1035" t="s">
        <v>37</v>
      </c>
    </row>
    <row r="1036" spans="1:2" x14ac:dyDescent="0.25">
      <c r="A1036">
        <v>11583680</v>
      </c>
      <c r="B1036" t="s">
        <v>37</v>
      </c>
    </row>
    <row r="1037" spans="1:2" x14ac:dyDescent="0.25">
      <c r="A1037">
        <v>11599721</v>
      </c>
      <c r="B1037" t="s">
        <v>37</v>
      </c>
    </row>
    <row r="1038" spans="1:2" x14ac:dyDescent="0.25">
      <c r="A1038">
        <v>11644585</v>
      </c>
      <c r="B1038" t="s">
        <v>37</v>
      </c>
    </row>
    <row r="1039" spans="1:2" x14ac:dyDescent="0.25">
      <c r="A1039">
        <v>11877247</v>
      </c>
      <c r="B1039" t="s">
        <v>37</v>
      </c>
    </row>
    <row r="1040" spans="1:2" x14ac:dyDescent="0.25">
      <c r="A1040">
        <v>11817113</v>
      </c>
      <c r="B1040" t="s">
        <v>37</v>
      </c>
    </row>
    <row r="1041" spans="1:2" x14ac:dyDescent="0.25">
      <c r="A1041">
        <v>11837963</v>
      </c>
      <c r="B1041" t="s">
        <v>37</v>
      </c>
    </row>
    <row r="1042" spans="1:2" x14ac:dyDescent="0.25">
      <c r="A1042">
        <v>11709596</v>
      </c>
      <c r="B1042" t="s">
        <v>40</v>
      </c>
    </row>
    <row r="1043" spans="1:2" x14ac:dyDescent="0.25">
      <c r="A1043">
        <v>11856720</v>
      </c>
      <c r="B1043" t="s">
        <v>40</v>
      </c>
    </row>
    <row r="1044" spans="1:2" x14ac:dyDescent="0.25">
      <c r="A1044">
        <v>11857826</v>
      </c>
      <c r="B1044" t="s">
        <v>40</v>
      </c>
    </row>
    <row r="1045" spans="1:2" x14ac:dyDescent="0.25">
      <c r="A1045">
        <v>11592678</v>
      </c>
      <c r="B1045" t="s">
        <v>40</v>
      </c>
    </row>
    <row r="1046" spans="1:2" x14ac:dyDescent="0.25">
      <c r="A1046">
        <v>11454080</v>
      </c>
      <c r="B1046" t="s">
        <v>40</v>
      </c>
    </row>
    <row r="1047" spans="1:2" x14ac:dyDescent="0.25">
      <c r="A1047">
        <v>11376455</v>
      </c>
      <c r="B1047" t="s">
        <v>40</v>
      </c>
    </row>
    <row r="1048" spans="1:2" x14ac:dyDescent="0.25">
      <c r="A1048">
        <v>11347934</v>
      </c>
      <c r="B1048" t="s">
        <v>40</v>
      </c>
    </row>
    <row r="1049" spans="1:2" x14ac:dyDescent="0.25">
      <c r="A1049">
        <v>11358173</v>
      </c>
      <c r="B1049" t="s">
        <v>40</v>
      </c>
    </row>
    <row r="1050" spans="1:2" x14ac:dyDescent="0.25">
      <c r="A1050">
        <v>11358673</v>
      </c>
      <c r="B1050" t="s">
        <v>40</v>
      </c>
    </row>
    <row r="1051" spans="1:2" x14ac:dyDescent="0.25">
      <c r="A1051">
        <v>11706401</v>
      </c>
      <c r="B1051" t="s">
        <v>40</v>
      </c>
    </row>
    <row r="1052" spans="1:2" x14ac:dyDescent="0.25">
      <c r="A1052">
        <v>11707666</v>
      </c>
      <c r="B1052" t="s">
        <v>40</v>
      </c>
    </row>
    <row r="1053" spans="1:2" x14ac:dyDescent="0.25">
      <c r="A1053">
        <v>11790219</v>
      </c>
      <c r="B1053" t="s">
        <v>40</v>
      </c>
    </row>
    <row r="1054" spans="1:2" x14ac:dyDescent="0.25">
      <c r="A1054">
        <v>11918613</v>
      </c>
      <c r="B1054" t="s">
        <v>40</v>
      </c>
    </row>
    <row r="1055" spans="1:2" x14ac:dyDescent="0.25">
      <c r="A1055">
        <v>11863526</v>
      </c>
      <c r="B1055" t="s">
        <v>40</v>
      </c>
    </row>
    <row r="1056" spans="1:2" x14ac:dyDescent="0.25">
      <c r="A1056">
        <v>12020465</v>
      </c>
      <c r="B1056" t="s">
        <v>40</v>
      </c>
    </row>
    <row r="1057" spans="1:2" x14ac:dyDescent="0.25">
      <c r="A1057">
        <v>11980456</v>
      </c>
      <c r="B1057" t="s">
        <v>40</v>
      </c>
    </row>
    <row r="1058" spans="1:2" x14ac:dyDescent="0.25">
      <c r="A1058">
        <v>11895664</v>
      </c>
      <c r="B1058" t="s">
        <v>40</v>
      </c>
    </row>
    <row r="1059" spans="1:2" x14ac:dyDescent="0.25">
      <c r="A1059">
        <v>11839986</v>
      </c>
      <c r="B1059" t="s">
        <v>40</v>
      </c>
    </row>
    <row r="1060" spans="1:2" x14ac:dyDescent="0.25">
      <c r="A1060">
        <v>11927472</v>
      </c>
      <c r="B1060" t="s">
        <v>40</v>
      </c>
    </row>
    <row r="1061" spans="1:2" x14ac:dyDescent="0.25">
      <c r="A1061">
        <v>10704646</v>
      </c>
      <c r="B1061" t="s">
        <v>40</v>
      </c>
    </row>
    <row r="1062" spans="1:2" x14ac:dyDescent="0.25">
      <c r="A1062">
        <v>11663060</v>
      </c>
      <c r="B1062" t="s">
        <v>40</v>
      </c>
    </row>
    <row r="1063" spans="1:2" x14ac:dyDescent="0.25">
      <c r="A1063">
        <v>11048284</v>
      </c>
      <c r="B1063" t="s">
        <v>40</v>
      </c>
    </row>
    <row r="1064" spans="1:2" x14ac:dyDescent="0.25">
      <c r="A1064">
        <v>10814399</v>
      </c>
      <c r="B1064" t="s">
        <v>40</v>
      </c>
    </row>
    <row r="1065" spans="1:2" x14ac:dyDescent="0.25">
      <c r="A1065">
        <v>10825536</v>
      </c>
      <c r="B1065" t="s">
        <v>40</v>
      </c>
    </row>
    <row r="1066" spans="1:2" x14ac:dyDescent="0.25">
      <c r="A1066">
        <v>10737786</v>
      </c>
      <c r="B1066" t="s">
        <v>40</v>
      </c>
    </row>
    <row r="1067" spans="1:2" x14ac:dyDescent="0.25">
      <c r="A1067">
        <v>10760531</v>
      </c>
      <c r="B1067" t="s">
        <v>40</v>
      </c>
    </row>
    <row r="1068" spans="1:2" x14ac:dyDescent="0.25">
      <c r="A1068">
        <v>11346460</v>
      </c>
      <c r="B1068" t="s">
        <v>40</v>
      </c>
    </row>
    <row r="1069" spans="1:2" x14ac:dyDescent="0.25">
      <c r="A1069">
        <v>11607950</v>
      </c>
      <c r="B1069" t="s">
        <v>40</v>
      </c>
    </row>
    <row r="1070" spans="1:2" x14ac:dyDescent="0.25">
      <c r="A1070">
        <v>11607171</v>
      </c>
      <c r="B1070" t="s">
        <v>40</v>
      </c>
    </row>
    <row r="1071" spans="1:2" x14ac:dyDescent="0.25">
      <c r="A1071">
        <v>11543099</v>
      </c>
      <c r="B1071" t="s">
        <v>40</v>
      </c>
    </row>
    <row r="1072" spans="1:2" x14ac:dyDescent="0.25">
      <c r="A1072">
        <v>11543202</v>
      </c>
      <c r="B1072" t="s">
        <v>40</v>
      </c>
    </row>
    <row r="1073" spans="1:2" x14ac:dyDescent="0.25">
      <c r="A1073">
        <v>11543494</v>
      </c>
      <c r="B1073" t="s">
        <v>40</v>
      </c>
    </row>
    <row r="1074" spans="1:2" x14ac:dyDescent="0.25">
      <c r="A1074">
        <v>11543421</v>
      </c>
      <c r="B1074" t="s">
        <v>40</v>
      </c>
    </row>
    <row r="1075" spans="1:2" x14ac:dyDescent="0.25">
      <c r="A1075">
        <v>11886550</v>
      </c>
      <c r="B1075" t="s">
        <v>40</v>
      </c>
    </row>
    <row r="1076" spans="1:2" x14ac:dyDescent="0.25">
      <c r="A1076">
        <v>11369194</v>
      </c>
      <c r="B1076" t="s">
        <v>40</v>
      </c>
    </row>
    <row r="1077" spans="1:2" x14ac:dyDescent="0.25">
      <c r="A1077">
        <v>11559466</v>
      </c>
      <c r="B1077" t="s">
        <v>40</v>
      </c>
    </row>
    <row r="1078" spans="1:2" x14ac:dyDescent="0.25">
      <c r="A1078">
        <v>11419700</v>
      </c>
      <c r="B1078" t="s">
        <v>40</v>
      </c>
    </row>
    <row r="1079" spans="1:2" x14ac:dyDescent="0.25">
      <c r="A1079">
        <v>11598318</v>
      </c>
      <c r="B1079" t="s">
        <v>40</v>
      </c>
    </row>
    <row r="1080" spans="1:2" x14ac:dyDescent="0.25">
      <c r="A1080">
        <v>11585147</v>
      </c>
      <c r="B1080" t="s">
        <v>40</v>
      </c>
    </row>
    <row r="1081" spans="1:2" x14ac:dyDescent="0.25">
      <c r="A1081">
        <v>11063460</v>
      </c>
      <c r="B1081" t="s">
        <v>40</v>
      </c>
    </row>
    <row r="1082" spans="1:2" x14ac:dyDescent="0.25">
      <c r="A1082">
        <v>11068571</v>
      </c>
      <c r="B1082" t="s">
        <v>40</v>
      </c>
    </row>
    <row r="1083" spans="1:2" x14ac:dyDescent="0.25">
      <c r="A1083">
        <v>10911551</v>
      </c>
      <c r="B1083" t="s">
        <v>40</v>
      </c>
    </row>
    <row r="1084" spans="1:2" x14ac:dyDescent="0.25">
      <c r="A1084">
        <v>10703809</v>
      </c>
      <c r="B1084" t="s">
        <v>40</v>
      </c>
    </row>
    <row r="1085" spans="1:2" x14ac:dyDescent="0.25">
      <c r="A1085">
        <v>11386976</v>
      </c>
      <c r="B1085" t="s">
        <v>40</v>
      </c>
    </row>
    <row r="1086" spans="1:2" x14ac:dyDescent="0.25">
      <c r="A1086">
        <v>11418511</v>
      </c>
      <c r="B1086" t="s">
        <v>40</v>
      </c>
    </row>
    <row r="1087" spans="1:2" x14ac:dyDescent="0.25">
      <c r="A1087">
        <v>11419237</v>
      </c>
      <c r="B1087" t="s">
        <v>40</v>
      </c>
    </row>
    <row r="1088" spans="1:2" x14ac:dyDescent="0.25">
      <c r="A1088">
        <v>11427900</v>
      </c>
      <c r="B1088" t="s">
        <v>40</v>
      </c>
    </row>
    <row r="1089" spans="1:2" x14ac:dyDescent="0.25">
      <c r="A1089">
        <v>11374073</v>
      </c>
      <c r="B1089" t="s">
        <v>40</v>
      </c>
    </row>
    <row r="1090" spans="1:2" x14ac:dyDescent="0.25">
      <c r="A1090">
        <v>11814984</v>
      </c>
      <c r="B1090" t="s">
        <v>40</v>
      </c>
    </row>
    <row r="1091" spans="1:2" x14ac:dyDescent="0.25">
      <c r="A1091">
        <v>11451801</v>
      </c>
      <c r="B1091" t="s">
        <v>40</v>
      </c>
    </row>
    <row r="1092" spans="1:2" x14ac:dyDescent="0.25">
      <c r="A1092">
        <v>11462993</v>
      </c>
      <c r="B1092" t="s">
        <v>40</v>
      </c>
    </row>
    <row r="1093" spans="1:2" x14ac:dyDescent="0.25">
      <c r="A1093">
        <v>11332040</v>
      </c>
      <c r="B1093" t="s">
        <v>40</v>
      </c>
    </row>
    <row r="1094" spans="1:2" x14ac:dyDescent="0.25">
      <c r="A1094">
        <v>11346358</v>
      </c>
      <c r="B1094" t="s">
        <v>40</v>
      </c>
    </row>
    <row r="1095" spans="1:2" x14ac:dyDescent="0.25">
      <c r="A1095">
        <v>11344207</v>
      </c>
      <c r="B1095" t="s">
        <v>40</v>
      </c>
    </row>
    <row r="1096" spans="1:2" x14ac:dyDescent="0.25">
      <c r="A1096">
        <v>11344215</v>
      </c>
      <c r="B1096" t="s">
        <v>40</v>
      </c>
    </row>
    <row r="1097" spans="1:2" x14ac:dyDescent="0.25">
      <c r="A1097">
        <v>11586072</v>
      </c>
      <c r="B1097" t="s">
        <v>40</v>
      </c>
    </row>
    <row r="1098" spans="1:2" x14ac:dyDescent="0.25">
      <c r="A1098">
        <v>11577508</v>
      </c>
      <c r="B1098" t="s">
        <v>40</v>
      </c>
    </row>
    <row r="1099" spans="1:2" x14ac:dyDescent="0.25">
      <c r="A1099">
        <v>11581437</v>
      </c>
      <c r="B1099" t="s">
        <v>40</v>
      </c>
    </row>
    <row r="1100" spans="1:2" x14ac:dyDescent="0.25">
      <c r="A1100">
        <v>11577831</v>
      </c>
      <c r="B1100" t="s">
        <v>40</v>
      </c>
    </row>
    <row r="1101" spans="1:2" x14ac:dyDescent="0.25">
      <c r="A1101">
        <v>11566267</v>
      </c>
      <c r="B1101" t="s">
        <v>40</v>
      </c>
    </row>
    <row r="1102" spans="1:2" x14ac:dyDescent="0.25">
      <c r="A1102">
        <v>11561652</v>
      </c>
      <c r="B1102" t="s">
        <v>40</v>
      </c>
    </row>
    <row r="1103" spans="1:2" x14ac:dyDescent="0.25">
      <c r="A1103">
        <v>11561430</v>
      </c>
      <c r="B1103" t="s">
        <v>40</v>
      </c>
    </row>
    <row r="1104" spans="1:2" x14ac:dyDescent="0.25">
      <c r="A1104">
        <v>11561436</v>
      </c>
      <c r="B1104" t="s">
        <v>40</v>
      </c>
    </row>
    <row r="1105" spans="1:2" x14ac:dyDescent="0.25">
      <c r="A1105">
        <v>11560014</v>
      </c>
      <c r="B1105" t="s">
        <v>40</v>
      </c>
    </row>
    <row r="1106" spans="1:2" x14ac:dyDescent="0.25">
      <c r="A1106">
        <v>11560375</v>
      </c>
      <c r="B1106" t="s">
        <v>40</v>
      </c>
    </row>
    <row r="1107" spans="1:2" x14ac:dyDescent="0.25">
      <c r="A1107">
        <v>11560431</v>
      </c>
      <c r="B1107" t="s">
        <v>40</v>
      </c>
    </row>
    <row r="1108" spans="1:2" x14ac:dyDescent="0.25">
      <c r="A1108">
        <v>11560540</v>
      </c>
      <c r="B1108" t="s">
        <v>40</v>
      </c>
    </row>
    <row r="1109" spans="1:2" x14ac:dyDescent="0.25">
      <c r="A1109">
        <v>11560855</v>
      </c>
      <c r="B1109" t="s">
        <v>40</v>
      </c>
    </row>
    <row r="1110" spans="1:2" x14ac:dyDescent="0.25">
      <c r="A1110">
        <v>11560887</v>
      </c>
      <c r="B1110" t="s">
        <v>40</v>
      </c>
    </row>
    <row r="1111" spans="1:2" x14ac:dyDescent="0.25">
      <c r="A1111">
        <v>11560948</v>
      </c>
      <c r="B1111" t="s">
        <v>40</v>
      </c>
    </row>
    <row r="1112" spans="1:2" x14ac:dyDescent="0.25">
      <c r="A1112">
        <v>11558264</v>
      </c>
      <c r="B1112" t="s">
        <v>40</v>
      </c>
    </row>
    <row r="1113" spans="1:2" x14ac:dyDescent="0.25">
      <c r="A1113">
        <v>11803128</v>
      </c>
      <c r="B1113" t="s">
        <v>37</v>
      </c>
    </row>
    <row r="1114" spans="1:2" x14ac:dyDescent="0.25">
      <c r="A1114">
        <v>11593092</v>
      </c>
      <c r="B1114" t="s">
        <v>40</v>
      </c>
    </row>
    <row r="1115" spans="1:2" x14ac:dyDescent="0.25">
      <c r="A1115">
        <v>11632263</v>
      </c>
      <c r="B1115" t="s">
        <v>40</v>
      </c>
    </row>
    <row r="1116" spans="1:2" x14ac:dyDescent="0.25">
      <c r="A1116">
        <v>11866255</v>
      </c>
      <c r="B1116" t="s">
        <v>36</v>
      </c>
    </row>
    <row r="1117" spans="1:2" x14ac:dyDescent="0.25">
      <c r="A1117">
        <v>11839645</v>
      </c>
      <c r="B1117" t="s">
        <v>36</v>
      </c>
    </row>
    <row r="1118" spans="1:2" x14ac:dyDescent="0.25">
      <c r="A1118">
        <v>11842675</v>
      </c>
      <c r="B1118" t="s">
        <v>36</v>
      </c>
    </row>
    <row r="1119" spans="1:2" x14ac:dyDescent="0.25">
      <c r="A1119">
        <v>10870803</v>
      </c>
      <c r="B1119" t="s">
        <v>36</v>
      </c>
    </row>
    <row r="1120" spans="1:2" x14ac:dyDescent="0.25">
      <c r="A1120">
        <v>10866771</v>
      </c>
      <c r="B1120" t="s">
        <v>36</v>
      </c>
    </row>
    <row r="1121" spans="1:2" x14ac:dyDescent="0.25">
      <c r="A1121">
        <v>10902298</v>
      </c>
      <c r="B1121" t="s">
        <v>36</v>
      </c>
    </row>
    <row r="1122" spans="1:2" x14ac:dyDescent="0.25">
      <c r="A1122">
        <v>10892640</v>
      </c>
      <c r="B1122" t="s">
        <v>36</v>
      </c>
    </row>
    <row r="1123" spans="1:2" x14ac:dyDescent="0.25">
      <c r="A1123">
        <v>10808074</v>
      </c>
      <c r="B1123" t="s">
        <v>36</v>
      </c>
    </row>
    <row r="1124" spans="1:2" x14ac:dyDescent="0.25">
      <c r="A1124">
        <v>11038369</v>
      </c>
      <c r="B1124" t="s">
        <v>36</v>
      </c>
    </row>
    <row r="1125" spans="1:2" x14ac:dyDescent="0.25">
      <c r="A1125">
        <v>10714452</v>
      </c>
      <c r="B1125" t="s">
        <v>36</v>
      </c>
    </row>
    <row r="1126" spans="1:2" x14ac:dyDescent="0.25">
      <c r="A1126">
        <v>10674677</v>
      </c>
      <c r="B1126" t="s">
        <v>36</v>
      </c>
    </row>
    <row r="1127" spans="1:2" x14ac:dyDescent="0.25">
      <c r="A1127">
        <v>11063443</v>
      </c>
      <c r="B1127" t="s">
        <v>36</v>
      </c>
    </row>
    <row r="1128" spans="1:2" x14ac:dyDescent="0.25">
      <c r="A1128">
        <v>11589508</v>
      </c>
      <c r="B1128" t="s">
        <v>36</v>
      </c>
    </row>
    <row r="1129" spans="1:2" x14ac:dyDescent="0.25">
      <c r="A1129">
        <v>11714379</v>
      </c>
      <c r="B1129" t="s">
        <v>36</v>
      </c>
    </row>
    <row r="1130" spans="1:2" x14ac:dyDescent="0.25">
      <c r="A1130">
        <v>11055708</v>
      </c>
      <c r="B1130" t="s">
        <v>36</v>
      </c>
    </row>
    <row r="1131" spans="1:2" x14ac:dyDescent="0.25">
      <c r="A1131">
        <v>10980020</v>
      </c>
      <c r="B1131" t="s">
        <v>36</v>
      </c>
    </row>
    <row r="1132" spans="1:2" x14ac:dyDescent="0.25">
      <c r="A1132">
        <v>11423451</v>
      </c>
      <c r="B1132" t="s">
        <v>36</v>
      </c>
    </row>
    <row r="1133" spans="1:2" x14ac:dyDescent="0.25">
      <c r="A1133">
        <v>11407769</v>
      </c>
      <c r="B1133" t="s">
        <v>36</v>
      </c>
    </row>
    <row r="1134" spans="1:2" x14ac:dyDescent="0.25">
      <c r="A1134">
        <v>11397158</v>
      </c>
      <c r="B1134" t="s">
        <v>36</v>
      </c>
    </row>
    <row r="1135" spans="1:2" x14ac:dyDescent="0.25">
      <c r="A1135">
        <v>11380905</v>
      </c>
      <c r="B1135" t="s">
        <v>36</v>
      </c>
    </row>
    <row r="1136" spans="1:2" x14ac:dyDescent="0.25">
      <c r="A1136">
        <v>11317324</v>
      </c>
      <c r="B1136" t="s">
        <v>36</v>
      </c>
    </row>
    <row r="1137" spans="1:2" x14ac:dyDescent="0.25">
      <c r="A1137">
        <v>11548967</v>
      </c>
      <c r="B1137" t="s">
        <v>36</v>
      </c>
    </row>
    <row r="1138" spans="1:2" x14ac:dyDescent="0.25">
      <c r="A1138">
        <v>10919516</v>
      </c>
      <c r="B1138" t="s">
        <v>40</v>
      </c>
    </row>
    <row r="1139" spans="1:2" x14ac:dyDescent="0.25">
      <c r="A1139">
        <v>11406938</v>
      </c>
      <c r="B1139" t="s">
        <v>40</v>
      </c>
    </row>
    <row r="1140" spans="1:2" x14ac:dyDescent="0.25">
      <c r="A1140">
        <v>10666026</v>
      </c>
      <c r="B1140" t="s">
        <v>40</v>
      </c>
    </row>
    <row r="1141" spans="1:2" x14ac:dyDescent="0.25">
      <c r="A1141">
        <v>10666094</v>
      </c>
      <c r="B1141" t="s">
        <v>40</v>
      </c>
    </row>
    <row r="1142" spans="1:2" x14ac:dyDescent="0.25">
      <c r="A1142">
        <v>10761673</v>
      </c>
      <c r="B1142" t="s">
        <v>40</v>
      </c>
    </row>
    <row r="1143" spans="1:2" x14ac:dyDescent="0.25">
      <c r="A1143">
        <v>11370962</v>
      </c>
      <c r="B1143" t="s">
        <v>40</v>
      </c>
    </row>
    <row r="1144" spans="1:2" x14ac:dyDescent="0.25">
      <c r="A1144">
        <v>11364557</v>
      </c>
      <c r="B1144" t="s">
        <v>40</v>
      </c>
    </row>
    <row r="1145" spans="1:2" x14ac:dyDescent="0.25">
      <c r="A1145">
        <v>11365608</v>
      </c>
      <c r="B1145" t="s">
        <v>40</v>
      </c>
    </row>
    <row r="1146" spans="1:2" x14ac:dyDescent="0.25">
      <c r="A1146">
        <v>11372285</v>
      </c>
      <c r="B1146" t="s">
        <v>40</v>
      </c>
    </row>
    <row r="1147" spans="1:2" x14ac:dyDescent="0.25">
      <c r="A1147">
        <v>11966001</v>
      </c>
      <c r="B1147" t="s">
        <v>40</v>
      </c>
    </row>
    <row r="1148" spans="1:2" x14ac:dyDescent="0.25">
      <c r="A1148">
        <v>11602385</v>
      </c>
      <c r="B1148" t="s">
        <v>40</v>
      </c>
    </row>
    <row r="1149" spans="1:2" x14ac:dyDescent="0.25">
      <c r="A1149">
        <v>11631665</v>
      </c>
      <c r="B1149" t="s">
        <v>40</v>
      </c>
    </row>
    <row r="1150" spans="1:2" x14ac:dyDescent="0.25">
      <c r="A1150">
        <v>11634432</v>
      </c>
      <c r="B1150" t="s">
        <v>40</v>
      </c>
    </row>
    <row r="1151" spans="1:2" x14ac:dyDescent="0.25">
      <c r="A1151">
        <v>11584967</v>
      </c>
      <c r="B1151" t="s">
        <v>40</v>
      </c>
    </row>
    <row r="1152" spans="1:2" x14ac:dyDescent="0.25">
      <c r="A1152">
        <v>11532929</v>
      </c>
      <c r="B1152" t="s">
        <v>40</v>
      </c>
    </row>
    <row r="1153" spans="1:2" x14ac:dyDescent="0.25">
      <c r="A1153">
        <v>11371194</v>
      </c>
      <c r="B1153" t="s">
        <v>40</v>
      </c>
    </row>
    <row r="1154" spans="1:2" x14ac:dyDescent="0.25">
      <c r="A1154">
        <v>11374054</v>
      </c>
      <c r="B1154" t="s">
        <v>40</v>
      </c>
    </row>
    <row r="1155" spans="1:2" x14ac:dyDescent="0.25">
      <c r="A1155">
        <v>11280510</v>
      </c>
      <c r="B1155" t="s">
        <v>40</v>
      </c>
    </row>
    <row r="1156" spans="1:2" x14ac:dyDescent="0.25">
      <c r="A1156">
        <v>11266691</v>
      </c>
      <c r="B1156" t="s">
        <v>40</v>
      </c>
    </row>
    <row r="1157" spans="1:2" x14ac:dyDescent="0.25">
      <c r="A1157">
        <v>10781923</v>
      </c>
      <c r="B1157" t="s">
        <v>36</v>
      </c>
    </row>
    <row r="1158" spans="1:2" x14ac:dyDescent="0.25">
      <c r="A1158">
        <v>10802554</v>
      </c>
      <c r="B1158" t="s">
        <v>36</v>
      </c>
    </row>
    <row r="1159" spans="1:2" x14ac:dyDescent="0.25">
      <c r="A1159">
        <v>10860208</v>
      </c>
      <c r="B1159" t="s">
        <v>36</v>
      </c>
    </row>
    <row r="1160" spans="1:2" x14ac:dyDescent="0.25">
      <c r="A1160">
        <v>10868752</v>
      </c>
      <c r="B1160" t="s">
        <v>36</v>
      </c>
    </row>
    <row r="1161" spans="1:2" x14ac:dyDescent="0.25">
      <c r="A1161">
        <v>10929665</v>
      </c>
      <c r="B1161" t="s">
        <v>40</v>
      </c>
    </row>
    <row r="1162" spans="1:2" x14ac:dyDescent="0.25">
      <c r="A1162">
        <v>10714150</v>
      </c>
      <c r="B1162" t="s">
        <v>40</v>
      </c>
    </row>
    <row r="1163" spans="1:2" x14ac:dyDescent="0.25">
      <c r="A1163">
        <v>10680002</v>
      </c>
      <c r="B1163" t="s">
        <v>40</v>
      </c>
    </row>
    <row r="1164" spans="1:2" x14ac:dyDescent="0.25">
      <c r="A1164">
        <v>10680115</v>
      </c>
      <c r="B1164" t="s">
        <v>40</v>
      </c>
    </row>
    <row r="1165" spans="1:2" x14ac:dyDescent="0.25">
      <c r="A1165">
        <v>11863999</v>
      </c>
      <c r="B1165" t="s">
        <v>40</v>
      </c>
    </row>
    <row r="1166" spans="1:2" x14ac:dyDescent="0.25">
      <c r="A1166">
        <v>11876754</v>
      </c>
      <c r="B1166" t="s">
        <v>40</v>
      </c>
    </row>
    <row r="1167" spans="1:2" x14ac:dyDescent="0.25">
      <c r="A1167">
        <v>11386795</v>
      </c>
      <c r="B1167" t="s">
        <v>40</v>
      </c>
    </row>
    <row r="1168" spans="1:2" x14ac:dyDescent="0.25">
      <c r="A1168">
        <v>11523849</v>
      </c>
      <c r="B1168" t="s">
        <v>40</v>
      </c>
    </row>
    <row r="1169" spans="1:2" x14ac:dyDescent="0.25">
      <c r="A1169">
        <v>11450806</v>
      </c>
      <c r="B1169" t="s">
        <v>40</v>
      </c>
    </row>
    <row r="1170" spans="1:2" x14ac:dyDescent="0.25">
      <c r="A1170">
        <v>11001197</v>
      </c>
      <c r="B1170" t="s">
        <v>40</v>
      </c>
    </row>
    <row r="1171" spans="1:2" x14ac:dyDescent="0.25">
      <c r="A1171">
        <v>11213616</v>
      </c>
      <c r="B1171" t="s">
        <v>40</v>
      </c>
    </row>
    <row r="1172" spans="1:2" x14ac:dyDescent="0.25">
      <c r="A1172">
        <v>10853754</v>
      </c>
      <c r="B1172" t="s">
        <v>40</v>
      </c>
    </row>
    <row r="1173" spans="1:2" x14ac:dyDescent="0.25">
      <c r="A1173">
        <v>10794410</v>
      </c>
      <c r="B1173" t="s">
        <v>40</v>
      </c>
    </row>
    <row r="1174" spans="1:2" x14ac:dyDescent="0.25">
      <c r="A1174">
        <v>10777788</v>
      </c>
      <c r="B1174" t="s">
        <v>40</v>
      </c>
    </row>
    <row r="1175" spans="1:2" x14ac:dyDescent="0.25">
      <c r="A1175">
        <v>11746277</v>
      </c>
      <c r="B1175" t="s">
        <v>37</v>
      </c>
    </row>
    <row r="1176" spans="1:2" x14ac:dyDescent="0.25">
      <c r="A1176">
        <v>11746703</v>
      </c>
      <c r="B1176" t="s">
        <v>37</v>
      </c>
    </row>
    <row r="1177" spans="1:2" x14ac:dyDescent="0.25">
      <c r="A1177">
        <v>11708222</v>
      </c>
      <c r="B1177" t="s">
        <v>37</v>
      </c>
    </row>
    <row r="1178" spans="1:2" x14ac:dyDescent="0.25">
      <c r="A1178">
        <v>11823878</v>
      </c>
      <c r="B1178" t="s">
        <v>37</v>
      </c>
    </row>
    <row r="1179" spans="1:2" x14ac:dyDescent="0.25">
      <c r="A1179">
        <v>11825217</v>
      </c>
      <c r="B1179" t="s">
        <v>37</v>
      </c>
    </row>
    <row r="1180" spans="1:2" x14ac:dyDescent="0.25">
      <c r="A1180">
        <v>11644925</v>
      </c>
      <c r="B1180" t="s">
        <v>37</v>
      </c>
    </row>
    <row r="1181" spans="1:2" x14ac:dyDescent="0.25">
      <c r="A1181">
        <v>11658815</v>
      </c>
      <c r="B1181" t="s">
        <v>37</v>
      </c>
    </row>
    <row r="1182" spans="1:2" x14ac:dyDescent="0.25">
      <c r="A1182">
        <v>11516321</v>
      </c>
      <c r="B1182" t="s">
        <v>37</v>
      </c>
    </row>
    <row r="1183" spans="1:2" x14ac:dyDescent="0.25">
      <c r="A1183">
        <v>11948603</v>
      </c>
      <c r="B1183" t="s">
        <v>37</v>
      </c>
    </row>
    <row r="1184" spans="1:2" x14ac:dyDescent="0.25">
      <c r="A1184">
        <v>11953784</v>
      </c>
      <c r="B1184" t="s">
        <v>37</v>
      </c>
    </row>
    <row r="1185" spans="1:2" x14ac:dyDescent="0.25">
      <c r="A1185">
        <v>11772314</v>
      </c>
      <c r="B1185" t="s">
        <v>37</v>
      </c>
    </row>
    <row r="1186" spans="1:2" x14ac:dyDescent="0.25">
      <c r="A1186">
        <v>11742873</v>
      </c>
      <c r="B1186" t="s">
        <v>37</v>
      </c>
    </row>
    <row r="1187" spans="1:2" x14ac:dyDescent="0.25">
      <c r="A1187">
        <v>11700307</v>
      </c>
      <c r="B1187" t="s">
        <v>37</v>
      </c>
    </row>
    <row r="1188" spans="1:2" x14ac:dyDescent="0.25">
      <c r="A1188">
        <v>11709120</v>
      </c>
      <c r="B1188" t="s">
        <v>37</v>
      </c>
    </row>
    <row r="1189" spans="1:2" x14ac:dyDescent="0.25">
      <c r="A1189">
        <v>11709795</v>
      </c>
      <c r="B1189" t="s">
        <v>37</v>
      </c>
    </row>
    <row r="1190" spans="1:2" x14ac:dyDescent="0.25">
      <c r="A1190">
        <v>11395137</v>
      </c>
      <c r="B1190" t="s">
        <v>37</v>
      </c>
    </row>
    <row r="1191" spans="1:2" x14ac:dyDescent="0.25">
      <c r="A1191">
        <v>11395185</v>
      </c>
      <c r="B1191" t="s">
        <v>37</v>
      </c>
    </row>
    <row r="1192" spans="1:2" x14ac:dyDescent="0.25">
      <c r="A1192">
        <v>11398767</v>
      </c>
      <c r="B1192" t="s">
        <v>37</v>
      </c>
    </row>
    <row r="1193" spans="1:2" x14ac:dyDescent="0.25">
      <c r="A1193">
        <v>11399132</v>
      </c>
      <c r="B1193" t="s">
        <v>37</v>
      </c>
    </row>
    <row r="1194" spans="1:2" x14ac:dyDescent="0.25">
      <c r="A1194">
        <v>11396122</v>
      </c>
      <c r="B1194" t="s">
        <v>37</v>
      </c>
    </row>
    <row r="1195" spans="1:2" x14ac:dyDescent="0.25">
      <c r="A1195">
        <v>11394238</v>
      </c>
      <c r="B1195" t="s">
        <v>37</v>
      </c>
    </row>
    <row r="1196" spans="1:2" x14ac:dyDescent="0.25">
      <c r="A1196">
        <v>11382898</v>
      </c>
      <c r="B1196" t="s">
        <v>37</v>
      </c>
    </row>
    <row r="1197" spans="1:2" x14ac:dyDescent="0.25">
      <c r="A1197">
        <v>11382846</v>
      </c>
      <c r="B1197" t="s">
        <v>37</v>
      </c>
    </row>
    <row r="1198" spans="1:2" x14ac:dyDescent="0.25">
      <c r="A1198">
        <v>11378858</v>
      </c>
      <c r="B1198" t="s">
        <v>37</v>
      </c>
    </row>
    <row r="1199" spans="1:2" x14ac:dyDescent="0.25">
      <c r="A1199">
        <v>11382113</v>
      </c>
      <c r="B1199" t="s">
        <v>37</v>
      </c>
    </row>
    <row r="1200" spans="1:2" x14ac:dyDescent="0.25">
      <c r="A1200">
        <v>11382242</v>
      </c>
      <c r="B1200" t="s">
        <v>37</v>
      </c>
    </row>
    <row r="1201" spans="1:2" x14ac:dyDescent="0.25">
      <c r="A1201">
        <v>11359909</v>
      </c>
      <c r="B1201" t="s">
        <v>37</v>
      </c>
    </row>
    <row r="1202" spans="1:2" x14ac:dyDescent="0.25">
      <c r="A1202">
        <v>11358113</v>
      </c>
      <c r="B1202" t="s">
        <v>37</v>
      </c>
    </row>
    <row r="1203" spans="1:2" x14ac:dyDescent="0.25">
      <c r="A1203">
        <v>11347949</v>
      </c>
      <c r="B1203" t="s">
        <v>37</v>
      </c>
    </row>
    <row r="1204" spans="1:2" x14ac:dyDescent="0.25">
      <c r="A1204">
        <v>11348439</v>
      </c>
      <c r="B1204" t="s">
        <v>37</v>
      </c>
    </row>
    <row r="1205" spans="1:2" x14ac:dyDescent="0.25">
      <c r="A1205">
        <v>11375162</v>
      </c>
      <c r="B1205" t="s">
        <v>37</v>
      </c>
    </row>
    <row r="1206" spans="1:2" x14ac:dyDescent="0.25">
      <c r="A1206">
        <v>11371200</v>
      </c>
      <c r="B1206" t="s">
        <v>37</v>
      </c>
    </row>
    <row r="1207" spans="1:2" x14ac:dyDescent="0.25">
      <c r="A1207">
        <v>11371220</v>
      </c>
      <c r="B1207" t="s">
        <v>37</v>
      </c>
    </row>
    <row r="1208" spans="1:2" x14ac:dyDescent="0.25">
      <c r="A1208">
        <v>11371133</v>
      </c>
      <c r="B1208" t="s">
        <v>37</v>
      </c>
    </row>
    <row r="1209" spans="1:2" x14ac:dyDescent="0.25">
      <c r="A1209">
        <v>11370871</v>
      </c>
      <c r="B1209" t="s">
        <v>37</v>
      </c>
    </row>
    <row r="1210" spans="1:2" x14ac:dyDescent="0.25">
      <c r="A1210">
        <v>11941024</v>
      </c>
      <c r="B1210" t="s">
        <v>37</v>
      </c>
    </row>
    <row r="1211" spans="1:2" x14ac:dyDescent="0.25">
      <c r="A1211">
        <v>11577236</v>
      </c>
      <c r="B1211" t="s">
        <v>35</v>
      </c>
    </row>
    <row r="1212" spans="1:2" x14ac:dyDescent="0.25">
      <c r="A1212">
        <v>11578205</v>
      </c>
      <c r="B1212" t="s">
        <v>35</v>
      </c>
    </row>
    <row r="1213" spans="1:2" x14ac:dyDescent="0.25">
      <c r="A1213">
        <v>11657292</v>
      </c>
      <c r="B1213" t="s">
        <v>35</v>
      </c>
    </row>
    <row r="1214" spans="1:2" x14ac:dyDescent="0.25">
      <c r="A1214">
        <v>11826426</v>
      </c>
      <c r="B1214" t="s">
        <v>35</v>
      </c>
    </row>
    <row r="1215" spans="1:2" x14ac:dyDescent="0.25">
      <c r="A1215">
        <v>11543455</v>
      </c>
      <c r="B1215" t="s">
        <v>35</v>
      </c>
    </row>
    <row r="1216" spans="1:2" x14ac:dyDescent="0.25">
      <c r="A1216">
        <v>11407479</v>
      </c>
      <c r="B1216" t="s">
        <v>35</v>
      </c>
    </row>
    <row r="1217" spans="1:2" x14ac:dyDescent="0.25">
      <c r="A1217">
        <v>11550494</v>
      </c>
      <c r="B1217" t="s">
        <v>35</v>
      </c>
    </row>
    <row r="1218" spans="1:2" x14ac:dyDescent="0.25">
      <c r="A1218">
        <v>11544084</v>
      </c>
      <c r="B1218" t="s">
        <v>35</v>
      </c>
    </row>
    <row r="1219" spans="1:2" x14ac:dyDescent="0.25">
      <c r="A1219">
        <v>11982710</v>
      </c>
      <c r="B1219" t="s">
        <v>37</v>
      </c>
    </row>
    <row r="1220" spans="1:2" x14ac:dyDescent="0.25">
      <c r="A1220">
        <v>11976488</v>
      </c>
      <c r="B1220" t="s">
        <v>37</v>
      </c>
    </row>
    <row r="1221" spans="1:2" x14ac:dyDescent="0.25">
      <c r="A1221">
        <v>11931087</v>
      </c>
      <c r="B1221" t="s">
        <v>37</v>
      </c>
    </row>
    <row r="1222" spans="1:2" x14ac:dyDescent="0.25">
      <c r="A1222">
        <v>12004346</v>
      </c>
      <c r="B1222" t="s">
        <v>37</v>
      </c>
    </row>
    <row r="1223" spans="1:2" x14ac:dyDescent="0.25">
      <c r="A1223">
        <v>12018137</v>
      </c>
      <c r="B1223" t="s">
        <v>37</v>
      </c>
    </row>
    <row r="1224" spans="1:2" x14ac:dyDescent="0.25">
      <c r="A1224">
        <v>12018983</v>
      </c>
      <c r="B1224" t="s">
        <v>37</v>
      </c>
    </row>
    <row r="1225" spans="1:2" x14ac:dyDescent="0.25">
      <c r="A1225">
        <v>12020431</v>
      </c>
      <c r="B1225" t="s">
        <v>37</v>
      </c>
    </row>
    <row r="1226" spans="1:2" x14ac:dyDescent="0.25">
      <c r="A1226">
        <v>11881041</v>
      </c>
      <c r="B1226" t="s">
        <v>37</v>
      </c>
    </row>
    <row r="1227" spans="1:2" x14ac:dyDescent="0.25">
      <c r="A1227">
        <v>11871687</v>
      </c>
      <c r="B1227" t="s">
        <v>37</v>
      </c>
    </row>
    <row r="1228" spans="1:2" x14ac:dyDescent="0.25">
      <c r="A1228">
        <v>11875334</v>
      </c>
      <c r="B1228" t="s">
        <v>37</v>
      </c>
    </row>
    <row r="1229" spans="1:2" x14ac:dyDescent="0.25">
      <c r="A1229">
        <v>11867063</v>
      </c>
      <c r="B1229" t="s">
        <v>37</v>
      </c>
    </row>
    <row r="1230" spans="1:2" x14ac:dyDescent="0.25">
      <c r="A1230">
        <v>11856564</v>
      </c>
      <c r="B1230" t="s">
        <v>37</v>
      </c>
    </row>
    <row r="1231" spans="1:2" x14ac:dyDescent="0.25">
      <c r="A1231">
        <v>11854163</v>
      </c>
      <c r="B1231" t="s">
        <v>37</v>
      </c>
    </row>
    <row r="1232" spans="1:2" x14ac:dyDescent="0.25">
      <c r="A1232">
        <v>11855844</v>
      </c>
      <c r="B1232" t="s">
        <v>37</v>
      </c>
    </row>
    <row r="1233" spans="1:2" x14ac:dyDescent="0.25">
      <c r="A1233">
        <v>11847974</v>
      </c>
      <c r="B1233" t="s">
        <v>37</v>
      </c>
    </row>
    <row r="1234" spans="1:2" x14ac:dyDescent="0.25">
      <c r="A1234">
        <v>11858379</v>
      </c>
      <c r="B1234" t="s">
        <v>37</v>
      </c>
    </row>
    <row r="1235" spans="1:2" x14ac:dyDescent="0.25">
      <c r="A1235">
        <v>11859733</v>
      </c>
      <c r="B1235" t="s">
        <v>37</v>
      </c>
    </row>
    <row r="1236" spans="1:2" x14ac:dyDescent="0.25">
      <c r="A1236">
        <v>11860061</v>
      </c>
      <c r="B1236" t="s">
        <v>37</v>
      </c>
    </row>
    <row r="1237" spans="1:2" x14ac:dyDescent="0.25">
      <c r="A1237">
        <v>11940984</v>
      </c>
      <c r="B1237" t="s">
        <v>37</v>
      </c>
    </row>
    <row r="1238" spans="1:2" x14ac:dyDescent="0.25">
      <c r="A1238">
        <v>11969014</v>
      </c>
      <c r="B1238" t="s">
        <v>37</v>
      </c>
    </row>
    <row r="1239" spans="1:2" x14ac:dyDescent="0.25">
      <c r="A1239">
        <v>11935021</v>
      </c>
      <c r="B1239" t="s">
        <v>37</v>
      </c>
    </row>
    <row r="1240" spans="1:2" x14ac:dyDescent="0.25">
      <c r="A1240">
        <v>11890485</v>
      </c>
      <c r="B1240" t="s">
        <v>37</v>
      </c>
    </row>
    <row r="1241" spans="1:2" x14ac:dyDescent="0.25">
      <c r="A1241">
        <v>11896728</v>
      </c>
      <c r="B1241" t="s">
        <v>37</v>
      </c>
    </row>
    <row r="1242" spans="1:2" x14ac:dyDescent="0.25">
      <c r="A1242">
        <v>10622111</v>
      </c>
      <c r="B1242" t="s">
        <v>37</v>
      </c>
    </row>
    <row r="1243" spans="1:2" x14ac:dyDescent="0.25">
      <c r="A1243">
        <v>10622978</v>
      </c>
      <c r="B1243" t="s">
        <v>37</v>
      </c>
    </row>
    <row r="1244" spans="1:2" x14ac:dyDescent="0.25">
      <c r="A1244">
        <v>11278889</v>
      </c>
      <c r="B1244" t="s">
        <v>37</v>
      </c>
    </row>
    <row r="1245" spans="1:2" x14ac:dyDescent="0.25">
      <c r="A1245">
        <v>10624293</v>
      </c>
      <c r="B1245" t="s">
        <v>37</v>
      </c>
    </row>
    <row r="1246" spans="1:2" x14ac:dyDescent="0.25">
      <c r="A1246">
        <v>10784165</v>
      </c>
      <c r="B1246" t="s">
        <v>37</v>
      </c>
    </row>
    <row r="1247" spans="1:2" x14ac:dyDescent="0.25">
      <c r="A1247">
        <v>10826344</v>
      </c>
      <c r="B1247" t="s">
        <v>37</v>
      </c>
    </row>
    <row r="1248" spans="1:2" x14ac:dyDescent="0.25">
      <c r="A1248">
        <v>10891671</v>
      </c>
      <c r="B1248" t="s">
        <v>37</v>
      </c>
    </row>
    <row r="1249" spans="1:2" x14ac:dyDescent="0.25">
      <c r="A1249">
        <v>10771717</v>
      </c>
      <c r="B1249" t="s">
        <v>37</v>
      </c>
    </row>
    <row r="1250" spans="1:2" x14ac:dyDescent="0.25">
      <c r="A1250">
        <v>10856961</v>
      </c>
      <c r="B1250" t="s">
        <v>37</v>
      </c>
    </row>
    <row r="1251" spans="1:2" x14ac:dyDescent="0.25">
      <c r="A1251">
        <v>10809399</v>
      </c>
      <c r="B1251" t="s">
        <v>37</v>
      </c>
    </row>
    <row r="1252" spans="1:2" x14ac:dyDescent="0.25">
      <c r="A1252">
        <v>10930570</v>
      </c>
      <c r="B1252" t="s">
        <v>37</v>
      </c>
    </row>
    <row r="1253" spans="1:2" x14ac:dyDescent="0.25">
      <c r="A1253">
        <v>11330058</v>
      </c>
      <c r="B1253" t="s">
        <v>37</v>
      </c>
    </row>
    <row r="1254" spans="1:2" x14ac:dyDescent="0.25">
      <c r="A1254">
        <v>11335476</v>
      </c>
      <c r="B1254" t="s">
        <v>37</v>
      </c>
    </row>
    <row r="1255" spans="1:2" x14ac:dyDescent="0.25">
      <c r="A1255">
        <v>10858064</v>
      </c>
      <c r="B1255" t="s">
        <v>37</v>
      </c>
    </row>
    <row r="1256" spans="1:2" x14ac:dyDescent="0.25">
      <c r="A1256">
        <v>10589068</v>
      </c>
    </row>
    <row r="1257" spans="1:2" x14ac:dyDescent="0.25">
      <c r="A1257">
        <v>10911101</v>
      </c>
      <c r="B1257" t="s">
        <v>37</v>
      </c>
    </row>
    <row r="1258" spans="1:2" x14ac:dyDescent="0.25">
      <c r="A1258">
        <v>10580104</v>
      </c>
      <c r="B1258" t="s">
        <v>41</v>
      </c>
    </row>
    <row r="1259" spans="1:2" x14ac:dyDescent="0.25">
      <c r="A1259">
        <v>10814812</v>
      </c>
      <c r="B1259" t="s">
        <v>41</v>
      </c>
    </row>
    <row r="1260" spans="1:2" x14ac:dyDescent="0.25">
      <c r="A1260">
        <v>11574752</v>
      </c>
      <c r="B1260" t="s">
        <v>41</v>
      </c>
    </row>
    <row r="1261" spans="1:2" x14ac:dyDescent="0.25">
      <c r="A1261">
        <v>11559500</v>
      </c>
      <c r="B1261" t="s">
        <v>41</v>
      </c>
    </row>
    <row r="1262" spans="1:2" x14ac:dyDescent="0.25">
      <c r="A1262">
        <v>10751276</v>
      </c>
      <c r="B1262" t="s">
        <v>41</v>
      </c>
    </row>
    <row r="1263" spans="1:2" x14ac:dyDescent="0.25">
      <c r="A1263">
        <v>10752917</v>
      </c>
      <c r="B1263" t="s">
        <v>41</v>
      </c>
    </row>
    <row r="1264" spans="1:2" x14ac:dyDescent="0.25">
      <c r="A1264">
        <v>10757947</v>
      </c>
      <c r="B1264" t="s">
        <v>41</v>
      </c>
    </row>
    <row r="1265" spans="1:2" x14ac:dyDescent="0.25">
      <c r="A1265">
        <v>10781274</v>
      </c>
      <c r="B1265" t="s">
        <v>41</v>
      </c>
    </row>
    <row r="1266" spans="1:2" x14ac:dyDescent="0.25">
      <c r="A1266">
        <v>10781643</v>
      </c>
      <c r="B1266" t="s">
        <v>41</v>
      </c>
    </row>
    <row r="1267" spans="1:2" x14ac:dyDescent="0.25">
      <c r="A1267">
        <v>10782861</v>
      </c>
      <c r="B1267" t="s">
        <v>41</v>
      </c>
    </row>
    <row r="1268" spans="1:2" x14ac:dyDescent="0.25">
      <c r="A1268">
        <v>10786926</v>
      </c>
      <c r="B1268" t="s">
        <v>41</v>
      </c>
    </row>
    <row r="1269" spans="1:2" x14ac:dyDescent="0.25">
      <c r="A1269">
        <v>10722252</v>
      </c>
      <c r="B1269" t="s">
        <v>41</v>
      </c>
    </row>
    <row r="1270" spans="1:2" x14ac:dyDescent="0.25">
      <c r="A1270">
        <v>10723815</v>
      </c>
      <c r="B1270" t="s">
        <v>41</v>
      </c>
    </row>
    <row r="1271" spans="1:2" x14ac:dyDescent="0.25">
      <c r="A1271">
        <v>10719809</v>
      </c>
      <c r="B1271" t="s">
        <v>41</v>
      </c>
    </row>
    <row r="1272" spans="1:2" x14ac:dyDescent="0.25">
      <c r="A1272">
        <v>12019900</v>
      </c>
      <c r="B1272" t="s">
        <v>41</v>
      </c>
    </row>
    <row r="1273" spans="1:2" x14ac:dyDescent="0.25">
      <c r="A1273">
        <v>11960138</v>
      </c>
      <c r="B1273" t="s">
        <v>41</v>
      </c>
    </row>
    <row r="1274" spans="1:2" x14ac:dyDescent="0.25">
      <c r="A1274">
        <v>10732335</v>
      </c>
      <c r="B1274" t="s">
        <v>41</v>
      </c>
    </row>
    <row r="1275" spans="1:2" x14ac:dyDescent="0.25">
      <c r="A1275">
        <v>10737764</v>
      </c>
      <c r="B1275" t="s">
        <v>41</v>
      </c>
    </row>
    <row r="1276" spans="1:2" x14ac:dyDescent="0.25">
      <c r="A1276">
        <v>10676307</v>
      </c>
      <c r="B1276" t="s">
        <v>41</v>
      </c>
    </row>
    <row r="1277" spans="1:2" x14ac:dyDescent="0.25">
      <c r="A1277">
        <v>10695587</v>
      </c>
      <c r="B1277" t="s">
        <v>41</v>
      </c>
    </row>
    <row r="1278" spans="1:2" x14ac:dyDescent="0.25">
      <c r="A1278">
        <v>10700912</v>
      </c>
      <c r="B1278" t="s">
        <v>41</v>
      </c>
    </row>
    <row r="1279" spans="1:2" x14ac:dyDescent="0.25">
      <c r="A1279">
        <v>10676861</v>
      </c>
      <c r="B1279" t="s">
        <v>41</v>
      </c>
    </row>
    <row r="1280" spans="1:2" x14ac:dyDescent="0.25">
      <c r="A1280">
        <v>10847743</v>
      </c>
      <c r="B1280" t="s">
        <v>41</v>
      </c>
    </row>
    <row r="1281" spans="1:2" x14ac:dyDescent="0.25">
      <c r="A1281">
        <v>10853573</v>
      </c>
      <c r="B1281" t="s">
        <v>41</v>
      </c>
    </row>
    <row r="1282" spans="1:2" x14ac:dyDescent="0.25">
      <c r="A1282">
        <v>10875908</v>
      </c>
      <c r="B1282" t="s">
        <v>41</v>
      </c>
    </row>
    <row r="1283" spans="1:2" x14ac:dyDescent="0.25">
      <c r="A1283">
        <v>10869984</v>
      </c>
      <c r="B1283" t="s">
        <v>41</v>
      </c>
    </row>
    <row r="1284" spans="1:2" x14ac:dyDescent="0.25">
      <c r="A1284">
        <v>10867135</v>
      </c>
      <c r="B1284" t="s">
        <v>41</v>
      </c>
    </row>
    <row r="1285" spans="1:2" x14ac:dyDescent="0.25">
      <c r="A1285">
        <v>10869376</v>
      </c>
      <c r="B1285" t="s">
        <v>41</v>
      </c>
    </row>
    <row r="1286" spans="1:2" x14ac:dyDescent="0.25">
      <c r="A1286">
        <v>10900229</v>
      </c>
      <c r="B1286" t="s">
        <v>41</v>
      </c>
    </row>
    <row r="1287" spans="1:2" x14ac:dyDescent="0.25">
      <c r="A1287">
        <v>10902238</v>
      </c>
      <c r="B1287" t="s">
        <v>41</v>
      </c>
    </row>
    <row r="1288" spans="1:2" x14ac:dyDescent="0.25">
      <c r="A1288">
        <v>10919312</v>
      </c>
      <c r="B1288" t="s">
        <v>41</v>
      </c>
    </row>
    <row r="1289" spans="1:2" x14ac:dyDescent="0.25">
      <c r="A1289">
        <v>10919700</v>
      </c>
      <c r="B1289" t="s">
        <v>41</v>
      </c>
    </row>
    <row r="1290" spans="1:2" x14ac:dyDescent="0.25">
      <c r="A1290">
        <v>10904393</v>
      </c>
      <c r="B1290" t="s">
        <v>41</v>
      </c>
    </row>
    <row r="1291" spans="1:2" x14ac:dyDescent="0.25">
      <c r="A1291">
        <v>10906514</v>
      </c>
      <c r="B1291" t="s">
        <v>41</v>
      </c>
    </row>
    <row r="1292" spans="1:2" x14ac:dyDescent="0.25">
      <c r="A1292">
        <v>10907124</v>
      </c>
      <c r="B1292" t="s">
        <v>41</v>
      </c>
    </row>
    <row r="1293" spans="1:2" x14ac:dyDescent="0.25">
      <c r="A1293">
        <v>10892348</v>
      </c>
      <c r="B1293" t="s">
        <v>41</v>
      </c>
    </row>
    <row r="1294" spans="1:2" x14ac:dyDescent="0.25">
      <c r="A1294">
        <v>10881125</v>
      </c>
      <c r="B1294" t="s">
        <v>41</v>
      </c>
    </row>
    <row r="1295" spans="1:2" x14ac:dyDescent="0.25">
      <c r="A1295">
        <v>10881272</v>
      </c>
      <c r="B1295" t="s">
        <v>41</v>
      </c>
    </row>
    <row r="1296" spans="1:2" x14ac:dyDescent="0.25">
      <c r="A1296">
        <v>10881477</v>
      </c>
      <c r="B1296" t="s">
        <v>41</v>
      </c>
    </row>
    <row r="1297" spans="1:2" x14ac:dyDescent="0.25">
      <c r="A1297">
        <v>10890788</v>
      </c>
      <c r="B1297" t="s">
        <v>41</v>
      </c>
    </row>
    <row r="1298" spans="1:2" x14ac:dyDescent="0.25">
      <c r="A1298">
        <v>10891217</v>
      </c>
      <c r="B1298" t="s">
        <v>41</v>
      </c>
    </row>
    <row r="1299" spans="1:2" x14ac:dyDescent="0.25">
      <c r="A1299">
        <v>10818889</v>
      </c>
      <c r="B1299" t="s">
        <v>41</v>
      </c>
    </row>
    <row r="1300" spans="1:2" x14ac:dyDescent="0.25">
      <c r="A1300">
        <v>10819264</v>
      </c>
      <c r="B1300" t="s">
        <v>41</v>
      </c>
    </row>
    <row r="1301" spans="1:2" x14ac:dyDescent="0.25">
      <c r="A1301">
        <v>10835018</v>
      </c>
      <c r="B1301" t="s">
        <v>41</v>
      </c>
    </row>
    <row r="1302" spans="1:2" x14ac:dyDescent="0.25">
      <c r="A1302">
        <v>10835272</v>
      </c>
      <c r="B1302" t="s">
        <v>41</v>
      </c>
    </row>
    <row r="1303" spans="1:2" x14ac:dyDescent="0.25">
      <c r="A1303">
        <v>10843941</v>
      </c>
      <c r="B1303" t="s">
        <v>41</v>
      </c>
    </row>
    <row r="1304" spans="1:2" x14ac:dyDescent="0.25">
      <c r="A1304">
        <v>10804250</v>
      </c>
      <c r="B1304" t="s">
        <v>41</v>
      </c>
    </row>
    <row r="1305" spans="1:2" x14ac:dyDescent="0.25">
      <c r="A1305">
        <v>11277930</v>
      </c>
      <c r="B1305" t="s">
        <v>41</v>
      </c>
    </row>
    <row r="1306" spans="1:2" x14ac:dyDescent="0.25">
      <c r="A1306">
        <v>11363733</v>
      </c>
      <c r="B1306" t="s">
        <v>41</v>
      </c>
    </row>
    <row r="1307" spans="1:2" x14ac:dyDescent="0.25">
      <c r="A1307">
        <v>11378708</v>
      </c>
      <c r="B1307" t="s">
        <v>41</v>
      </c>
    </row>
    <row r="1308" spans="1:2" x14ac:dyDescent="0.25">
      <c r="A1308">
        <v>11381737</v>
      </c>
      <c r="B1308" t="s">
        <v>41</v>
      </c>
    </row>
    <row r="1309" spans="1:2" x14ac:dyDescent="0.25">
      <c r="A1309">
        <v>11386198</v>
      </c>
      <c r="B1309" t="s">
        <v>41</v>
      </c>
    </row>
    <row r="1310" spans="1:2" x14ac:dyDescent="0.25">
      <c r="A1310">
        <v>11386957</v>
      </c>
      <c r="B1310" t="s">
        <v>41</v>
      </c>
    </row>
    <row r="1311" spans="1:2" x14ac:dyDescent="0.25">
      <c r="A1311">
        <v>11393433</v>
      </c>
      <c r="B1311" t="s">
        <v>41</v>
      </c>
    </row>
    <row r="1312" spans="1:2" x14ac:dyDescent="0.25">
      <c r="A1312">
        <v>11394670</v>
      </c>
      <c r="B1312" t="s">
        <v>41</v>
      </c>
    </row>
    <row r="1313" spans="1:2" x14ac:dyDescent="0.25">
      <c r="A1313">
        <v>11707158</v>
      </c>
      <c r="B1313" t="s">
        <v>41</v>
      </c>
    </row>
    <row r="1314" spans="1:2" x14ac:dyDescent="0.25">
      <c r="A1314">
        <v>11774152</v>
      </c>
      <c r="B1314" t="s">
        <v>41</v>
      </c>
    </row>
    <row r="1315" spans="1:2" x14ac:dyDescent="0.25">
      <c r="A1315">
        <v>11782560</v>
      </c>
      <c r="B1315" t="s">
        <v>41</v>
      </c>
    </row>
    <row r="1316" spans="1:2" x14ac:dyDescent="0.25">
      <c r="A1316">
        <v>11743832</v>
      </c>
      <c r="B1316" t="s">
        <v>41</v>
      </c>
    </row>
    <row r="1317" spans="1:2" x14ac:dyDescent="0.25">
      <c r="A1317">
        <v>11769641</v>
      </c>
      <c r="B1317" t="s">
        <v>41</v>
      </c>
    </row>
    <row r="1318" spans="1:2" x14ac:dyDescent="0.25">
      <c r="A1318">
        <v>11751698</v>
      </c>
      <c r="B1318" t="s">
        <v>41</v>
      </c>
    </row>
    <row r="1319" spans="1:2" x14ac:dyDescent="0.25">
      <c r="A1319">
        <v>11790582</v>
      </c>
      <c r="B1319" t="s">
        <v>41</v>
      </c>
    </row>
    <row r="1320" spans="1:2" x14ac:dyDescent="0.25">
      <c r="A1320">
        <v>11791566</v>
      </c>
      <c r="B1320" t="s">
        <v>41</v>
      </c>
    </row>
    <row r="1321" spans="1:2" x14ac:dyDescent="0.25">
      <c r="A1321">
        <v>11808710</v>
      </c>
      <c r="B1321" t="s">
        <v>41</v>
      </c>
    </row>
    <row r="1322" spans="1:2" x14ac:dyDescent="0.25">
      <c r="A1322">
        <v>11724691</v>
      </c>
      <c r="B1322" t="s">
        <v>41</v>
      </c>
    </row>
    <row r="1323" spans="1:2" x14ac:dyDescent="0.25">
      <c r="A1323">
        <v>11731181</v>
      </c>
      <c r="B1323" t="s">
        <v>41</v>
      </c>
    </row>
    <row r="1324" spans="1:2" x14ac:dyDescent="0.25">
      <c r="A1324">
        <v>11733769</v>
      </c>
      <c r="B1324" t="s">
        <v>41</v>
      </c>
    </row>
    <row r="1325" spans="1:2" x14ac:dyDescent="0.25">
      <c r="A1325">
        <v>11891688</v>
      </c>
      <c r="B1325" t="s">
        <v>41</v>
      </c>
    </row>
    <row r="1326" spans="1:2" x14ac:dyDescent="0.25">
      <c r="A1326">
        <v>11595124</v>
      </c>
      <c r="B1326" t="s">
        <v>41</v>
      </c>
    </row>
    <row r="1327" spans="1:2" x14ac:dyDescent="0.25">
      <c r="A1327">
        <v>11591965</v>
      </c>
      <c r="B1327" t="s">
        <v>41</v>
      </c>
    </row>
    <row r="1328" spans="1:2" x14ac:dyDescent="0.25">
      <c r="A1328">
        <v>11709317</v>
      </c>
      <c r="B1328" t="s">
        <v>41</v>
      </c>
    </row>
    <row r="1329" spans="1:2" x14ac:dyDescent="0.25">
      <c r="A1329">
        <v>11679154</v>
      </c>
      <c r="B1329" t="s">
        <v>41</v>
      </c>
    </row>
    <row r="1330" spans="1:2" x14ac:dyDescent="0.25">
      <c r="A1330">
        <v>11846530</v>
      </c>
      <c r="B1330" t="s">
        <v>41</v>
      </c>
    </row>
    <row r="1331" spans="1:2" x14ac:dyDescent="0.25">
      <c r="A1331">
        <v>11897685</v>
      </c>
      <c r="B1331" t="s">
        <v>41</v>
      </c>
    </row>
    <row r="1332" spans="1:2" x14ac:dyDescent="0.25">
      <c r="A1332">
        <v>11902488</v>
      </c>
      <c r="B1332" t="s">
        <v>41</v>
      </c>
    </row>
    <row r="1333" spans="1:2" x14ac:dyDescent="0.25">
      <c r="A1333">
        <v>11927761</v>
      </c>
      <c r="B1333" t="s">
        <v>41</v>
      </c>
    </row>
    <row r="1334" spans="1:2" x14ac:dyDescent="0.25">
      <c r="A1334">
        <v>11925799</v>
      </c>
      <c r="B1334" t="s">
        <v>41</v>
      </c>
    </row>
    <row r="1335" spans="1:2" x14ac:dyDescent="0.25">
      <c r="A1335">
        <v>11600105</v>
      </c>
      <c r="B1335" t="s">
        <v>41</v>
      </c>
    </row>
    <row r="1336" spans="1:2" x14ac:dyDescent="0.25">
      <c r="A1336">
        <v>11600363</v>
      </c>
      <c r="B1336" t="s">
        <v>41</v>
      </c>
    </row>
    <row r="1337" spans="1:2" x14ac:dyDescent="0.25">
      <c r="A1337">
        <v>11593118</v>
      </c>
      <c r="B1337" t="s">
        <v>41</v>
      </c>
    </row>
    <row r="1338" spans="1:2" x14ac:dyDescent="0.25">
      <c r="A1338">
        <v>11543721</v>
      </c>
      <c r="B1338" t="s">
        <v>41</v>
      </c>
    </row>
    <row r="1339" spans="1:2" x14ac:dyDescent="0.25">
      <c r="A1339">
        <v>11543815</v>
      </c>
      <c r="B1339" t="s">
        <v>41</v>
      </c>
    </row>
    <row r="1340" spans="1:2" x14ac:dyDescent="0.25">
      <c r="A1340">
        <v>11543517</v>
      </c>
      <c r="B1340" t="s">
        <v>41</v>
      </c>
    </row>
    <row r="1341" spans="1:2" x14ac:dyDescent="0.25">
      <c r="A1341">
        <v>11543679</v>
      </c>
      <c r="B1341" t="s">
        <v>41</v>
      </c>
    </row>
    <row r="1342" spans="1:2" x14ac:dyDescent="0.25">
      <c r="A1342">
        <v>11548811</v>
      </c>
      <c r="B1342" t="s">
        <v>41</v>
      </c>
    </row>
    <row r="1343" spans="1:2" x14ac:dyDescent="0.25">
      <c r="A1343">
        <v>11551054</v>
      </c>
      <c r="B1343" t="s">
        <v>41</v>
      </c>
    </row>
    <row r="1344" spans="1:2" x14ac:dyDescent="0.25">
      <c r="A1344">
        <v>11554257</v>
      </c>
      <c r="B1344" t="s">
        <v>41</v>
      </c>
    </row>
    <row r="1345" spans="1:2" x14ac:dyDescent="0.25">
      <c r="A1345">
        <v>11555555</v>
      </c>
      <c r="B1345" t="s">
        <v>41</v>
      </c>
    </row>
    <row r="1346" spans="1:2" x14ac:dyDescent="0.25">
      <c r="A1346">
        <v>11556695</v>
      </c>
      <c r="B1346" t="s">
        <v>41</v>
      </c>
    </row>
    <row r="1347" spans="1:2" x14ac:dyDescent="0.25">
      <c r="A1347">
        <v>11557008</v>
      </c>
      <c r="B1347" t="s">
        <v>41</v>
      </c>
    </row>
    <row r="1348" spans="1:2" x14ac:dyDescent="0.25">
      <c r="A1348">
        <v>11612198</v>
      </c>
      <c r="B1348" t="s">
        <v>41</v>
      </c>
    </row>
    <row r="1349" spans="1:2" x14ac:dyDescent="0.25">
      <c r="A1349">
        <v>11613069</v>
      </c>
      <c r="B1349" t="s">
        <v>41</v>
      </c>
    </row>
    <row r="1350" spans="1:2" x14ac:dyDescent="0.25">
      <c r="A1350">
        <v>11616837</v>
      </c>
      <c r="B1350" t="s">
        <v>41</v>
      </c>
    </row>
    <row r="1351" spans="1:2" x14ac:dyDescent="0.25">
      <c r="A1351">
        <v>11616890</v>
      </c>
      <c r="B1351" t="s">
        <v>41</v>
      </c>
    </row>
    <row r="1352" spans="1:2" x14ac:dyDescent="0.25">
      <c r="A1352">
        <v>11622611</v>
      </c>
      <c r="B1352" t="s">
        <v>41</v>
      </c>
    </row>
    <row r="1353" spans="1:2" x14ac:dyDescent="0.25">
      <c r="A1353">
        <v>11627170</v>
      </c>
      <c r="B1353" t="s">
        <v>41</v>
      </c>
    </row>
    <row r="1354" spans="1:2" x14ac:dyDescent="0.25">
      <c r="A1354">
        <v>11630049</v>
      </c>
      <c r="B1354" t="s">
        <v>41</v>
      </c>
    </row>
    <row r="1355" spans="1:2" x14ac:dyDescent="0.25">
      <c r="A1355">
        <v>11631525</v>
      </c>
      <c r="B1355" t="s">
        <v>41</v>
      </c>
    </row>
    <row r="1356" spans="1:2" x14ac:dyDescent="0.25">
      <c r="A1356">
        <v>11681229</v>
      </c>
      <c r="B1356" t="s">
        <v>41</v>
      </c>
    </row>
    <row r="1357" spans="1:2" x14ac:dyDescent="0.25">
      <c r="A1357">
        <v>11683887</v>
      </c>
      <c r="B1357" t="s">
        <v>41</v>
      </c>
    </row>
    <row r="1358" spans="1:2" x14ac:dyDescent="0.25">
      <c r="A1358">
        <v>11967038</v>
      </c>
      <c r="B1358" t="s">
        <v>41</v>
      </c>
    </row>
    <row r="1359" spans="1:2" x14ac:dyDescent="0.25">
      <c r="A1359">
        <v>11891246</v>
      </c>
      <c r="B1359" t="s">
        <v>41</v>
      </c>
    </row>
    <row r="1360" spans="1:2" x14ac:dyDescent="0.25">
      <c r="A1360">
        <v>11218881</v>
      </c>
      <c r="B1360" t="s">
        <v>41</v>
      </c>
    </row>
    <row r="1361" spans="1:2" x14ac:dyDescent="0.25">
      <c r="A1361">
        <v>11048263</v>
      </c>
      <c r="B1361" t="s">
        <v>41</v>
      </c>
    </row>
    <row r="1362" spans="1:2" x14ac:dyDescent="0.25">
      <c r="A1362">
        <v>11047039</v>
      </c>
      <c r="B1362" t="s">
        <v>41</v>
      </c>
    </row>
    <row r="1363" spans="1:2" x14ac:dyDescent="0.25">
      <c r="A1363">
        <v>11406886</v>
      </c>
      <c r="B1363" t="s">
        <v>41</v>
      </c>
    </row>
    <row r="1364" spans="1:2" x14ac:dyDescent="0.25">
      <c r="A1364">
        <v>10667200</v>
      </c>
      <c r="B1364" t="s">
        <v>41</v>
      </c>
    </row>
    <row r="1365" spans="1:2" x14ac:dyDescent="0.25">
      <c r="A1365">
        <v>11911048</v>
      </c>
      <c r="B1365" t="s">
        <v>41</v>
      </c>
    </row>
    <row r="1366" spans="1:2" x14ac:dyDescent="0.25">
      <c r="A1366">
        <v>11853229</v>
      </c>
      <c r="B1366" t="s">
        <v>41</v>
      </c>
    </row>
    <row r="1367" spans="1:2" x14ac:dyDescent="0.25">
      <c r="A1367">
        <v>11856405</v>
      </c>
      <c r="B1367" t="s">
        <v>41</v>
      </c>
    </row>
    <row r="1368" spans="1:2" x14ac:dyDescent="0.25">
      <c r="A1368">
        <v>11858399</v>
      </c>
      <c r="B1368" t="s">
        <v>41</v>
      </c>
    </row>
    <row r="1369" spans="1:2" x14ac:dyDescent="0.25">
      <c r="A1369">
        <v>11858400</v>
      </c>
      <c r="B1369" t="s">
        <v>41</v>
      </c>
    </row>
    <row r="1370" spans="1:2" x14ac:dyDescent="0.25">
      <c r="A1370">
        <v>11858510</v>
      </c>
      <c r="B1370" t="s">
        <v>41</v>
      </c>
    </row>
    <row r="1371" spans="1:2" x14ac:dyDescent="0.25">
      <c r="A1371">
        <v>11858333</v>
      </c>
      <c r="B1371" t="s">
        <v>41</v>
      </c>
    </row>
    <row r="1372" spans="1:2" x14ac:dyDescent="0.25">
      <c r="A1372">
        <v>11860891</v>
      </c>
      <c r="B1372" t="s">
        <v>41</v>
      </c>
    </row>
    <row r="1373" spans="1:2" x14ac:dyDescent="0.25">
      <c r="A1373">
        <v>11861264</v>
      </c>
      <c r="B1373" t="s">
        <v>41</v>
      </c>
    </row>
    <row r="1374" spans="1:2" x14ac:dyDescent="0.25">
      <c r="A1374">
        <v>11864208</v>
      </c>
      <c r="B1374" t="s">
        <v>41</v>
      </c>
    </row>
    <row r="1375" spans="1:2" x14ac:dyDescent="0.25">
      <c r="A1375">
        <v>11869281</v>
      </c>
      <c r="B1375" t="s">
        <v>41</v>
      </c>
    </row>
    <row r="1376" spans="1:2" x14ac:dyDescent="0.25">
      <c r="A1376">
        <v>11873177</v>
      </c>
      <c r="B1376" t="s">
        <v>41</v>
      </c>
    </row>
    <row r="1377" spans="1:2" x14ac:dyDescent="0.25">
      <c r="A1377">
        <v>11873320</v>
      </c>
      <c r="B1377" t="s">
        <v>41</v>
      </c>
    </row>
    <row r="1378" spans="1:2" x14ac:dyDescent="0.25">
      <c r="A1378">
        <v>11829866</v>
      </c>
      <c r="B1378" t="s">
        <v>41</v>
      </c>
    </row>
    <row r="1379" spans="1:2" x14ac:dyDescent="0.25">
      <c r="A1379">
        <v>12024396</v>
      </c>
      <c r="B1379" t="s">
        <v>41</v>
      </c>
    </row>
    <row r="1380" spans="1:2" x14ac:dyDescent="0.25">
      <c r="A1380">
        <v>12025481</v>
      </c>
      <c r="B1380" t="s">
        <v>41</v>
      </c>
    </row>
    <row r="1381" spans="1:2" x14ac:dyDescent="0.25">
      <c r="A1381">
        <v>12021721</v>
      </c>
      <c r="B1381" t="s">
        <v>41</v>
      </c>
    </row>
    <row r="1382" spans="1:2" x14ac:dyDescent="0.25">
      <c r="A1382">
        <v>12020242</v>
      </c>
      <c r="B1382" t="s">
        <v>41</v>
      </c>
    </row>
    <row r="1383" spans="1:2" x14ac:dyDescent="0.25">
      <c r="A1383">
        <v>12019279</v>
      </c>
      <c r="B1383" t="s">
        <v>41</v>
      </c>
    </row>
    <row r="1384" spans="1:2" x14ac:dyDescent="0.25">
      <c r="A1384">
        <v>12022000</v>
      </c>
      <c r="B1384" t="s">
        <v>41</v>
      </c>
    </row>
    <row r="1385" spans="1:2" x14ac:dyDescent="0.25">
      <c r="A1385">
        <v>12022134</v>
      </c>
      <c r="B1385" t="s">
        <v>41</v>
      </c>
    </row>
    <row r="1386" spans="1:2" x14ac:dyDescent="0.25">
      <c r="A1386">
        <v>12022332</v>
      </c>
      <c r="B1386" t="s">
        <v>41</v>
      </c>
    </row>
    <row r="1387" spans="1:2" x14ac:dyDescent="0.25">
      <c r="A1387">
        <v>12022510</v>
      </c>
      <c r="B1387" t="s">
        <v>41</v>
      </c>
    </row>
    <row r="1388" spans="1:2" x14ac:dyDescent="0.25">
      <c r="A1388">
        <v>12023201</v>
      </c>
      <c r="B1388" t="s">
        <v>41</v>
      </c>
    </row>
    <row r="1389" spans="1:2" x14ac:dyDescent="0.25">
      <c r="A1389">
        <v>11890561</v>
      </c>
      <c r="B1389" t="s">
        <v>41</v>
      </c>
    </row>
    <row r="1390" spans="1:2" x14ac:dyDescent="0.25">
      <c r="A1390">
        <v>11995589</v>
      </c>
      <c r="B1390" t="s">
        <v>41</v>
      </c>
    </row>
    <row r="1391" spans="1:2" x14ac:dyDescent="0.25">
      <c r="A1391">
        <v>11941048</v>
      </c>
      <c r="B1391" t="s">
        <v>41</v>
      </c>
    </row>
    <row r="1392" spans="1:2" x14ac:dyDescent="0.25">
      <c r="A1392">
        <v>12007708</v>
      </c>
      <c r="B1392" t="s">
        <v>41</v>
      </c>
    </row>
    <row r="1393" spans="1:2" x14ac:dyDescent="0.25">
      <c r="A1393">
        <v>12008251</v>
      </c>
      <c r="B1393" t="s">
        <v>41</v>
      </c>
    </row>
    <row r="1394" spans="1:2" x14ac:dyDescent="0.25">
      <c r="A1394">
        <v>12008872</v>
      </c>
      <c r="B1394" t="s">
        <v>41</v>
      </c>
    </row>
    <row r="1395" spans="1:2" x14ac:dyDescent="0.25">
      <c r="A1395">
        <v>11933359</v>
      </c>
      <c r="B1395" t="s">
        <v>41</v>
      </c>
    </row>
    <row r="1396" spans="1:2" x14ac:dyDescent="0.25">
      <c r="A1396">
        <v>11971676</v>
      </c>
      <c r="B1396" t="s">
        <v>41</v>
      </c>
    </row>
    <row r="1397" spans="1:2" x14ac:dyDescent="0.25">
      <c r="A1397">
        <v>11967846</v>
      </c>
      <c r="B1397" t="s">
        <v>41</v>
      </c>
    </row>
    <row r="1398" spans="1:2" x14ac:dyDescent="0.25">
      <c r="A1398">
        <v>11969025</v>
      </c>
      <c r="B1398" t="s">
        <v>41</v>
      </c>
    </row>
    <row r="1399" spans="1:2" x14ac:dyDescent="0.25">
      <c r="A1399">
        <v>11953055</v>
      </c>
      <c r="B1399" t="s">
        <v>41</v>
      </c>
    </row>
    <row r="1400" spans="1:2" x14ac:dyDescent="0.25">
      <c r="A1400">
        <v>11644204</v>
      </c>
      <c r="B1400" t="s">
        <v>41</v>
      </c>
    </row>
    <row r="1401" spans="1:2" x14ac:dyDescent="0.25">
      <c r="A1401">
        <v>11552801</v>
      </c>
      <c r="B1401" t="s">
        <v>41</v>
      </c>
    </row>
    <row r="1402" spans="1:2" x14ac:dyDescent="0.25">
      <c r="A1402">
        <v>11553834</v>
      </c>
      <c r="B1402" t="s">
        <v>41</v>
      </c>
    </row>
    <row r="1403" spans="1:2" x14ac:dyDescent="0.25">
      <c r="A1403">
        <v>11560796</v>
      </c>
      <c r="B1403" t="s">
        <v>41</v>
      </c>
    </row>
    <row r="1404" spans="1:2" x14ac:dyDescent="0.25">
      <c r="A1404">
        <v>11570699</v>
      </c>
      <c r="B1404" t="s">
        <v>41</v>
      </c>
    </row>
    <row r="1405" spans="1:2" x14ac:dyDescent="0.25">
      <c r="A1405">
        <v>11570745</v>
      </c>
      <c r="B1405" t="s">
        <v>41</v>
      </c>
    </row>
    <row r="1406" spans="1:2" x14ac:dyDescent="0.25">
      <c r="A1406">
        <v>11591073</v>
      </c>
      <c r="B1406" t="s">
        <v>41</v>
      </c>
    </row>
    <row r="1407" spans="1:2" x14ac:dyDescent="0.25">
      <c r="A1407">
        <v>11592268</v>
      </c>
      <c r="B1407" t="s">
        <v>41</v>
      </c>
    </row>
    <row r="1408" spans="1:2" x14ac:dyDescent="0.25">
      <c r="A1408">
        <v>11592429</v>
      </c>
      <c r="B1408" t="s">
        <v>41</v>
      </c>
    </row>
    <row r="1409" spans="1:2" x14ac:dyDescent="0.25">
      <c r="A1409">
        <v>11592898</v>
      </c>
      <c r="B1409" t="s">
        <v>41</v>
      </c>
    </row>
    <row r="1410" spans="1:2" x14ac:dyDescent="0.25">
      <c r="A1410">
        <v>11598519</v>
      </c>
      <c r="B1410" t="s">
        <v>41</v>
      </c>
    </row>
    <row r="1411" spans="1:2" x14ac:dyDescent="0.25">
      <c r="A1411">
        <v>11663071</v>
      </c>
      <c r="B1411" t="s">
        <v>41</v>
      </c>
    </row>
    <row r="1412" spans="1:2" x14ac:dyDescent="0.25">
      <c r="A1412">
        <v>11663580</v>
      </c>
      <c r="B1412" t="s">
        <v>41</v>
      </c>
    </row>
    <row r="1413" spans="1:2" x14ac:dyDescent="0.25">
      <c r="A1413">
        <v>11666828</v>
      </c>
      <c r="B1413" t="s">
        <v>41</v>
      </c>
    </row>
    <row r="1414" spans="1:2" x14ac:dyDescent="0.25">
      <c r="A1414">
        <v>10954443</v>
      </c>
      <c r="B1414" t="s">
        <v>41</v>
      </c>
    </row>
    <row r="1415" spans="1:2" x14ac:dyDescent="0.25">
      <c r="A1415">
        <v>11860332</v>
      </c>
      <c r="B1415" t="s">
        <v>41</v>
      </c>
    </row>
    <row r="1416" spans="1:2" x14ac:dyDescent="0.25">
      <c r="A1416">
        <v>11865775</v>
      </c>
      <c r="B1416" t="s">
        <v>41</v>
      </c>
    </row>
    <row r="1417" spans="1:2" x14ac:dyDescent="0.25">
      <c r="A1417">
        <v>11892084</v>
      </c>
      <c r="B1417" t="s">
        <v>41</v>
      </c>
    </row>
    <row r="1418" spans="1:2" x14ac:dyDescent="0.25">
      <c r="A1418">
        <v>11939049</v>
      </c>
      <c r="B1418" t="s">
        <v>41</v>
      </c>
    </row>
    <row r="1419" spans="1:2" x14ac:dyDescent="0.25">
      <c r="A1419">
        <v>11806457</v>
      </c>
      <c r="B1419" t="s">
        <v>41</v>
      </c>
    </row>
    <row r="1420" spans="1:2" x14ac:dyDescent="0.25">
      <c r="A1420">
        <v>11616387</v>
      </c>
      <c r="B1420" t="s">
        <v>41</v>
      </c>
    </row>
    <row r="1421" spans="1:2" x14ac:dyDescent="0.25">
      <c r="A1421">
        <v>11623516</v>
      </c>
      <c r="B1421" t="s">
        <v>41</v>
      </c>
    </row>
    <row r="1422" spans="1:2" x14ac:dyDescent="0.25">
      <c r="A1422">
        <v>11736808</v>
      </c>
      <c r="B1422" t="s">
        <v>41</v>
      </c>
    </row>
    <row r="1423" spans="1:2" x14ac:dyDescent="0.25">
      <c r="A1423">
        <v>11707790</v>
      </c>
      <c r="B1423" t="s">
        <v>41</v>
      </c>
    </row>
    <row r="1424" spans="1:2" x14ac:dyDescent="0.25">
      <c r="A1424">
        <v>11756567</v>
      </c>
      <c r="B1424" t="s">
        <v>41</v>
      </c>
    </row>
    <row r="1425" spans="1:2" x14ac:dyDescent="0.25">
      <c r="A1425">
        <v>10940074</v>
      </c>
      <c r="B1425" t="s">
        <v>41</v>
      </c>
    </row>
    <row r="1426" spans="1:2" x14ac:dyDescent="0.25">
      <c r="A1426">
        <v>11787509</v>
      </c>
      <c r="B1426" t="s">
        <v>41</v>
      </c>
    </row>
    <row r="1427" spans="1:2" x14ac:dyDescent="0.25">
      <c r="A1427">
        <v>11787607</v>
      </c>
      <c r="B1427" t="s">
        <v>41</v>
      </c>
    </row>
    <row r="1428" spans="1:2" x14ac:dyDescent="0.25">
      <c r="A1428">
        <v>11788827</v>
      </c>
      <c r="B1428" t="s">
        <v>41</v>
      </c>
    </row>
    <row r="1429" spans="1:2" x14ac:dyDescent="0.25">
      <c r="A1429">
        <v>11058513</v>
      </c>
      <c r="B1429" t="s">
        <v>41</v>
      </c>
    </row>
    <row r="1430" spans="1:2" x14ac:dyDescent="0.25">
      <c r="A1430">
        <v>11058003</v>
      </c>
      <c r="B1430" t="s">
        <v>41</v>
      </c>
    </row>
    <row r="1431" spans="1:2" x14ac:dyDescent="0.25">
      <c r="A1431">
        <v>11046834</v>
      </c>
      <c r="B1431" t="s">
        <v>41</v>
      </c>
    </row>
    <row r="1432" spans="1:2" x14ac:dyDescent="0.25">
      <c r="A1432">
        <v>11047063</v>
      </c>
      <c r="B1432" t="s">
        <v>41</v>
      </c>
    </row>
    <row r="1433" spans="1:2" x14ac:dyDescent="0.25">
      <c r="A1433">
        <v>11007414</v>
      </c>
      <c r="B1433" t="s">
        <v>41</v>
      </c>
    </row>
    <row r="1434" spans="1:2" x14ac:dyDescent="0.25">
      <c r="A1434">
        <v>11007850</v>
      </c>
      <c r="B1434" t="s">
        <v>41</v>
      </c>
    </row>
    <row r="1435" spans="1:2" x14ac:dyDescent="0.25">
      <c r="A1435">
        <v>11028212</v>
      </c>
      <c r="B1435" t="s">
        <v>41</v>
      </c>
    </row>
    <row r="1436" spans="1:2" x14ac:dyDescent="0.25">
      <c r="A1436">
        <v>11028705</v>
      </c>
      <c r="B1436" t="s">
        <v>41</v>
      </c>
    </row>
    <row r="1437" spans="1:2" x14ac:dyDescent="0.25">
      <c r="A1437">
        <v>10981395</v>
      </c>
      <c r="B1437" t="s">
        <v>41</v>
      </c>
    </row>
    <row r="1438" spans="1:2" x14ac:dyDescent="0.25">
      <c r="A1438">
        <v>10981593</v>
      </c>
      <c r="B1438" t="s">
        <v>41</v>
      </c>
    </row>
    <row r="1439" spans="1:2" x14ac:dyDescent="0.25">
      <c r="A1439">
        <v>10961649</v>
      </c>
      <c r="B1439" t="s">
        <v>41</v>
      </c>
    </row>
    <row r="1440" spans="1:2" x14ac:dyDescent="0.25">
      <c r="A1440">
        <v>10992161</v>
      </c>
      <c r="B1440" t="s">
        <v>41</v>
      </c>
    </row>
    <row r="1441" spans="1:2" x14ac:dyDescent="0.25">
      <c r="A1441">
        <v>10992174</v>
      </c>
      <c r="B1441" t="s">
        <v>41</v>
      </c>
    </row>
    <row r="1442" spans="1:2" x14ac:dyDescent="0.25">
      <c r="A1442">
        <v>11003012</v>
      </c>
      <c r="B1442" t="s">
        <v>41</v>
      </c>
    </row>
    <row r="1443" spans="1:2" x14ac:dyDescent="0.25">
      <c r="A1443">
        <v>11007926</v>
      </c>
      <c r="B1443" t="s">
        <v>41</v>
      </c>
    </row>
    <row r="1444" spans="1:2" x14ac:dyDescent="0.25">
      <c r="A1444">
        <v>11008930</v>
      </c>
      <c r="B1444" t="s">
        <v>41</v>
      </c>
    </row>
    <row r="1445" spans="1:2" x14ac:dyDescent="0.25">
      <c r="A1445">
        <v>10934164</v>
      </c>
      <c r="B1445" t="s">
        <v>41</v>
      </c>
    </row>
    <row r="1446" spans="1:2" x14ac:dyDescent="0.25">
      <c r="A1446">
        <v>10934175</v>
      </c>
      <c r="B1446" t="s">
        <v>41</v>
      </c>
    </row>
    <row r="1447" spans="1:2" x14ac:dyDescent="0.25">
      <c r="A1447">
        <v>10934885</v>
      </c>
      <c r="B1447" t="s">
        <v>41</v>
      </c>
    </row>
    <row r="1448" spans="1:2" x14ac:dyDescent="0.25">
      <c r="A1448">
        <v>10935826</v>
      </c>
      <c r="B1448" t="s">
        <v>41</v>
      </c>
    </row>
    <row r="1449" spans="1:2" x14ac:dyDescent="0.25">
      <c r="A1449">
        <v>10920794</v>
      </c>
      <c r="B1449" t="s">
        <v>41</v>
      </c>
    </row>
    <row r="1450" spans="1:2" x14ac:dyDescent="0.25">
      <c r="A1450">
        <v>10920847</v>
      </c>
      <c r="B1450" t="s">
        <v>41</v>
      </c>
    </row>
    <row r="1451" spans="1:2" x14ac:dyDescent="0.25">
      <c r="A1451">
        <v>10920931</v>
      </c>
      <c r="B1451" t="s">
        <v>41</v>
      </c>
    </row>
    <row r="1452" spans="1:2" x14ac:dyDescent="0.25">
      <c r="A1452">
        <v>10921537</v>
      </c>
      <c r="B1452" t="s">
        <v>41</v>
      </c>
    </row>
    <row r="1453" spans="1:2" x14ac:dyDescent="0.25">
      <c r="A1453">
        <v>10922017</v>
      </c>
      <c r="B1453" t="s">
        <v>41</v>
      </c>
    </row>
    <row r="1454" spans="1:2" x14ac:dyDescent="0.25">
      <c r="A1454">
        <v>10922129</v>
      </c>
      <c r="B1454" t="s">
        <v>41</v>
      </c>
    </row>
    <row r="1455" spans="1:2" x14ac:dyDescent="0.25">
      <c r="A1455">
        <v>10922222</v>
      </c>
      <c r="B1455" t="s">
        <v>41</v>
      </c>
    </row>
    <row r="1456" spans="1:2" x14ac:dyDescent="0.25">
      <c r="A1456">
        <v>10923561</v>
      </c>
      <c r="B1456" t="s">
        <v>41</v>
      </c>
    </row>
    <row r="1457" spans="1:2" x14ac:dyDescent="0.25">
      <c r="A1457">
        <v>10924032</v>
      </c>
      <c r="B1457" t="s">
        <v>41</v>
      </c>
    </row>
    <row r="1458" spans="1:2" x14ac:dyDescent="0.25">
      <c r="A1458">
        <v>10925401</v>
      </c>
      <c r="B1458" t="s">
        <v>41</v>
      </c>
    </row>
    <row r="1459" spans="1:2" x14ac:dyDescent="0.25">
      <c r="A1459">
        <v>11739168</v>
      </c>
      <c r="B1459" t="s">
        <v>41</v>
      </c>
    </row>
    <row r="1460" spans="1:2" x14ac:dyDescent="0.25">
      <c r="A1460">
        <v>11729594</v>
      </c>
      <c r="B1460" t="s">
        <v>41</v>
      </c>
    </row>
    <row r="1461" spans="1:2" x14ac:dyDescent="0.25">
      <c r="A1461">
        <v>11730136</v>
      </c>
      <c r="B1461" t="s">
        <v>41</v>
      </c>
    </row>
    <row r="1462" spans="1:2" x14ac:dyDescent="0.25">
      <c r="A1462">
        <v>11543162</v>
      </c>
      <c r="B1462" t="s">
        <v>41</v>
      </c>
    </row>
    <row r="1463" spans="1:2" x14ac:dyDescent="0.25">
      <c r="A1463">
        <v>11946313</v>
      </c>
      <c r="B1463" t="s">
        <v>41</v>
      </c>
    </row>
    <row r="1464" spans="1:2" x14ac:dyDescent="0.25">
      <c r="A1464">
        <v>11667087</v>
      </c>
      <c r="B1464" t="s">
        <v>41</v>
      </c>
    </row>
    <row r="1465" spans="1:2" x14ac:dyDescent="0.25">
      <c r="A1465">
        <v>11577546</v>
      </c>
      <c r="B1465" t="s">
        <v>41</v>
      </c>
    </row>
    <row r="1466" spans="1:2" x14ac:dyDescent="0.25">
      <c r="A1466">
        <v>11562515</v>
      </c>
      <c r="B1466" t="s">
        <v>41</v>
      </c>
    </row>
    <row r="1467" spans="1:2" x14ac:dyDescent="0.25">
      <c r="A1467">
        <v>11569480</v>
      </c>
      <c r="B1467" t="s">
        <v>41</v>
      </c>
    </row>
    <row r="1468" spans="1:2" x14ac:dyDescent="0.25">
      <c r="A1468">
        <v>11562083</v>
      </c>
      <c r="B1468" t="s">
        <v>41</v>
      </c>
    </row>
    <row r="1469" spans="1:2" x14ac:dyDescent="0.25">
      <c r="A1469">
        <v>11562391</v>
      </c>
      <c r="B1469" t="s">
        <v>41</v>
      </c>
    </row>
    <row r="1470" spans="1:2" x14ac:dyDescent="0.25">
      <c r="A1470">
        <v>11557651</v>
      </c>
      <c r="B1470" t="s">
        <v>41</v>
      </c>
    </row>
    <row r="1471" spans="1:2" x14ac:dyDescent="0.25">
      <c r="A1471">
        <v>11557901</v>
      </c>
      <c r="B1471" t="s">
        <v>41</v>
      </c>
    </row>
    <row r="1472" spans="1:2" x14ac:dyDescent="0.25">
      <c r="A1472">
        <v>11558254</v>
      </c>
      <c r="B1472" t="s">
        <v>41</v>
      </c>
    </row>
    <row r="1473" spans="1:2" x14ac:dyDescent="0.25">
      <c r="A1473">
        <v>11558657</v>
      </c>
      <c r="B1473" t="s">
        <v>41</v>
      </c>
    </row>
    <row r="1474" spans="1:2" x14ac:dyDescent="0.25">
      <c r="A1474">
        <v>11559057</v>
      </c>
      <c r="B1474" t="s">
        <v>41</v>
      </c>
    </row>
    <row r="1475" spans="1:2" x14ac:dyDescent="0.25">
      <c r="A1475">
        <v>11560307</v>
      </c>
      <c r="B1475" t="s">
        <v>41</v>
      </c>
    </row>
    <row r="1476" spans="1:2" x14ac:dyDescent="0.25">
      <c r="A1476">
        <v>11272837</v>
      </c>
      <c r="B1476" t="s">
        <v>41</v>
      </c>
    </row>
    <row r="1477" spans="1:2" x14ac:dyDescent="0.25">
      <c r="A1477">
        <v>11305477</v>
      </c>
      <c r="B1477" t="s">
        <v>41</v>
      </c>
    </row>
    <row r="1478" spans="1:2" x14ac:dyDescent="0.25">
      <c r="A1478">
        <v>11298984</v>
      </c>
      <c r="B1478" t="s">
        <v>41</v>
      </c>
    </row>
    <row r="1479" spans="1:2" x14ac:dyDescent="0.25">
      <c r="A1479">
        <v>11269572</v>
      </c>
      <c r="B1479" t="s">
        <v>41</v>
      </c>
    </row>
    <row r="1480" spans="1:2" x14ac:dyDescent="0.25">
      <c r="A1480">
        <v>11229397</v>
      </c>
      <c r="B1480" t="s">
        <v>41</v>
      </c>
    </row>
    <row r="1481" spans="1:2" x14ac:dyDescent="0.25">
      <c r="A1481">
        <v>11238632</v>
      </c>
      <c r="B1481" t="s">
        <v>41</v>
      </c>
    </row>
    <row r="1482" spans="1:2" x14ac:dyDescent="0.25">
      <c r="A1482">
        <v>11241375</v>
      </c>
      <c r="B1482" t="s">
        <v>41</v>
      </c>
    </row>
    <row r="1483" spans="1:2" x14ac:dyDescent="0.25">
      <c r="A1483">
        <v>11302947</v>
      </c>
      <c r="B1483" t="s">
        <v>41</v>
      </c>
    </row>
    <row r="1484" spans="1:2" x14ac:dyDescent="0.25">
      <c r="A1484">
        <v>11331246</v>
      </c>
      <c r="B1484" t="s">
        <v>41</v>
      </c>
    </row>
    <row r="1485" spans="1:2" x14ac:dyDescent="0.25">
      <c r="A1485">
        <v>11338338</v>
      </c>
      <c r="B1485" t="s">
        <v>41</v>
      </c>
    </row>
    <row r="1486" spans="1:2" x14ac:dyDescent="0.25">
      <c r="A1486">
        <v>11344378</v>
      </c>
      <c r="B1486" t="s">
        <v>41</v>
      </c>
    </row>
    <row r="1487" spans="1:2" x14ac:dyDescent="0.25">
      <c r="A1487">
        <v>11345547</v>
      </c>
      <c r="B1487" t="s">
        <v>41</v>
      </c>
    </row>
    <row r="1488" spans="1:2" x14ac:dyDescent="0.25">
      <c r="A1488">
        <v>11345826</v>
      </c>
      <c r="B1488" t="s">
        <v>41</v>
      </c>
    </row>
    <row r="1489" spans="1:2" x14ac:dyDescent="0.25">
      <c r="A1489">
        <v>11348282</v>
      </c>
      <c r="B1489" t="s">
        <v>41</v>
      </c>
    </row>
    <row r="1490" spans="1:2" x14ac:dyDescent="0.25">
      <c r="A1490">
        <v>11359877</v>
      </c>
      <c r="B1490" t="s">
        <v>41</v>
      </c>
    </row>
    <row r="1491" spans="1:2" x14ac:dyDescent="0.25">
      <c r="A1491">
        <v>11409218</v>
      </c>
      <c r="B1491" t="s">
        <v>41</v>
      </c>
    </row>
    <row r="1492" spans="1:2" x14ac:dyDescent="0.25">
      <c r="A1492">
        <v>11440238</v>
      </c>
      <c r="B1492" t="s">
        <v>41</v>
      </c>
    </row>
    <row r="1493" spans="1:2" x14ac:dyDescent="0.25">
      <c r="A1493">
        <v>11518743</v>
      </c>
      <c r="B1493" t="s">
        <v>41</v>
      </c>
    </row>
    <row r="1494" spans="1:2" x14ac:dyDescent="0.25">
      <c r="A1494">
        <v>11520506</v>
      </c>
      <c r="B1494" t="s">
        <v>41</v>
      </c>
    </row>
    <row r="1495" spans="1:2" x14ac:dyDescent="0.25">
      <c r="A1495">
        <v>11462140</v>
      </c>
      <c r="B1495" t="s">
        <v>41</v>
      </c>
    </row>
    <row r="1496" spans="1:2" x14ac:dyDescent="0.25">
      <c r="A1496">
        <v>11472198</v>
      </c>
      <c r="B1496" t="s">
        <v>41</v>
      </c>
    </row>
    <row r="1497" spans="1:2" x14ac:dyDescent="0.25">
      <c r="A1497">
        <v>11445743</v>
      </c>
      <c r="B1497" t="s">
        <v>41</v>
      </c>
    </row>
    <row r="1498" spans="1:2" x14ac:dyDescent="0.25">
      <c r="A1498">
        <v>11446310</v>
      </c>
      <c r="B1498" t="s">
        <v>41</v>
      </c>
    </row>
    <row r="1499" spans="1:2" x14ac:dyDescent="0.25">
      <c r="A1499">
        <v>11223824</v>
      </c>
      <c r="B1499" t="s">
        <v>41</v>
      </c>
    </row>
    <row r="1500" spans="1:2" x14ac:dyDescent="0.25">
      <c r="A1500">
        <v>11214324</v>
      </c>
      <c r="B1500" t="s">
        <v>41</v>
      </c>
    </row>
    <row r="1501" spans="1:2" x14ac:dyDescent="0.25">
      <c r="A1501">
        <v>11206139</v>
      </c>
      <c r="B1501" t="s">
        <v>41</v>
      </c>
    </row>
    <row r="1502" spans="1:2" x14ac:dyDescent="0.25">
      <c r="A1502">
        <v>11166775</v>
      </c>
      <c r="B1502" t="s">
        <v>41</v>
      </c>
    </row>
    <row r="1503" spans="1:2" x14ac:dyDescent="0.25">
      <c r="A1503">
        <v>11170231</v>
      </c>
      <c r="B1503" t="s">
        <v>41</v>
      </c>
    </row>
    <row r="1504" spans="1:2" x14ac:dyDescent="0.25">
      <c r="A1504">
        <v>11182612</v>
      </c>
      <c r="B1504" t="s">
        <v>41</v>
      </c>
    </row>
    <row r="1505" spans="1:2" x14ac:dyDescent="0.25">
      <c r="A1505">
        <v>11194510</v>
      </c>
      <c r="B1505" t="s">
        <v>41</v>
      </c>
    </row>
    <row r="1506" spans="1:2" x14ac:dyDescent="0.25">
      <c r="A1506">
        <v>11081282</v>
      </c>
      <c r="B1506" t="s">
        <v>41</v>
      </c>
    </row>
    <row r="1507" spans="1:2" x14ac:dyDescent="0.25">
      <c r="A1507">
        <v>10846796</v>
      </c>
      <c r="B1507" t="s">
        <v>41</v>
      </c>
    </row>
    <row r="1508" spans="1:2" x14ac:dyDescent="0.25">
      <c r="A1508">
        <v>11336228</v>
      </c>
      <c r="B1508" t="s">
        <v>41</v>
      </c>
    </row>
    <row r="1509" spans="1:2" x14ac:dyDescent="0.25">
      <c r="A1509">
        <v>10838812</v>
      </c>
      <c r="B1509" t="s">
        <v>41</v>
      </c>
    </row>
    <row r="1510" spans="1:2" x14ac:dyDescent="0.25">
      <c r="A1510">
        <v>11067784</v>
      </c>
      <c r="B1510" t="s">
        <v>42</v>
      </c>
    </row>
    <row r="1511" spans="1:2" x14ac:dyDescent="0.25">
      <c r="A1511">
        <v>11067828</v>
      </c>
      <c r="B1511" t="s">
        <v>42</v>
      </c>
    </row>
    <row r="1512" spans="1:2" x14ac:dyDescent="0.25">
      <c r="A1512">
        <v>11068056</v>
      </c>
      <c r="B1512" t="s">
        <v>42</v>
      </c>
    </row>
    <row r="1513" spans="1:2" x14ac:dyDescent="0.25">
      <c r="A1513">
        <v>11068081</v>
      </c>
      <c r="B1513" t="s">
        <v>42</v>
      </c>
    </row>
    <row r="1514" spans="1:2" x14ac:dyDescent="0.25">
      <c r="A1514">
        <v>11068126</v>
      </c>
      <c r="B1514" t="s">
        <v>42</v>
      </c>
    </row>
    <row r="1515" spans="1:2" x14ac:dyDescent="0.25">
      <c r="A1515">
        <v>11068184</v>
      </c>
      <c r="B1515" t="s">
        <v>42</v>
      </c>
    </row>
    <row r="1516" spans="1:2" x14ac:dyDescent="0.25">
      <c r="A1516">
        <v>11068200</v>
      </c>
      <c r="B1516" t="s">
        <v>42</v>
      </c>
    </row>
    <row r="1517" spans="1:2" x14ac:dyDescent="0.25">
      <c r="A1517">
        <v>11068221</v>
      </c>
      <c r="B1517" t="s">
        <v>42</v>
      </c>
    </row>
    <row r="1518" spans="1:2" x14ac:dyDescent="0.25">
      <c r="A1518">
        <v>11068372</v>
      </c>
      <c r="B1518" t="s">
        <v>42</v>
      </c>
    </row>
    <row r="1519" spans="1:2" x14ac:dyDescent="0.25">
      <c r="A1519">
        <v>11070025</v>
      </c>
      <c r="B1519" t="s">
        <v>42</v>
      </c>
    </row>
    <row r="1520" spans="1:2" x14ac:dyDescent="0.25">
      <c r="A1520">
        <v>11067233</v>
      </c>
      <c r="B1520" t="s">
        <v>42</v>
      </c>
    </row>
    <row r="1521" spans="1:2" x14ac:dyDescent="0.25">
      <c r="A1521">
        <v>11067257</v>
      </c>
      <c r="B1521" t="s">
        <v>42</v>
      </c>
    </row>
    <row r="1522" spans="1:2" x14ac:dyDescent="0.25">
      <c r="A1522">
        <v>11067273</v>
      </c>
      <c r="B1522" t="s">
        <v>42</v>
      </c>
    </row>
    <row r="1523" spans="1:2" x14ac:dyDescent="0.25">
      <c r="A1523">
        <v>10613590</v>
      </c>
      <c r="B1523" t="s">
        <v>42</v>
      </c>
    </row>
    <row r="1524" spans="1:2" x14ac:dyDescent="0.25">
      <c r="A1524">
        <v>11461136</v>
      </c>
      <c r="B1524" t="s">
        <v>41</v>
      </c>
    </row>
    <row r="1525" spans="1:2" x14ac:dyDescent="0.25">
      <c r="A1525">
        <v>11479039</v>
      </c>
      <c r="B1525" t="s">
        <v>41</v>
      </c>
    </row>
    <row r="1526" spans="1:2" x14ac:dyDescent="0.25">
      <c r="A1526">
        <v>11454152</v>
      </c>
      <c r="B1526" t="s">
        <v>41</v>
      </c>
    </row>
    <row r="1527" spans="1:2" x14ac:dyDescent="0.25">
      <c r="A1527">
        <v>11425020</v>
      </c>
      <c r="B1527" t="s">
        <v>41</v>
      </c>
    </row>
    <row r="1528" spans="1:2" x14ac:dyDescent="0.25">
      <c r="A1528">
        <v>11425395</v>
      </c>
      <c r="B1528" t="s">
        <v>41</v>
      </c>
    </row>
    <row r="1529" spans="1:2" x14ac:dyDescent="0.25">
      <c r="A1529">
        <v>11390282</v>
      </c>
      <c r="B1529" t="s">
        <v>41</v>
      </c>
    </row>
    <row r="1530" spans="1:2" x14ac:dyDescent="0.25">
      <c r="A1530">
        <v>11406911</v>
      </c>
      <c r="B1530" t="s">
        <v>41</v>
      </c>
    </row>
    <row r="1531" spans="1:2" x14ac:dyDescent="0.25">
      <c r="A1531">
        <v>11402207</v>
      </c>
      <c r="B1531" t="s">
        <v>41</v>
      </c>
    </row>
    <row r="1532" spans="1:2" x14ac:dyDescent="0.25">
      <c r="A1532">
        <v>11409145</v>
      </c>
      <c r="B1532" t="s">
        <v>41</v>
      </c>
    </row>
    <row r="1533" spans="1:2" x14ac:dyDescent="0.25">
      <c r="A1533">
        <v>11409637</v>
      </c>
      <c r="B1533" t="s">
        <v>41</v>
      </c>
    </row>
    <row r="1534" spans="1:2" x14ac:dyDescent="0.25">
      <c r="A1534">
        <v>11391608</v>
      </c>
      <c r="B1534" t="s">
        <v>41</v>
      </c>
    </row>
    <row r="1535" spans="1:2" x14ac:dyDescent="0.25">
      <c r="A1535">
        <v>11380143</v>
      </c>
      <c r="B1535" t="s">
        <v>42</v>
      </c>
    </row>
    <row r="1536" spans="1:2" x14ac:dyDescent="0.25">
      <c r="A1536">
        <v>11379368</v>
      </c>
      <c r="B1536" t="s">
        <v>41</v>
      </c>
    </row>
    <row r="1537" spans="1:2" x14ac:dyDescent="0.25">
      <c r="A1537">
        <v>11361973</v>
      </c>
      <c r="B1537" t="s">
        <v>41</v>
      </c>
    </row>
    <row r="1538" spans="1:2" x14ac:dyDescent="0.25">
      <c r="A1538">
        <v>11357653</v>
      </c>
      <c r="B1538" t="s">
        <v>41</v>
      </c>
    </row>
    <row r="1539" spans="1:2" x14ac:dyDescent="0.25">
      <c r="A1539">
        <v>11363311</v>
      </c>
      <c r="B1539" t="s">
        <v>41</v>
      </c>
    </row>
    <row r="1540" spans="1:2" x14ac:dyDescent="0.25">
      <c r="A1540">
        <v>11348490</v>
      </c>
      <c r="B1540" t="s">
        <v>41</v>
      </c>
    </row>
    <row r="1541" spans="1:2" x14ac:dyDescent="0.25">
      <c r="A1541">
        <v>11349932</v>
      </c>
      <c r="B1541" t="s">
        <v>41</v>
      </c>
    </row>
    <row r="1542" spans="1:2" x14ac:dyDescent="0.25">
      <c r="A1542">
        <v>11350424</v>
      </c>
      <c r="B1542" t="s">
        <v>41</v>
      </c>
    </row>
    <row r="1543" spans="1:2" x14ac:dyDescent="0.25">
      <c r="A1543">
        <v>11351897</v>
      </c>
      <c r="B1543" t="s">
        <v>41</v>
      </c>
    </row>
    <row r="1544" spans="1:2" x14ac:dyDescent="0.25">
      <c r="A1544">
        <v>11348628</v>
      </c>
      <c r="B1544" t="s">
        <v>41</v>
      </c>
    </row>
    <row r="1545" spans="1:2" x14ac:dyDescent="0.25">
      <c r="A1545">
        <v>11348719</v>
      </c>
      <c r="B1545" t="s">
        <v>41</v>
      </c>
    </row>
    <row r="1546" spans="1:2" x14ac:dyDescent="0.25">
      <c r="A1546">
        <v>11349608</v>
      </c>
      <c r="B1546" t="s">
        <v>41</v>
      </c>
    </row>
    <row r="1547" spans="1:2" x14ac:dyDescent="0.25">
      <c r="A1547">
        <v>11441042</v>
      </c>
      <c r="B1547" t="s">
        <v>41</v>
      </c>
    </row>
    <row r="1548" spans="1:2" x14ac:dyDescent="0.25">
      <c r="A1548">
        <v>11482585</v>
      </c>
      <c r="B1548" t="s">
        <v>41</v>
      </c>
    </row>
    <row r="1549" spans="1:2" x14ac:dyDescent="0.25">
      <c r="A1549">
        <v>11408638</v>
      </c>
      <c r="B1549" t="s">
        <v>41</v>
      </c>
    </row>
    <row r="1550" spans="1:2" x14ac:dyDescent="0.25">
      <c r="A1550">
        <v>11562442</v>
      </c>
      <c r="B1550" t="s">
        <v>41</v>
      </c>
    </row>
    <row r="1551" spans="1:2" x14ac:dyDescent="0.25">
      <c r="A1551">
        <v>11572631</v>
      </c>
      <c r="B1551" t="s">
        <v>41</v>
      </c>
    </row>
    <row r="1552" spans="1:2" x14ac:dyDescent="0.25">
      <c r="A1552">
        <v>11585282</v>
      </c>
      <c r="B1552" t="s">
        <v>41</v>
      </c>
    </row>
    <row r="1553" spans="1:2" x14ac:dyDescent="0.25">
      <c r="A1553">
        <v>11607816</v>
      </c>
      <c r="B1553" t="s">
        <v>41</v>
      </c>
    </row>
    <row r="1554" spans="1:2" x14ac:dyDescent="0.25">
      <c r="A1554">
        <v>11617032</v>
      </c>
      <c r="B1554" t="s">
        <v>41</v>
      </c>
    </row>
    <row r="1555" spans="1:2" x14ac:dyDescent="0.25">
      <c r="A1555">
        <v>11324040</v>
      </c>
      <c r="B1555" t="s">
        <v>41</v>
      </c>
    </row>
    <row r="1556" spans="1:2" x14ac:dyDescent="0.25">
      <c r="A1556">
        <v>10855107</v>
      </c>
      <c r="B1556" t="s">
        <v>41</v>
      </c>
    </row>
    <row r="1557" spans="1:2" x14ac:dyDescent="0.25">
      <c r="A1557">
        <v>10868647</v>
      </c>
      <c r="B1557" t="s">
        <v>41</v>
      </c>
    </row>
    <row r="1558" spans="1:2" x14ac:dyDescent="0.25">
      <c r="A1558">
        <v>10868908</v>
      </c>
      <c r="B1558" t="s">
        <v>41</v>
      </c>
    </row>
    <row r="1559" spans="1:2" x14ac:dyDescent="0.25">
      <c r="A1559">
        <v>10869521</v>
      </c>
      <c r="B1559" t="s">
        <v>41</v>
      </c>
    </row>
    <row r="1560" spans="1:2" x14ac:dyDescent="0.25">
      <c r="A1560">
        <v>10906664</v>
      </c>
      <c r="B1560" t="s">
        <v>41</v>
      </c>
    </row>
    <row r="1561" spans="1:2" x14ac:dyDescent="0.25">
      <c r="A1561">
        <v>10923727</v>
      </c>
      <c r="B1561" t="s">
        <v>41</v>
      </c>
    </row>
    <row r="1562" spans="1:2" x14ac:dyDescent="0.25">
      <c r="A1562">
        <v>10934309</v>
      </c>
      <c r="B1562" t="s">
        <v>41</v>
      </c>
    </row>
    <row r="1563" spans="1:2" x14ac:dyDescent="0.25">
      <c r="A1563">
        <v>10894019</v>
      </c>
      <c r="B1563" t="s">
        <v>41</v>
      </c>
    </row>
    <row r="1564" spans="1:2" x14ac:dyDescent="0.25">
      <c r="A1564">
        <v>10881130</v>
      </c>
      <c r="B1564" t="s">
        <v>41</v>
      </c>
    </row>
    <row r="1565" spans="1:2" x14ac:dyDescent="0.25">
      <c r="A1565">
        <v>10806010</v>
      </c>
      <c r="B1565" t="s">
        <v>41</v>
      </c>
    </row>
    <row r="1566" spans="1:2" x14ac:dyDescent="0.25">
      <c r="A1566">
        <v>10810914</v>
      </c>
      <c r="B1566" t="s">
        <v>41</v>
      </c>
    </row>
    <row r="1567" spans="1:2" x14ac:dyDescent="0.25">
      <c r="A1567">
        <v>10802696</v>
      </c>
      <c r="B1567" t="s">
        <v>41</v>
      </c>
    </row>
    <row r="1568" spans="1:2" x14ac:dyDescent="0.25">
      <c r="A1568">
        <v>10802712</v>
      </c>
      <c r="B1568" t="s">
        <v>41</v>
      </c>
    </row>
    <row r="1569" spans="1:2" x14ac:dyDescent="0.25">
      <c r="A1569">
        <v>10802724</v>
      </c>
      <c r="B1569" t="s">
        <v>41</v>
      </c>
    </row>
    <row r="1570" spans="1:2" x14ac:dyDescent="0.25">
      <c r="A1570">
        <v>10915409</v>
      </c>
      <c r="B1570" t="s">
        <v>41</v>
      </c>
    </row>
    <row r="1571" spans="1:2" x14ac:dyDescent="0.25">
      <c r="A1571">
        <v>10778995</v>
      </c>
      <c r="B1571" t="s">
        <v>41</v>
      </c>
    </row>
    <row r="1572" spans="1:2" x14ac:dyDescent="0.25">
      <c r="A1572">
        <v>10781034</v>
      </c>
      <c r="B1572" t="s">
        <v>41</v>
      </c>
    </row>
    <row r="1573" spans="1:2" x14ac:dyDescent="0.25">
      <c r="A1573">
        <v>11326094</v>
      </c>
      <c r="B1573" t="s">
        <v>41</v>
      </c>
    </row>
    <row r="1574" spans="1:2" x14ac:dyDescent="0.25">
      <c r="A1574">
        <v>11303107</v>
      </c>
      <c r="B1574" t="s">
        <v>41</v>
      </c>
    </row>
    <row r="1575" spans="1:2" x14ac:dyDescent="0.25">
      <c r="A1575">
        <v>11307544</v>
      </c>
      <c r="B1575" t="s">
        <v>41</v>
      </c>
    </row>
    <row r="1576" spans="1:2" x14ac:dyDescent="0.25">
      <c r="A1576">
        <v>11308459</v>
      </c>
      <c r="B1576" t="s">
        <v>41</v>
      </c>
    </row>
    <row r="1577" spans="1:2" x14ac:dyDescent="0.25">
      <c r="A1577">
        <v>11333960</v>
      </c>
      <c r="B1577" t="s">
        <v>41</v>
      </c>
    </row>
    <row r="1578" spans="1:2" x14ac:dyDescent="0.25">
      <c r="A1578">
        <v>11344134</v>
      </c>
      <c r="B1578" t="s">
        <v>41</v>
      </c>
    </row>
    <row r="1579" spans="1:2" x14ac:dyDescent="0.25">
      <c r="A1579">
        <v>11330139</v>
      </c>
      <c r="B1579" t="s">
        <v>41</v>
      </c>
    </row>
    <row r="1580" spans="1:2" x14ac:dyDescent="0.25">
      <c r="A1580">
        <v>11347272</v>
      </c>
      <c r="B1580" t="s">
        <v>41</v>
      </c>
    </row>
    <row r="1581" spans="1:2" x14ac:dyDescent="0.25">
      <c r="A1581">
        <v>11347944</v>
      </c>
      <c r="B1581" t="s">
        <v>41</v>
      </c>
    </row>
    <row r="1582" spans="1:2" x14ac:dyDescent="0.25">
      <c r="A1582">
        <v>11348225</v>
      </c>
      <c r="B1582" t="s">
        <v>41</v>
      </c>
    </row>
    <row r="1583" spans="1:2" x14ac:dyDescent="0.25">
      <c r="A1583">
        <v>11225044</v>
      </c>
      <c r="B1583" t="s">
        <v>41</v>
      </c>
    </row>
    <row r="1584" spans="1:2" x14ac:dyDescent="0.25">
      <c r="A1584">
        <v>11268960</v>
      </c>
      <c r="B1584" t="s">
        <v>41</v>
      </c>
    </row>
    <row r="1585" spans="1:2" x14ac:dyDescent="0.25">
      <c r="A1585">
        <v>11271430</v>
      </c>
      <c r="B1585" t="s">
        <v>41</v>
      </c>
    </row>
    <row r="1586" spans="1:2" x14ac:dyDescent="0.25">
      <c r="A1586">
        <v>11010709</v>
      </c>
      <c r="B1586" t="s">
        <v>41</v>
      </c>
    </row>
    <row r="1587" spans="1:2" x14ac:dyDescent="0.25">
      <c r="A1587">
        <v>11012688</v>
      </c>
      <c r="B1587" t="s">
        <v>41</v>
      </c>
    </row>
    <row r="1588" spans="1:2" x14ac:dyDescent="0.25">
      <c r="A1588">
        <v>10967086</v>
      </c>
      <c r="B1588" t="s">
        <v>41</v>
      </c>
    </row>
    <row r="1589" spans="1:2" x14ac:dyDescent="0.25">
      <c r="A1589">
        <v>10961452</v>
      </c>
      <c r="B1589" t="s">
        <v>41</v>
      </c>
    </row>
    <row r="1590" spans="1:2" x14ac:dyDescent="0.25">
      <c r="A1590">
        <v>10999282</v>
      </c>
      <c r="B1590" t="s">
        <v>41</v>
      </c>
    </row>
    <row r="1591" spans="1:2" x14ac:dyDescent="0.25">
      <c r="A1591">
        <v>11000643</v>
      </c>
      <c r="B1591" t="s">
        <v>41</v>
      </c>
    </row>
    <row r="1592" spans="1:2" x14ac:dyDescent="0.25">
      <c r="A1592">
        <v>11001069</v>
      </c>
      <c r="B1592" t="s">
        <v>41</v>
      </c>
    </row>
    <row r="1593" spans="1:2" x14ac:dyDescent="0.25">
      <c r="A1593">
        <v>10766163</v>
      </c>
      <c r="B1593" t="s">
        <v>41</v>
      </c>
    </row>
    <row r="1594" spans="1:2" x14ac:dyDescent="0.25">
      <c r="A1594">
        <v>10742848</v>
      </c>
      <c r="B1594" t="s">
        <v>41</v>
      </c>
    </row>
    <row r="1595" spans="1:2" x14ac:dyDescent="0.25">
      <c r="A1595">
        <v>10745945</v>
      </c>
      <c r="B1595" t="s">
        <v>41</v>
      </c>
    </row>
    <row r="1596" spans="1:2" x14ac:dyDescent="0.25">
      <c r="A1596">
        <v>10747062</v>
      </c>
      <c r="B1596" t="s">
        <v>41</v>
      </c>
    </row>
    <row r="1597" spans="1:2" x14ac:dyDescent="0.25">
      <c r="A1597">
        <v>11312751</v>
      </c>
      <c r="B1597" t="s">
        <v>41</v>
      </c>
    </row>
    <row r="1598" spans="1:2" x14ac:dyDescent="0.25">
      <c r="A1598">
        <v>11617904</v>
      </c>
      <c r="B1598" t="s">
        <v>41</v>
      </c>
    </row>
    <row r="1599" spans="1:2" x14ac:dyDescent="0.25">
      <c r="A1599">
        <v>11621193</v>
      </c>
      <c r="B1599" t="s">
        <v>41</v>
      </c>
    </row>
    <row r="1600" spans="1:2" x14ac:dyDescent="0.25">
      <c r="A1600">
        <v>11622531</v>
      </c>
      <c r="B1600" t="s">
        <v>41</v>
      </c>
    </row>
    <row r="1601" spans="1:2" x14ac:dyDescent="0.25">
      <c r="A1601">
        <v>11612211</v>
      </c>
      <c r="B1601" t="s">
        <v>41</v>
      </c>
    </row>
    <row r="1602" spans="1:2" x14ac:dyDescent="0.25">
      <c r="A1602">
        <v>11601342</v>
      </c>
      <c r="B1602" t="s">
        <v>41</v>
      </c>
    </row>
    <row r="1603" spans="1:2" x14ac:dyDescent="0.25">
      <c r="A1603">
        <v>11604471</v>
      </c>
      <c r="B1603" t="s">
        <v>41</v>
      </c>
    </row>
    <row r="1604" spans="1:2" x14ac:dyDescent="0.25">
      <c r="A1604">
        <v>11609072</v>
      </c>
      <c r="B1604" t="s">
        <v>41</v>
      </c>
    </row>
    <row r="1605" spans="1:2" x14ac:dyDescent="0.25">
      <c r="A1605">
        <v>11631802</v>
      </c>
      <c r="B1605" t="s">
        <v>41</v>
      </c>
    </row>
    <row r="1606" spans="1:2" x14ac:dyDescent="0.25">
      <c r="A1606">
        <v>11632799</v>
      </c>
      <c r="B1606" t="s">
        <v>41</v>
      </c>
    </row>
    <row r="1607" spans="1:2" x14ac:dyDescent="0.25">
      <c r="A1607">
        <v>11632836</v>
      </c>
      <c r="B1607" t="s">
        <v>41</v>
      </c>
    </row>
    <row r="1608" spans="1:2" x14ac:dyDescent="0.25">
      <c r="A1608">
        <v>11634514</v>
      </c>
      <c r="B1608" t="s">
        <v>41</v>
      </c>
    </row>
    <row r="1609" spans="1:2" x14ac:dyDescent="0.25">
      <c r="A1609">
        <v>11629601</v>
      </c>
      <c r="B1609" t="s">
        <v>41</v>
      </c>
    </row>
    <row r="1610" spans="1:2" x14ac:dyDescent="0.25">
      <c r="A1610">
        <v>11718354</v>
      </c>
      <c r="B1610" t="s">
        <v>41</v>
      </c>
    </row>
    <row r="1611" spans="1:2" x14ac:dyDescent="0.25">
      <c r="A1611">
        <v>11668066</v>
      </c>
      <c r="B1611" t="s">
        <v>41</v>
      </c>
    </row>
    <row r="1612" spans="1:2" x14ac:dyDescent="0.25">
      <c r="A1612">
        <v>11669920</v>
      </c>
      <c r="B1612" t="s">
        <v>41</v>
      </c>
    </row>
    <row r="1613" spans="1:2" x14ac:dyDescent="0.25">
      <c r="A1613">
        <v>11670354</v>
      </c>
      <c r="B1613" t="s">
        <v>41</v>
      </c>
    </row>
    <row r="1614" spans="1:2" x14ac:dyDescent="0.25">
      <c r="A1614">
        <v>11664229</v>
      </c>
      <c r="B1614" t="s">
        <v>41</v>
      </c>
    </row>
    <row r="1615" spans="1:2" x14ac:dyDescent="0.25">
      <c r="A1615">
        <v>11256419</v>
      </c>
      <c r="B1615" t="s">
        <v>41</v>
      </c>
    </row>
    <row r="1616" spans="1:2" x14ac:dyDescent="0.25">
      <c r="A1616">
        <v>11348055</v>
      </c>
      <c r="B1616" t="s">
        <v>41</v>
      </c>
    </row>
    <row r="1617" spans="1:2" x14ac:dyDescent="0.25">
      <c r="A1617">
        <v>11348066</v>
      </c>
      <c r="B1617" t="s">
        <v>41</v>
      </c>
    </row>
    <row r="1618" spans="1:2" x14ac:dyDescent="0.25">
      <c r="A1618">
        <v>11348071</v>
      </c>
      <c r="B1618" t="s">
        <v>41</v>
      </c>
    </row>
    <row r="1619" spans="1:2" x14ac:dyDescent="0.25">
      <c r="A1619">
        <v>11348115</v>
      </c>
      <c r="B1619" t="s">
        <v>41</v>
      </c>
    </row>
    <row r="1620" spans="1:2" x14ac:dyDescent="0.25">
      <c r="A1620">
        <v>11348193</v>
      </c>
      <c r="B1620" t="s">
        <v>41</v>
      </c>
    </row>
    <row r="1621" spans="1:2" x14ac:dyDescent="0.25">
      <c r="A1621">
        <v>11348291</v>
      </c>
      <c r="B1621" t="s">
        <v>41</v>
      </c>
    </row>
    <row r="1622" spans="1:2" x14ac:dyDescent="0.25">
      <c r="A1622">
        <v>11607995</v>
      </c>
      <c r="B1622" t="s">
        <v>41</v>
      </c>
    </row>
    <row r="1623" spans="1:2" x14ac:dyDescent="0.25">
      <c r="A1623">
        <v>11817966</v>
      </c>
      <c r="B1623" t="s">
        <v>41</v>
      </c>
    </row>
    <row r="1624" spans="1:2" x14ac:dyDescent="0.25">
      <c r="A1624">
        <v>11818002</v>
      </c>
      <c r="B1624" t="s">
        <v>41</v>
      </c>
    </row>
    <row r="1625" spans="1:2" x14ac:dyDescent="0.25">
      <c r="A1625">
        <v>11851375</v>
      </c>
      <c r="B1625" t="s">
        <v>41</v>
      </c>
    </row>
    <row r="1626" spans="1:2" x14ac:dyDescent="0.25">
      <c r="A1626">
        <v>11660141</v>
      </c>
      <c r="B1626" t="s">
        <v>41</v>
      </c>
    </row>
    <row r="1627" spans="1:2" x14ac:dyDescent="0.25">
      <c r="A1627">
        <v>11543436</v>
      </c>
      <c r="B1627" t="s">
        <v>41</v>
      </c>
    </row>
    <row r="1628" spans="1:2" x14ac:dyDescent="0.25">
      <c r="A1628">
        <v>11407860</v>
      </c>
      <c r="B1628" t="s">
        <v>41</v>
      </c>
    </row>
    <row r="1629" spans="1:2" x14ac:dyDescent="0.25">
      <c r="A1629">
        <v>11465990</v>
      </c>
      <c r="B1629" t="s">
        <v>41</v>
      </c>
    </row>
    <row r="1630" spans="1:2" x14ac:dyDescent="0.25">
      <c r="A1630">
        <v>11345590</v>
      </c>
      <c r="B1630" t="s">
        <v>41</v>
      </c>
    </row>
    <row r="1631" spans="1:2" x14ac:dyDescent="0.25">
      <c r="A1631">
        <v>11391351</v>
      </c>
      <c r="B1631" t="s">
        <v>41</v>
      </c>
    </row>
    <row r="1632" spans="1:2" x14ac:dyDescent="0.25">
      <c r="A1632">
        <v>11284380</v>
      </c>
      <c r="B1632" t="s">
        <v>41</v>
      </c>
    </row>
    <row r="1633" spans="1:2" x14ac:dyDescent="0.25">
      <c r="A1633">
        <v>11092543</v>
      </c>
      <c r="B1633" t="s">
        <v>41</v>
      </c>
    </row>
    <row r="1634" spans="1:2" x14ac:dyDescent="0.25">
      <c r="A1634">
        <v>11094076</v>
      </c>
      <c r="B1634" t="s">
        <v>41</v>
      </c>
    </row>
    <row r="1635" spans="1:2" x14ac:dyDescent="0.25">
      <c r="A1635">
        <v>11183749</v>
      </c>
      <c r="B1635" t="s">
        <v>41</v>
      </c>
    </row>
    <row r="1636" spans="1:2" x14ac:dyDescent="0.25">
      <c r="A1636">
        <v>11194335</v>
      </c>
      <c r="B1636" t="s">
        <v>41</v>
      </c>
    </row>
    <row r="1637" spans="1:2" x14ac:dyDescent="0.25">
      <c r="A1637">
        <v>10954754</v>
      </c>
      <c r="B1637" t="s">
        <v>41</v>
      </c>
    </row>
    <row r="1638" spans="1:2" x14ac:dyDescent="0.25">
      <c r="A1638">
        <v>11008827</v>
      </c>
      <c r="B1638" t="s">
        <v>41</v>
      </c>
    </row>
    <row r="1639" spans="1:2" x14ac:dyDescent="0.25">
      <c r="A1639">
        <v>11715359</v>
      </c>
      <c r="B1639" t="s">
        <v>41</v>
      </c>
    </row>
    <row r="1640" spans="1:2" x14ac:dyDescent="0.25">
      <c r="A1640">
        <v>11630850</v>
      </c>
      <c r="B1640" t="s">
        <v>41</v>
      </c>
    </row>
    <row r="1641" spans="1:2" x14ac:dyDescent="0.25">
      <c r="A1641">
        <v>11496682</v>
      </c>
      <c r="B1641" t="s">
        <v>41</v>
      </c>
    </row>
    <row r="1642" spans="1:2" x14ac:dyDescent="0.25">
      <c r="A1642">
        <v>11483552</v>
      </c>
      <c r="B1642" t="s">
        <v>41</v>
      </c>
    </row>
    <row r="1643" spans="1:2" x14ac:dyDescent="0.25">
      <c r="A1643">
        <v>11607873</v>
      </c>
      <c r="B1643" t="s">
        <v>41</v>
      </c>
    </row>
    <row r="1644" spans="1:2" x14ac:dyDescent="0.25">
      <c r="A1644">
        <v>11694919</v>
      </c>
      <c r="B1644" t="s">
        <v>41</v>
      </c>
    </row>
    <row r="1645" spans="1:2" x14ac:dyDescent="0.25">
      <c r="A1645">
        <v>11856048</v>
      </c>
      <c r="B1645" t="s">
        <v>41</v>
      </c>
    </row>
    <row r="1646" spans="1:2" x14ac:dyDescent="0.25">
      <c r="A1646">
        <v>11300762</v>
      </c>
      <c r="B1646" t="s">
        <v>41</v>
      </c>
    </row>
    <row r="1647" spans="1:2" x14ac:dyDescent="0.25">
      <c r="A1647">
        <v>11708055</v>
      </c>
      <c r="B1647" t="s">
        <v>41</v>
      </c>
    </row>
    <row r="1648" spans="1:2" x14ac:dyDescent="0.25">
      <c r="A1648">
        <v>11345411</v>
      </c>
      <c r="B1648" t="s">
        <v>41</v>
      </c>
    </row>
    <row r="1649" spans="1:2" x14ac:dyDescent="0.25">
      <c r="A1649">
        <v>11347478</v>
      </c>
      <c r="B1649" t="s">
        <v>41</v>
      </c>
    </row>
    <row r="1650" spans="1:2" x14ac:dyDescent="0.25">
      <c r="A1650">
        <v>11382988</v>
      </c>
      <c r="B1650" t="s">
        <v>41</v>
      </c>
    </row>
    <row r="1651" spans="1:2" x14ac:dyDescent="0.25">
      <c r="A1651">
        <v>11396053</v>
      </c>
      <c r="B1651" t="s">
        <v>41</v>
      </c>
    </row>
    <row r="1652" spans="1:2" x14ac:dyDescent="0.25">
      <c r="A1652">
        <v>11408282</v>
      </c>
      <c r="B1652" t="s">
        <v>41</v>
      </c>
    </row>
    <row r="1653" spans="1:2" x14ac:dyDescent="0.25">
      <c r="A1653">
        <v>11408945</v>
      </c>
      <c r="B1653" t="s">
        <v>41</v>
      </c>
    </row>
    <row r="1654" spans="1:2" x14ac:dyDescent="0.25">
      <c r="A1654">
        <v>10721281</v>
      </c>
      <c r="B1654" t="s">
        <v>41</v>
      </c>
    </row>
    <row r="1655" spans="1:2" x14ac:dyDescent="0.25">
      <c r="A1655">
        <v>10722962</v>
      </c>
      <c r="B1655" t="s">
        <v>41</v>
      </c>
    </row>
    <row r="1656" spans="1:2" x14ac:dyDescent="0.25">
      <c r="A1656">
        <v>10724692</v>
      </c>
      <c r="B1656" t="s">
        <v>41</v>
      </c>
    </row>
    <row r="1657" spans="1:2" x14ac:dyDescent="0.25">
      <c r="A1657">
        <v>10704307</v>
      </c>
      <c r="B1657" t="s">
        <v>41</v>
      </c>
    </row>
    <row r="1658" spans="1:2" x14ac:dyDescent="0.25">
      <c r="A1658">
        <v>10705066</v>
      </c>
      <c r="B1658" t="s">
        <v>41</v>
      </c>
    </row>
    <row r="1659" spans="1:2" x14ac:dyDescent="0.25">
      <c r="A1659">
        <v>10705414</v>
      </c>
      <c r="B1659" t="s">
        <v>41</v>
      </c>
    </row>
    <row r="1660" spans="1:2" x14ac:dyDescent="0.25">
      <c r="A1660">
        <v>10698064</v>
      </c>
      <c r="B1660" t="s">
        <v>41</v>
      </c>
    </row>
    <row r="1661" spans="1:2" x14ac:dyDescent="0.25">
      <c r="A1661">
        <v>11626985</v>
      </c>
      <c r="B1661" t="s">
        <v>41</v>
      </c>
    </row>
    <row r="1662" spans="1:2" x14ac:dyDescent="0.25">
      <c r="A1662">
        <v>11617902</v>
      </c>
      <c r="B1662" t="s">
        <v>41</v>
      </c>
    </row>
    <row r="1663" spans="1:2" x14ac:dyDescent="0.25">
      <c r="A1663">
        <v>11617974</v>
      </c>
      <c r="B1663" t="s">
        <v>41</v>
      </c>
    </row>
    <row r="1664" spans="1:2" x14ac:dyDescent="0.25">
      <c r="A1664">
        <v>11618283</v>
      </c>
      <c r="B1664" t="s">
        <v>41</v>
      </c>
    </row>
    <row r="1665" spans="1:2" x14ac:dyDescent="0.25">
      <c r="A1665">
        <v>11111175</v>
      </c>
      <c r="B1665" t="s">
        <v>41</v>
      </c>
    </row>
    <row r="1666" spans="1:2" x14ac:dyDescent="0.25">
      <c r="A1666">
        <v>11112751</v>
      </c>
      <c r="B1666" t="s">
        <v>41</v>
      </c>
    </row>
    <row r="1667" spans="1:2" x14ac:dyDescent="0.25">
      <c r="A1667">
        <v>10791477</v>
      </c>
      <c r="B1667" t="s">
        <v>41</v>
      </c>
    </row>
    <row r="1668" spans="1:2" x14ac:dyDescent="0.25">
      <c r="A1668">
        <v>10791560</v>
      </c>
      <c r="B1668" t="s">
        <v>41</v>
      </c>
    </row>
    <row r="1669" spans="1:2" x14ac:dyDescent="0.25">
      <c r="A1669">
        <v>10794152</v>
      </c>
      <c r="B1669" t="s">
        <v>41</v>
      </c>
    </row>
    <row r="1670" spans="1:2" x14ac:dyDescent="0.25">
      <c r="A1670">
        <v>10796317</v>
      </c>
      <c r="B1670" t="s">
        <v>41</v>
      </c>
    </row>
    <row r="1671" spans="1:2" x14ac:dyDescent="0.25">
      <c r="A1671">
        <v>11282991</v>
      </c>
      <c r="B1671" t="s">
        <v>41</v>
      </c>
    </row>
    <row r="1672" spans="1:2" x14ac:dyDescent="0.25">
      <c r="A1672">
        <v>11284023</v>
      </c>
      <c r="B1672" t="s">
        <v>41</v>
      </c>
    </row>
    <row r="1673" spans="1:2" x14ac:dyDescent="0.25">
      <c r="A1673">
        <v>11070606</v>
      </c>
      <c r="B1673" t="s">
        <v>39</v>
      </c>
    </row>
    <row r="1674" spans="1:2" x14ac:dyDescent="0.25">
      <c r="A1674">
        <v>11071869</v>
      </c>
      <c r="B1674" t="s">
        <v>39</v>
      </c>
    </row>
    <row r="1675" spans="1:2" x14ac:dyDescent="0.25">
      <c r="A1675">
        <v>11068504</v>
      </c>
      <c r="B1675" t="s">
        <v>39</v>
      </c>
    </row>
    <row r="1676" spans="1:2" x14ac:dyDescent="0.25">
      <c r="A1676">
        <v>11599703</v>
      </c>
      <c r="B1676" t="s">
        <v>39</v>
      </c>
    </row>
    <row r="1677" spans="1:2" x14ac:dyDescent="0.25">
      <c r="A1677">
        <v>11344704</v>
      </c>
      <c r="B1677" t="s">
        <v>39</v>
      </c>
    </row>
    <row r="1678" spans="1:2" x14ac:dyDescent="0.25">
      <c r="A1678">
        <v>11264792</v>
      </c>
      <c r="B1678" t="s">
        <v>39</v>
      </c>
    </row>
    <row r="1679" spans="1:2" x14ac:dyDescent="0.25">
      <c r="A1679">
        <v>11933972</v>
      </c>
      <c r="B1679" t="s">
        <v>39</v>
      </c>
    </row>
    <row r="1680" spans="1:2" x14ac:dyDescent="0.25">
      <c r="A1680">
        <v>11290065</v>
      </c>
      <c r="B1680" t="s">
        <v>39</v>
      </c>
    </row>
    <row r="1681" spans="1:2" x14ac:dyDescent="0.25">
      <c r="A1681">
        <v>11334533</v>
      </c>
      <c r="B1681" t="s">
        <v>39</v>
      </c>
    </row>
    <row r="1682" spans="1:2" x14ac:dyDescent="0.25">
      <c r="A1682">
        <v>11346530</v>
      </c>
      <c r="B1682" t="s">
        <v>39</v>
      </c>
    </row>
    <row r="1683" spans="1:2" x14ac:dyDescent="0.25">
      <c r="A1683">
        <v>11421234</v>
      </c>
      <c r="B1683" t="s">
        <v>39</v>
      </c>
    </row>
    <row r="1684" spans="1:2" x14ac:dyDescent="0.25">
      <c r="A1684">
        <v>11715844</v>
      </c>
      <c r="B1684" t="s">
        <v>39</v>
      </c>
    </row>
    <row r="1685" spans="1:2" x14ac:dyDescent="0.25">
      <c r="A1685">
        <v>11724450</v>
      </c>
      <c r="B1685" t="s">
        <v>39</v>
      </c>
    </row>
    <row r="1686" spans="1:2" x14ac:dyDescent="0.25">
      <c r="A1686">
        <v>11461300</v>
      </c>
      <c r="B1686" t="s">
        <v>39</v>
      </c>
    </row>
    <row r="1687" spans="1:2" x14ac:dyDescent="0.25">
      <c r="A1687">
        <v>11445191</v>
      </c>
      <c r="B1687" t="s">
        <v>39</v>
      </c>
    </row>
    <row r="1688" spans="1:2" x14ac:dyDescent="0.25">
      <c r="A1688">
        <v>11453877</v>
      </c>
      <c r="B1688" t="s">
        <v>39</v>
      </c>
    </row>
    <row r="1689" spans="1:2" x14ac:dyDescent="0.25">
      <c r="A1689">
        <v>11520708</v>
      </c>
      <c r="B1689" t="s">
        <v>39</v>
      </c>
    </row>
    <row r="1690" spans="1:2" x14ac:dyDescent="0.25">
      <c r="A1690">
        <v>11091695</v>
      </c>
      <c r="B1690" t="s">
        <v>39</v>
      </c>
    </row>
    <row r="1691" spans="1:2" x14ac:dyDescent="0.25">
      <c r="A1691">
        <v>11047536</v>
      </c>
      <c r="B1691" t="s">
        <v>39</v>
      </c>
    </row>
    <row r="1692" spans="1:2" x14ac:dyDescent="0.25">
      <c r="A1692">
        <v>10958736</v>
      </c>
      <c r="B1692" t="s">
        <v>39</v>
      </c>
    </row>
    <row r="1693" spans="1:2" x14ac:dyDescent="0.25">
      <c r="A1693">
        <v>10961624</v>
      </c>
      <c r="B1693" t="s">
        <v>39</v>
      </c>
    </row>
    <row r="1694" spans="1:2" x14ac:dyDescent="0.25">
      <c r="A1694">
        <v>10980224</v>
      </c>
      <c r="B1694" t="s">
        <v>39</v>
      </c>
    </row>
    <row r="1695" spans="1:2" x14ac:dyDescent="0.25">
      <c r="A1695">
        <v>10853591</v>
      </c>
      <c r="B1695" t="s">
        <v>39</v>
      </c>
    </row>
    <row r="1696" spans="1:2" x14ac:dyDescent="0.25">
      <c r="A1696">
        <v>10919276</v>
      </c>
      <c r="B1696" t="s">
        <v>39</v>
      </c>
    </row>
    <row r="1697" spans="1:2" x14ac:dyDescent="0.25">
      <c r="A1697">
        <v>10640009</v>
      </c>
      <c r="B1697" t="s">
        <v>39</v>
      </c>
    </row>
    <row r="1698" spans="1:2" x14ac:dyDescent="0.25">
      <c r="A1698">
        <v>10676449</v>
      </c>
      <c r="B1698" t="s">
        <v>39</v>
      </c>
    </row>
    <row r="1699" spans="1:2" x14ac:dyDescent="0.25">
      <c r="A1699">
        <v>10696938</v>
      </c>
      <c r="B1699" t="s">
        <v>39</v>
      </c>
    </row>
    <row r="1700" spans="1:2" x14ac:dyDescent="0.25">
      <c r="A1700">
        <v>10705532</v>
      </c>
      <c r="B1700" t="s">
        <v>39</v>
      </c>
    </row>
    <row r="1701" spans="1:2" x14ac:dyDescent="0.25">
      <c r="A1701">
        <v>10885182</v>
      </c>
      <c r="B1701" t="s">
        <v>39</v>
      </c>
    </row>
    <row r="1702" spans="1:2" x14ac:dyDescent="0.25">
      <c r="A1702">
        <v>10913550</v>
      </c>
      <c r="B1702" t="s">
        <v>39</v>
      </c>
    </row>
    <row r="1703" spans="1:2" x14ac:dyDescent="0.25">
      <c r="A1703">
        <v>10964224</v>
      </c>
      <c r="B1703" t="s">
        <v>39</v>
      </c>
    </row>
    <row r="1704" spans="1:2" x14ac:dyDescent="0.25">
      <c r="A1704">
        <v>11023211</v>
      </c>
      <c r="B1704" t="s">
        <v>39</v>
      </c>
    </row>
    <row r="1705" spans="1:2" x14ac:dyDescent="0.25">
      <c r="A1705">
        <v>11311517</v>
      </c>
      <c r="B1705" t="s">
        <v>39</v>
      </c>
    </row>
    <row r="1706" spans="1:2" x14ac:dyDescent="0.25">
      <c r="A1706">
        <v>11581769</v>
      </c>
      <c r="B1706" t="s">
        <v>39</v>
      </c>
    </row>
    <row r="1707" spans="1:2" x14ac:dyDescent="0.25">
      <c r="A1707">
        <v>11824982</v>
      </c>
      <c r="B1707" t="s">
        <v>39</v>
      </c>
    </row>
    <row r="1708" spans="1:2" x14ac:dyDescent="0.25">
      <c r="A1708">
        <v>11613507</v>
      </c>
      <c r="B1708" t="s">
        <v>39</v>
      </c>
    </row>
    <row r="1709" spans="1:2" x14ac:dyDescent="0.25">
      <c r="A1709">
        <v>11592974</v>
      </c>
      <c r="B1709" t="s">
        <v>39</v>
      </c>
    </row>
    <row r="1710" spans="1:2" x14ac:dyDescent="0.25">
      <c r="A1710">
        <v>11627077</v>
      </c>
      <c r="B1710" t="s">
        <v>39</v>
      </c>
    </row>
    <row r="1711" spans="1:2" x14ac:dyDescent="0.25">
      <c r="A1711">
        <v>11574073</v>
      </c>
      <c r="B1711" t="s">
        <v>39</v>
      </c>
    </row>
    <row r="1712" spans="1:2" x14ac:dyDescent="0.25">
      <c r="A1712">
        <v>11643814</v>
      </c>
      <c r="B1712" t="s">
        <v>39</v>
      </c>
    </row>
    <row r="1713" spans="1:2" x14ac:dyDescent="0.25">
      <c r="A1713">
        <v>11740769</v>
      </c>
      <c r="B1713" t="s">
        <v>39</v>
      </c>
    </row>
    <row r="1714" spans="1:2" x14ac:dyDescent="0.25">
      <c r="A1714">
        <v>11645505</v>
      </c>
      <c r="B1714" t="s">
        <v>39</v>
      </c>
    </row>
    <row r="1715" spans="1:2" x14ac:dyDescent="0.25">
      <c r="A1715">
        <v>11971167</v>
      </c>
      <c r="B1715" t="s">
        <v>39</v>
      </c>
    </row>
    <row r="1716" spans="1:2" x14ac:dyDescent="0.25">
      <c r="A1716">
        <v>11937987</v>
      </c>
      <c r="B1716" t="s">
        <v>39</v>
      </c>
    </row>
    <row r="1717" spans="1:2" x14ac:dyDescent="0.25">
      <c r="A1717">
        <v>11942566</v>
      </c>
      <c r="B1717" t="s">
        <v>39</v>
      </c>
    </row>
    <row r="1718" spans="1:2" x14ac:dyDescent="0.25">
      <c r="A1718">
        <v>11993184</v>
      </c>
      <c r="B1718" t="s">
        <v>39</v>
      </c>
    </row>
    <row r="1719" spans="1:2" x14ac:dyDescent="0.25">
      <c r="A1719">
        <v>11999840</v>
      </c>
      <c r="B1719" t="s">
        <v>39</v>
      </c>
    </row>
    <row r="1720" spans="1:2" x14ac:dyDescent="0.25">
      <c r="A1720">
        <v>12015655</v>
      </c>
      <c r="B1720" t="s">
        <v>39</v>
      </c>
    </row>
    <row r="1721" spans="1:2" x14ac:dyDescent="0.25">
      <c r="A1721">
        <v>12019895</v>
      </c>
      <c r="B1721" t="s">
        <v>39</v>
      </c>
    </row>
    <row r="1722" spans="1:2" x14ac:dyDescent="0.25">
      <c r="A1722">
        <v>12020519</v>
      </c>
      <c r="B1722" t="s">
        <v>39</v>
      </c>
    </row>
    <row r="1723" spans="1:2" x14ac:dyDescent="0.25">
      <c r="A1723">
        <v>12025673</v>
      </c>
      <c r="B1723" t="s">
        <v>39</v>
      </c>
    </row>
    <row r="1724" spans="1:2" x14ac:dyDescent="0.25">
      <c r="A1724">
        <v>11594118</v>
      </c>
      <c r="B1724" t="s">
        <v>39</v>
      </c>
    </row>
    <row r="1725" spans="1:2" x14ac:dyDescent="0.25">
      <c r="A1725">
        <v>11594788</v>
      </c>
      <c r="B1725" t="s">
        <v>39</v>
      </c>
    </row>
    <row r="1726" spans="1:2" x14ac:dyDescent="0.25">
      <c r="A1726">
        <v>11600231</v>
      </c>
      <c r="B1726" t="s">
        <v>39</v>
      </c>
    </row>
    <row r="1727" spans="1:2" x14ac:dyDescent="0.25">
      <c r="A1727">
        <v>11630105</v>
      </c>
      <c r="B1727" t="s">
        <v>39</v>
      </c>
    </row>
    <row r="1728" spans="1:2" x14ac:dyDescent="0.25">
      <c r="A1728">
        <v>10623424</v>
      </c>
      <c r="B1728" t="s">
        <v>39</v>
      </c>
    </row>
    <row r="1729" spans="1:2" x14ac:dyDescent="0.25">
      <c r="A1729">
        <v>11047468</v>
      </c>
      <c r="B1729" t="s">
        <v>40</v>
      </c>
    </row>
    <row r="1730" spans="1:2" x14ac:dyDescent="0.25">
      <c r="A1730">
        <v>10645204</v>
      </c>
      <c r="B1730" t="s">
        <v>40</v>
      </c>
    </row>
    <row r="1731" spans="1:2" x14ac:dyDescent="0.25">
      <c r="A1731">
        <v>10860175</v>
      </c>
      <c r="B1731" t="s">
        <v>40</v>
      </c>
    </row>
    <row r="1732" spans="1:2" x14ac:dyDescent="0.25">
      <c r="A1732">
        <v>11530289</v>
      </c>
      <c r="B1732" t="s">
        <v>39</v>
      </c>
    </row>
    <row r="1733" spans="1:2" x14ac:dyDescent="0.25">
      <c r="A1733">
        <v>11453301</v>
      </c>
      <c r="B1733" t="s">
        <v>39</v>
      </c>
    </row>
    <row r="1734" spans="1:2" x14ac:dyDescent="0.25">
      <c r="A1734">
        <v>11461317</v>
      </c>
      <c r="B1734" t="s">
        <v>39</v>
      </c>
    </row>
    <row r="1735" spans="1:2" x14ac:dyDescent="0.25">
      <c r="A1735">
        <v>11361866</v>
      </c>
      <c r="B1735" t="s">
        <v>39</v>
      </c>
    </row>
    <row r="1736" spans="1:2" x14ac:dyDescent="0.25">
      <c r="A1736">
        <v>11391005</v>
      </c>
      <c r="B1736" t="s">
        <v>39</v>
      </c>
    </row>
    <row r="1737" spans="1:2" x14ac:dyDescent="0.25">
      <c r="A1737">
        <v>10621522</v>
      </c>
      <c r="B1737" t="s">
        <v>40</v>
      </c>
    </row>
    <row r="1738" spans="1:2" x14ac:dyDescent="0.25">
      <c r="A1738">
        <v>11422047</v>
      </c>
      <c r="B1738" t="s">
        <v>39</v>
      </c>
    </row>
    <row r="1739" spans="1:2" x14ac:dyDescent="0.25">
      <c r="A1739">
        <v>11047537</v>
      </c>
      <c r="B1739" t="s">
        <v>39</v>
      </c>
    </row>
    <row r="1740" spans="1:2" x14ac:dyDescent="0.25">
      <c r="A1740">
        <v>11222406</v>
      </c>
      <c r="B1740" t="s">
        <v>39</v>
      </c>
    </row>
    <row r="1741" spans="1:2" x14ac:dyDescent="0.25">
      <c r="A1741">
        <v>11290662</v>
      </c>
      <c r="B1741" t="s">
        <v>39</v>
      </c>
    </row>
    <row r="1742" spans="1:2" x14ac:dyDescent="0.25">
      <c r="A1742">
        <v>10803939</v>
      </c>
      <c r="B1742" t="s">
        <v>39</v>
      </c>
    </row>
    <row r="1743" spans="1:2" x14ac:dyDescent="0.25">
      <c r="A1743">
        <v>10808217</v>
      </c>
      <c r="B1743" t="s">
        <v>39</v>
      </c>
    </row>
    <row r="1744" spans="1:2" x14ac:dyDescent="0.25">
      <c r="A1744">
        <v>10809356</v>
      </c>
      <c r="B1744" t="s">
        <v>39</v>
      </c>
    </row>
    <row r="1745" spans="1:2" x14ac:dyDescent="0.25">
      <c r="A1745">
        <v>10849290</v>
      </c>
      <c r="B1745" t="s">
        <v>39</v>
      </c>
    </row>
    <row r="1746" spans="1:2" x14ac:dyDescent="0.25">
      <c r="A1746">
        <v>10891107</v>
      </c>
      <c r="B1746" t="s">
        <v>39</v>
      </c>
    </row>
    <row r="1747" spans="1:2" x14ac:dyDescent="0.25">
      <c r="A1747">
        <v>10891198</v>
      </c>
      <c r="B1747" t="s">
        <v>39</v>
      </c>
    </row>
    <row r="1748" spans="1:2" x14ac:dyDescent="0.25">
      <c r="A1748">
        <v>10749434</v>
      </c>
      <c r="B1748" t="s">
        <v>39</v>
      </c>
    </row>
    <row r="1749" spans="1:2" x14ac:dyDescent="0.25">
      <c r="A1749">
        <v>10777652</v>
      </c>
      <c r="B1749" t="s">
        <v>39</v>
      </c>
    </row>
    <row r="1750" spans="1:2" x14ac:dyDescent="0.25">
      <c r="A1750">
        <v>10703830</v>
      </c>
      <c r="B1750" t="s">
        <v>39</v>
      </c>
    </row>
    <row r="1751" spans="1:2" x14ac:dyDescent="0.25">
      <c r="A1751">
        <v>10719260</v>
      </c>
      <c r="B1751" t="s">
        <v>37</v>
      </c>
    </row>
    <row r="1752" spans="1:2" x14ac:dyDescent="0.25">
      <c r="A1752">
        <v>10719817</v>
      </c>
      <c r="B1752" t="s">
        <v>37</v>
      </c>
    </row>
    <row r="1753" spans="1:2" x14ac:dyDescent="0.25">
      <c r="A1753">
        <v>11684528</v>
      </c>
      <c r="B1753" t="s">
        <v>39</v>
      </c>
    </row>
    <row r="1754" spans="1:2" x14ac:dyDescent="0.25">
      <c r="A1754">
        <v>11699064</v>
      </c>
      <c r="B1754" t="s">
        <v>39</v>
      </c>
    </row>
    <row r="1755" spans="1:2" x14ac:dyDescent="0.25">
      <c r="A1755">
        <v>11272773</v>
      </c>
      <c r="B1755" t="s">
        <v>39</v>
      </c>
    </row>
    <row r="1756" spans="1:2" x14ac:dyDescent="0.25">
      <c r="A1756">
        <v>11349650</v>
      </c>
      <c r="B1756" t="s">
        <v>39</v>
      </c>
    </row>
    <row r="1757" spans="1:2" x14ac:dyDescent="0.25">
      <c r="A1757">
        <v>11775697</v>
      </c>
      <c r="B1757" t="s">
        <v>39</v>
      </c>
    </row>
    <row r="1758" spans="1:2" x14ac:dyDescent="0.25">
      <c r="A1758">
        <v>10806920</v>
      </c>
      <c r="B1758" t="s">
        <v>39</v>
      </c>
    </row>
    <row r="1759" spans="1:2" x14ac:dyDescent="0.25">
      <c r="A1759">
        <v>10691204</v>
      </c>
      <c r="B1759" t="s">
        <v>37</v>
      </c>
    </row>
    <row r="1760" spans="1:2" x14ac:dyDescent="0.25">
      <c r="A1760">
        <v>10939465</v>
      </c>
      <c r="B1760" t="s">
        <v>37</v>
      </c>
    </row>
    <row r="1761" spans="1:2" x14ac:dyDescent="0.25">
      <c r="A1761">
        <v>10935283</v>
      </c>
      <c r="B1761" t="s">
        <v>37</v>
      </c>
    </row>
    <row r="1762" spans="1:2" x14ac:dyDescent="0.25">
      <c r="A1762">
        <v>10936560</v>
      </c>
      <c r="B1762" t="s">
        <v>37</v>
      </c>
    </row>
    <row r="1763" spans="1:2" x14ac:dyDescent="0.25">
      <c r="A1763">
        <v>10933651</v>
      </c>
      <c r="B1763" t="s">
        <v>37</v>
      </c>
    </row>
    <row r="1764" spans="1:2" x14ac:dyDescent="0.25">
      <c r="A1764">
        <v>11267521</v>
      </c>
      <c r="B1764" t="s">
        <v>37</v>
      </c>
    </row>
    <row r="1765" spans="1:2" x14ac:dyDescent="0.25">
      <c r="A1765">
        <v>11347589</v>
      </c>
      <c r="B1765" t="s">
        <v>37</v>
      </c>
    </row>
    <row r="1766" spans="1:2" x14ac:dyDescent="0.25">
      <c r="A1766">
        <v>11282555</v>
      </c>
      <c r="B1766" t="s">
        <v>37</v>
      </c>
    </row>
    <row r="1767" spans="1:2" x14ac:dyDescent="0.25">
      <c r="A1767">
        <v>11273353</v>
      </c>
      <c r="B1767" t="s">
        <v>37</v>
      </c>
    </row>
    <row r="1768" spans="1:2" x14ac:dyDescent="0.25">
      <c r="A1768">
        <v>11673966</v>
      </c>
      <c r="B1768" t="s">
        <v>37</v>
      </c>
    </row>
    <row r="1769" spans="1:2" x14ac:dyDescent="0.25">
      <c r="A1769">
        <v>11674740</v>
      </c>
      <c r="B1769" t="s">
        <v>37</v>
      </c>
    </row>
    <row r="1770" spans="1:2" x14ac:dyDescent="0.25">
      <c r="A1770">
        <v>11646736</v>
      </c>
      <c r="B1770" t="s">
        <v>37</v>
      </c>
    </row>
    <row r="1771" spans="1:2" x14ac:dyDescent="0.25">
      <c r="A1771">
        <v>11666215</v>
      </c>
      <c r="B1771" t="s">
        <v>37</v>
      </c>
    </row>
    <row r="1772" spans="1:2" x14ac:dyDescent="0.25">
      <c r="A1772">
        <v>11650191</v>
      </c>
      <c r="B1772" t="s">
        <v>37</v>
      </c>
    </row>
    <row r="1773" spans="1:2" x14ac:dyDescent="0.25">
      <c r="A1773">
        <v>11717257</v>
      </c>
      <c r="B1773" t="s">
        <v>37</v>
      </c>
    </row>
    <row r="1774" spans="1:2" x14ac:dyDescent="0.25">
      <c r="A1774">
        <v>11623552</v>
      </c>
      <c r="B1774" t="s">
        <v>37</v>
      </c>
    </row>
    <row r="1775" spans="1:2" x14ac:dyDescent="0.25">
      <c r="A1775">
        <v>11579800</v>
      </c>
      <c r="B1775" t="s">
        <v>39</v>
      </c>
    </row>
    <row r="1776" spans="1:2" x14ac:dyDescent="0.25">
      <c r="A1776">
        <v>11608030</v>
      </c>
      <c r="B1776" t="s">
        <v>39</v>
      </c>
    </row>
    <row r="1777" spans="1:2" x14ac:dyDescent="0.25">
      <c r="A1777">
        <v>10747018</v>
      </c>
      <c r="B1777" t="s">
        <v>37</v>
      </c>
    </row>
    <row r="1778" spans="1:2" x14ac:dyDescent="0.25">
      <c r="A1778">
        <v>10745001</v>
      </c>
      <c r="B1778" t="s">
        <v>37</v>
      </c>
    </row>
    <row r="1779" spans="1:2" x14ac:dyDescent="0.25">
      <c r="A1779">
        <v>10737411</v>
      </c>
      <c r="B1779" t="s">
        <v>37</v>
      </c>
    </row>
    <row r="1780" spans="1:2" x14ac:dyDescent="0.25">
      <c r="A1780">
        <v>10846157</v>
      </c>
      <c r="B1780" t="s">
        <v>37</v>
      </c>
    </row>
    <row r="1781" spans="1:2" x14ac:dyDescent="0.25">
      <c r="A1781">
        <v>10834999</v>
      </c>
      <c r="B1781" t="s">
        <v>37</v>
      </c>
    </row>
    <row r="1782" spans="1:2" x14ac:dyDescent="0.25">
      <c r="A1782">
        <v>10826533</v>
      </c>
      <c r="B1782" t="s">
        <v>37</v>
      </c>
    </row>
    <row r="1783" spans="1:2" x14ac:dyDescent="0.25">
      <c r="A1783">
        <v>10817655</v>
      </c>
      <c r="B1783" t="s">
        <v>37</v>
      </c>
    </row>
    <row r="1784" spans="1:2" x14ac:dyDescent="0.25">
      <c r="A1784">
        <v>10818860</v>
      </c>
      <c r="B1784" t="s">
        <v>37</v>
      </c>
    </row>
    <row r="1785" spans="1:2" x14ac:dyDescent="0.25">
      <c r="A1785">
        <v>10824328</v>
      </c>
      <c r="B1785" t="s">
        <v>37</v>
      </c>
    </row>
    <row r="1786" spans="1:2" x14ac:dyDescent="0.25">
      <c r="A1786">
        <v>10804267</v>
      </c>
      <c r="B1786" t="s">
        <v>37</v>
      </c>
    </row>
    <row r="1787" spans="1:2" x14ac:dyDescent="0.25">
      <c r="A1787">
        <v>11216187</v>
      </c>
      <c r="B1787" t="s">
        <v>37</v>
      </c>
    </row>
    <row r="1788" spans="1:2" x14ac:dyDescent="0.25">
      <c r="A1788">
        <v>11070445</v>
      </c>
      <c r="B1788" t="s">
        <v>37</v>
      </c>
    </row>
    <row r="1789" spans="1:2" x14ac:dyDescent="0.25">
      <c r="A1789">
        <v>11008097</v>
      </c>
      <c r="B1789" t="s">
        <v>37</v>
      </c>
    </row>
    <row r="1790" spans="1:2" x14ac:dyDescent="0.25">
      <c r="A1790">
        <v>11012692</v>
      </c>
      <c r="B1790" t="s">
        <v>37</v>
      </c>
    </row>
    <row r="1791" spans="1:2" x14ac:dyDescent="0.25">
      <c r="A1791">
        <v>10997806</v>
      </c>
      <c r="B1791" t="s">
        <v>37</v>
      </c>
    </row>
    <row r="1792" spans="1:2" x14ac:dyDescent="0.25">
      <c r="A1792">
        <v>10964873</v>
      </c>
      <c r="B1792" t="s">
        <v>37</v>
      </c>
    </row>
    <row r="1793" spans="1:2" x14ac:dyDescent="0.25">
      <c r="A1793">
        <v>10950407</v>
      </c>
      <c r="B1793" t="s">
        <v>37</v>
      </c>
    </row>
    <row r="1794" spans="1:2" x14ac:dyDescent="0.25">
      <c r="A1794">
        <v>10953202</v>
      </c>
      <c r="B1794" t="s">
        <v>37</v>
      </c>
    </row>
    <row r="1795" spans="1:2" x14ac:dyDescent="0.25">
      <c r="A1795">
        <v>10958795</v>
      </c>
      <c r="B1795" t="s">
        <v>37</v>
      </c>
    </row>
    <row r="1796" spans="1:2" x14ac:dyDescent="0.25">
      <c r="A1796">
        <v>11317634</v>
      </c>
      <c r="B1796" t="s">
        <v>37</v>
      </c>
    </row>
    <row r="1797" spans="1:2" x14ac:dyDescent="0.25">
      <c r="A1797">
        <v>11242777</v>
      </c>
      <c r="B1797" t="s">
        <v>37</v>
      </c>
    </row>
    <row r="1798" spans="1:2" x14ac:dyDescent="0.25">
      <c r="A1798">
        <v>11268843</v>
      </c>
      <c r="B1798" t="s">
        <v>37</v>
      </c>
    </row>
    <row r="1799" spans="1:2" x14ac:dyDescent="0.25">
      <c r="A1799">
        <v>11386360</v>
      </c>
      <c r="B1799" t="s">
        <v>38</v>
      </c>
    </row>
    <row r="1800" spans="1:2" x14ac:dyDescent="0.25">
      <c r="A1800">
        <v>11353534</v>
      </c>
      <c r="B1800" t="s">
        <v>38</v>
      </c>
    </row>
    <row r="1801" spans="1:2" x14ac:dyDescent="0.25">
      <c r="A1801">
        <v>11580462</v>
      </c>
      <c r="B1801" t="s">
        <v>38</v>
      </c>
    </row>
    <row r="1802" spans="1:2" x14ac:dyDescent="0.25">
      <c r="A1802">
        <v>11507864</v>
      </c>
      <c r="B1802" t="s">
        <v>38</v>
      </c>
    </row>
    <row r="1803" spans="1:2" x14ac:dyDescent="0.25">
      <c r="A1803">
        <v>11435155</v>
      </c>
      <c r="B1803" t="s">
        <v>38</v>
      </c>
    </row>
    <row r="1804" spans="1:2" x14ac:dyDescent="0.25">
      <c r="A1804">
        <v>11457587</v>
      </c>
      <c r="B1804" t="s">
        <v>38</v>
      </c>
    </row>
    <row r="1805" spans="1:2" x14ac:dyDescent="0.25">
      <c r="A1805">
        <v>11419904</v>
      </c>
      <c r="B1805" t="s">
        <v>38</v>
      </c>
    </row>
    <row r="1806" spans="1:2" x14ac:dyDescent="0.25">
      <c r="A1806">
        <v>11710491</v>
      </c>
      <c r="B1806" t="s">
        <v>38</v>
      </c>
    </row>
    <row r="1807" spans="1:2" x14ac:dyDescent="0.25">
      <c r="A1807">
        <v>11997202</v>
      </c>
      <c r="B1807" t="s">
        <v>38</v>
      </c>
    </row>
    <row r="1808" spans="1:2" x14ac:dyDescent="0.25">
      <c r="A1808">
        <v>11930189</v>
      </c>
      <c r="B1808" t="s">
        <v>38</v>
      </c>
    </row>
    <row r="1809" spans="1:2" x14ac:dyDescent="0.25">
      <c r="A1809">
        <v>11967603</v>
      </c>
      <c r="B1809" t="s">
        <v>38</v>
      </c>
    </row>
    <row r="1810" spans="1:2" x14ac:dyDescent="0.25">
      <c r="A1810">
        <v>11949593</v>
      </c>
      <c r="B1810" t="s">
        <v>38</v>
      </c>
    </row>
    <row r="1811" spans="1:2" x14ac:dyDescent="0.25">
      <c r="A1811">
        <v>11382540</v>
      </c>
      <c r="B1811" t="s">
        <v>38</v>
      </c>
    </row>
    <row r="1812" spans="1:2" x14ac:dyDescent="0.25">
      <c r="A1812">
        <v>11382849</v>
      </c>
      <c r="B1812" t="s">
        <v>38</v>
      </c>
    </row>
    <row r="1813" spans="1:2" x14ac:dyDescent="0.25">
      <c r="A1813">
        <v>11300176</v>
      </c>
      <c r="B1813" t="s">
        <v>38</v>
      </c>
    </row>
    <row r="1814" spans="1:2" x14ac:dyDescent="0.25">
      <c r="A1814">
        <v>11300378</v>
      </c>
      <c r="B1814" t="s">
        <v>38</v>
      </c>
    </row>
    <row r="1815" spans="1:2" x14ac:dyDescent="0.25">
      <c r="A1815">
        <v>11868790</v>
      </c>
      <c r="B1815" t="s">
        <v>38</v>
      </c>
    </row>
    <row r="1816" spans="1:2" x14ac:dyDescent="0.25">
      <c r="A1816">
        <v>11911487</v>
      </c>
      <c r="B1816" t="s">
        <v>38</v>
      </c>
    </row>
    <row r="1817" spans="1:2" x14ac:dyDescent="0.25">
      <c r="A1817">
        <v>11843830</v>
      </c>
      <c r="B1817" t="s">
        <v>38</v>
      </c>
    </row>
    <row r="1818" spans="1:2" x14ac:dyDescent="0.25">
      <c r="A1818">
        <v>11876290</v>
      </c>
      <c r="B1818" t="s">
        <v>38</v>
      </c>
    </row>
    <row r="1819" spans="1:2" x14ac:dyDescent="0.25">
      <c r="A1819">
        <v>11880212</v>
      </c>
      <c r="B1819" t="s">
        <v>38</v>
      </c>
    </row>
    <row r="1820" spans="1:2" x14ac:dyDescent="0.25">
      <c r="A1820">
        <v>11648417</v>
      </c>
      <c r="B1820" t="s">
        <v>38</v>
      </c>
    </row>
    <row r="1821" spans="1:2" x14ac:dyDescent="0.25">
      <c r="A1821">
        <v>11490009</v>
      </c>
      <c r="B1821" t="s">
        <v>38</v>
      </c>
    </row>
    <row r="1822" spans="1:2" x14ac:dyDescent="0.25">
      <c r="A1822">
        <v>11633652</v>
      </c>
      <c r="B1822" t="s">
        <v>38</v>
      </c>
    </row>
    <row r="1823" spans="1:2" x14ac:dyDescent="0.25">
      <c r="A1823">
        <v>11264785</v>
      </c>
      <c r="B1823" t="s">
        <v>38</v>
      </c>
    </row>
    <row r="1824" spans="1:2" x14ac:dyDescent="0.25">
      <c r="A1824">
        <v>11264862</v>
      </c>
      <c r="B1824" t="s">
        <v>38</v>
      </c>
    </row>
    <row r="1825" spans="1:2" x14ac:dyDescent="0.25">
      <c r="A1825">
        <v>10641502</v>
      </c>
      <c r="B1825" t="s">
        <v>38</v>
      </c>
    </row>
    <row r="1826" spans="1:2" x14ac:dyDescent="0.25">
      <c r="A1826">
        <v>11303671</v>
      </c>
      <c r="B1826" t="s">
        <v>38</v>
      </c>
    </row>
    <row r="1827" spans="1:2" x14ac:dyDescent="0.25">
      <c r="A1827">
        <v>11304237</v>
      </c>
      <c r="B1827" t="s">
        <v>38</v>
      </c>
    </row>
    <row r="1828" spans="1:2" x14ac:dyDescent="0.25">
      <c r="A1828">
        <v>10961540</v>
      </c>
      <c r="B1828" t="s">
        <v>38</v>
      </c>
    </row>
    <row r="1829" spans="1:2" x14ac:dyDescent="0.25">
      <c r="A1829">
        <v>10955618</v>
      </c>
      <c r="B1829" t="s">
        <v>38</v>
      </c>
    </row>
    <row r="1830" spans="1:2" x14ac:dyDescent="0.25">
      <c r="A1830">
        <v>10970381</v>
      </c>
      <c r="B1830" t="s">
        <v>38</v>
      </c>
    </row>
    <row r="1831" spans="1:2" x14ac:dyDescent="0.25">
      <c r="A1831">
        <v>10952585</v>
      </c>
      <c r="B1831" t="s">
        <v>38</v>
      </c>
    </row>
    <row r="1832" spans="1:2" x14ac:dyDescent="0.25">
      <c r="A1832">
        <v>11030645</v>
      </c>
      <c r="B1832" t="s">
        <v>38</v>
      </c>
    </row>
    <row r="1833" spans="1:2" x14ac:dyDescent="0.25">
      <c r="A1833">
        <v>11013332</v>
      </c>
      <c r="B1833" t="s">
        <v>38</v>
      </c>
    </row>
    <row r="1834" spans="1:2" x14ac:dyDescent="0.25">
      <c r="A1834">
        <v>11489953</v>
      </c>
      <c r="B1834" t="s">
        <v>38</v>
      </c>
    </row>
    <row r="1835" spans="1:2" x14ac:dyDescent="0.25">
      <c r="A1835">
        <v>10746472</v>
      </c>
      <c r="B1835" t="s">
        <v>38</v>
      </c>
    </row>
    <row r="1836" spans="1:2" x14ac:dyDescent="0.25">
      <c r="A1836">
        <v>11374221</v>
      </c>
      <c r="B1836" t="s">
        <v>38</v>
      </c>
    </row>
    <row r="1837" spans="1:2" x14ac:dyDescent="0.25">
      <c r="A1837">
        <v>11348623</v>
      </c>
      <c r="B1837" t="s">
        <v>38</v>
      </c>
    </row>
    <row r="1838" spans="1:2" x14ac:dyDescent="0.25">
      <c r="A1838">
        <v>11358078</v>
      </c>
      <c r="B1838" t="s">
        <v>38</v>
      </c>
    </row>
    <row r="1839" spans="1:2" x14ac:dyDescent="0.25">
      <c r="A1839">
        <v>11680702</v>
      </c>
      <c r="B1839" t="s">
        <v>38</v>
      </c>
    </row>
    <row r="1840" spans="1:2" x14ac:dyDescent="0.25">
      <c r="A1840">
        <v>11801937</v>
      </c>
      <c r="B1840" t="s">
        <v>38</v>
      </c>
    </row>
    <row r="1841" spans="1:2" x14ac:dyDescent="0.25">
      <c r="A1841">
        <v>11736597</v>
      </c>
      <c r="B1841" t="s">
        <v>38</v>
      </c>
    </row>
    <row r="1842" spans="1:2" x14ac:dyDescent="0.25">
      <c r="A1842">
        <v>11707589</v>
      </c>
      <c r="B1842" t="s">
        <v>38</v>
      </c>
    </row>
    <row r="1843" spans="1:2" x14ac:dyDescent="0.25">
      <c r="A1843">
        <v>11762169</v>
      </c>
      <c r="B1843" t="s">
        <v>38</v>
      </c>
    </row>
    <row r="1844" spans="1:2" x14ac:dyDescent="0.25">
      <c r="A1844">
        <v>11810939</v>
      </c>
      <c r="B1844" t="s">
        <v>38</v>
      </c>
    </row>
    <row r="1845" spans="1:2" x14ac:dyDescent="0.25">
      <c r="A1845">
        <v>11731186</v>
      </c>
      <c r="B1845" t="s">
        <v>38</v>
      </c>
    </row>
    <row r="1846" spans="1:2" x14ac:dyDescent="0.25">
      <c r="A1846">
        <v>11708571</v>
      </c>
      <c r="B1846" t="s">
        <v>38</v>
      </c>
    </row>
    <row r="1847" spans="1:2" x14ac:dyDescent="0.25">
      <c r="A1847">
        <v>11629722</v>
      </c>
      <c r="B1847" t="s">
        <v>38</v>
      </c>
    </row>
    <row r="1848" spans="1:2" x14ac:dyDescent="0.25">
      <c r="A1848">
        <v>11562201</v>
      </c>
      <c r="B1848" t="s">
        <v>38</v>
      </c>
    </row>
    <row r="1849" spans="1:2" x14ac:dyDescent="0.25">
      <c r="A1849">
        <v>11573700</v>
      </c>
      <c r="B1849" t="s">
        <v>38</v>
      </c>
    </row>
    <row r="1850" spans="1:2" x14ac:dyDescent="0.25">
      <c r="A1850">
        <v>11317433</v>
      </c>
      <c r="B1850" t="s">
        <v>38</v>
      </c>
    </row>
    <row r="1851" spans="1:2" x14ac:dyDescent="0.25">
      <c r="A1851">
        <v>11282992</v>
      </c>
      <c r="B1851" t="s">
        <v>38</v>
      </c>
    </row>
    <row r="1852" spans="1:2" x14ac:dyDescent="0.25">
      <c r="A1852">
        <v>11266443</v>
      </c>
      <c r="B1852" t="s">
        <v>38</v>
      </c>
    </row>
    <row r="1853" spans="1:2" x14ac:dyDescent="0.25">
      <c r="A1853">
        <v>11263822</v>
      </c>
      <c r="B1853" t="s">
        <v>38</v>
      </c>
    </row>
    <row r="1854" spans="1:2" x14ac:dyDescent="0.25">
      <c r="A1854">
        <v>11431874</v>
      </c>
      <c r="B1854" t="s">
        <v>38</v>
      </c>
    </row>
    <row r="1855" spans="1:2" x14ac:dyDescent="0.25">
      <c r="A1855">
        <v>10840880</v>
      </c>
      <c r="B1855" t="s">
        <v>38</v>
      </c>
    </row>
    <row r="1856" spans="1:2" x14ac:dyDescent="0.25">
      <c r="A1856">
        <v>10773060</v>
      </c>
      <c r="B1856" t="s">
        <v>38</v>
      </c>
    </row>
    <row r="1857" spans="1:2" x14ac:dyDescent="0.25">
      <c r="A1857">
        <v>11920881</v>
      </c>
      <c r="B1857" t="s">
        <v>38</v>
      </c>
    </row>
    <row r="1858" spans="1:2" x14ac:dyDescent="0.25">
      <c r="A1858">
        <v>11900798</v>
      </c>
      <c r="B1858" t="s">
        <v>38</v>
      </c>
    </row>
    <row r="1859" spans="1:2" x14ac:dyDescent="0.25">
      <c r="A1859">
        <v>10782692</v>
      </c>
      <c r="B1859" t="s">
        <v>38</v>
      </c>
    </row>
    <row r="1860" spans="1:2" x14ac:dyDescent="0.25">
      <c r="A1860">
        <v>10794590</v>
      </c>
      <c r="B1860" t="s">
        <v>38</v>
      </c>
    </row>
    <row r="1861" spans="1:2" x14ac:dyDescent="0.25">
      <c r="A1861">
        <v>10665604</v>
      </c>
      <c r="B1861" t="s">
        <v>38</v>
      </c>
    </row>
    <row r="1862" spans="1:2" x14ac:dyDescent="0.25">
      <c r="A1862">
        <v>10683933</v>
      </c>
      <c r="B1862" t="s">
        <v>38</v>
      </c>
    </row>
    <row r="1863" spans="1:2" x14ac:dyDescent="0.25">
      <c r="A1863">
        <v>10691252</v>
      </c>
      <c r="B1863" t="s">
        <v>38</v>
      </c>
    </row>
    <row r="1864" spans="1:2" x14ac:dyDescent="0.25">
      <c r="A1864">
        <v>11666771</v>
      </c>
      <c r="B1864" t="s">
        <v>38</v>
      </c>
    </row>
    <row r="1865" spans="1:2" x14ac:dyDescent="0.25">
      <c r="A1865">
        <v>11645536</v>
      </c>
      <c r="B1865" t="s">
        <v>38</v>
      </c>
    </row>
    <row r="1866" spans="1:2" x14ac:dyDescent="0.25">
      <c r="A1866">
        <v>11720335</v>
      </c>
      <c r="B1866" t="s">
        <v>38</v>
      </c>
    </row>
    <row r="1867" spans="1:2" x14ac:dyDescent="0.25">
      <c r="A1867">
        <v>10835878</v>
      </c>
      <c r="B1867" t="s">
        <v>38</v>
      </c>
    </row>
    <row r="1868" spans="1:2" x14ac:dyDescent="0.25">
      <c r="A1868">
        <v>10772027</v>
      </c>
      <c r="B1868" t="s">
        <v>38</v>
      </c>
    </row>
    <row r="1869" spans="1:2" x14ac:dyDescent="0.25">
      <c r="A1869">
        <v>10881810</v>
      </c>
      <c r="B1869" t="s">
        <v>38</v>
      </c>
    </row>
    <row r="1870" spans="1:2" x14ac:dyDescent="0.25">
      <c r="A1870">
        <v>10881351</v>
      </c>
      <c r="B1870" t="s">
        <v>38</v>
      </c>
    </row>
    <row r="1871" spans="1:2" x14ac:dyDescent="0.25">
      <c r="A1871">
        <v>10939911</v>
      </c>
      <c r="B1871" t="s">
        <v>38</v>
      </c>
    </row>
    <row r="1872" spans="1:2" x14ac:dyDescent="0.25">
      <c r="A1872">
        <v>11343133</v>
      </c>
      <c r="B1872" t="s">
        <v>38</v>
      </c>
    </row>
    <row r="1873" spans="1:2" x14ac:dyDescent="0.25">
      <c r="A1873">
        <v>11343431</v>
      </c>
      <c r="B1873" t="s">
        <v>38</v>
      </c>
    </row>
    <row r="1874" spans="1:2" x14ac:dyDescent="0.25">
      <c r="A1874">
        <v>11591588</v>
      </c>
      <c r="B1874" t="s">
        <v>38</v>
      </c>
    </row>
    <row r="1875" spans="1:2" x14ac:dyDescent="0.25">
      <c r="A1875">
        <v>11583303</v>
      </c>
      <c r="B1875" t="s">
        <v>38</v>
      </c>
    </row>
    <row r="1876" spans="1:2" x14ac:dyDescent="0.25">
      <c r="A1876">
        <v>11583414</v>
      </c>
      <c r="B1876" t="s">
        <v>38</v>
      </c>
    </row>
    <row r="1877" spans="1:2" x14ac:dyDescent="0.25">
      <c r="A1877">
        <v>11580684</v>
      </c>
      <c r="B1877" t="s">
        <v>38</v>
      </c>
    </row>
    <row r="1878" spans="1:2" x14ac:dyDescent="0.25">
      <c r="A1878">
        <v>11573071</v>
      </c>
      <c r="B1878" t="s">
        <v>38</v>
      </c>
    </row>
    <row r="1879" spans="1:2" x14ac:dyDescent="0.25">
      <c r="A1879">
        <v>11562193</v>
      </c>
      <c r="B1879" t="s">
        <v>38</v>
      </c>
    </row>
    <row r="1880" spans="1:2" x14ac:dyDescent="0.25">
      <c r="A1880">
        <v>11559764</v>
      </c>
      <c r="B1880" t="s">
        <v>38</v>
      </c>
    </row>
    <row r="1881" spans="1:2" x14ac:dyDescent="0.25">
      <c r="A1881">
        <v>11559071</v>
      </c>
      <c r="B1881" t="s">
        <v>38</v>
      </c>
    </row>
    <row r="1882" spans="1:2" x14ac:dyDescent="0.25">
      <c r="A1882">
        <v>11559274</v>
      </c>
      <c r="B1882" t="s">
        <v>38</v>
      </c>
    </row>
    <row r="1883" spans="1:2" x14ac:dyDescent="0.25">
      <c r="A1883">
        <v>11543592</v>
      </c>
      <c r="B1883" t="s">
        <v>38</v>
      </c>
    </row>
    <row r="1884" spans="1:2" x14ac:dyDescent="0.25">
      <c r="A1884">
        <v>11543936</v>
      </c>
      <c r="B1884" t="s">
        <v>38</v>
      </c>
    </row>
    <row r="1885" spans="1:2" x14ac:dyDescent="0.25">
      <c r="A1885">
        <v>11634608</v>
      </c>
      <c r="B1885" t="s">
        <v>38</v>
      </c>
    </row>
    <row r="1886" spans="1:2" x14ac:dyDescent="0.25">
      <c r="A1886">
        <v>11617765</v>
      </c>
      <c r="B1886" t="s">
        <v>38</v>
      </c>
    </row>
    <row r="1887" spans="1:2" x14ac:dyDescent="0.25">
      <c r="A1887">
        <v>11971744</v>
      </c>
      <c r="B1887" t="s">
        <v>38</v>
      </c>
    </row>
    <row r="1888" spans="1:2" x14ac:dyDescent="0.25">
      <c r="A1888">
        <v>11208915</v>
      </c>
      <c r="B1888" t="s">
        <v>38</v>
      </c>
    </row>
    <row r="1889" spans="1:2" x14ac:dyDescent="0.25">
      <c r="A1889">
        <v>11448783</v>
      </c>
      <c r="B1889" t="s">
        <v>38</v>
      </c>
    </row>
    <row r="1890" spans="1:2" x14ac:dyDescent="0.25">
      <c r="A1890">
        <v>11454009</v>
      </c>
      <c r="B1890" t="s">
        <v>38</v>
      </c>
    </row>
    <row r="1891" spans="1:2" x14ac:dyDescent="0.25">
      <c r="A1891">
        <v>10930465</v>
      </c>
      <c r="B1891" t="s">
        <v>38</v>
      </c>
    </row>
    <row r="1892" spans="1:2" x14ac:dyDescent="0.25">
      <c r="A1892">
        <v>11538865</v>
      </c>
      <c r="B1892" t="s">
        <v>38</v>
      </c>
    </row>
    <row r="1893" spans="1:2" x14ac:dyDescent="0.25">
      <c r="A1893">
        <v>11116788</v>
      </c>
      <c r="B1893" t="s">
        <v>37</v>
      </c>
    </row>
    <row r="1894" spans="1:2" x14ac:dyDescent="0.25">
      <c r="A1894">
        <v>11082426</v>
      </c>
      <c r="B1894" t="s">
        <v>37</v>
      </c>
    </row>
    <row r="1895" spans="1:2" x14ac:dyDescent="0.25">
      <c r="A1895">
        <v>11072277</v>
      </c>
      <c r="B1895" t="s">
        <v>37</v>
      </c>
    </row>
    <row r="1896" spans="1:2" x14ac:dyDescent="0.25">
      <c r="A1896">
        <v>11058571</v>
      </c>
      <c r="B1896" t="s">
        <v>37</v>
      </c>
    </row>
    <row r="1897" spans="1:2" x14ac:dyDescent="0.25">
      <c r="A1897">
        <v>11058342</v>
      </c>
      <c r="B1897" t="s">
        <v>37</v>
      </c>
    </row>
    <row r="1898" spans="1:2" x14ac:dyDescent="0.25">
      <c r="A1898">
        <v>11048469</v>
      </c>
      <c r="B1898" t="s">
        <v>37</v>
      </c>
    </row>
    <row r="1899" spans="1:2" x14ac:dyDescent="0.25">
      <c r="A1899">
        <v>11044645</v>
      </c>
      <c r="B1899" t="s">
        <v>37</v>
      </c>
    </row>
    <row r="1900" spans="1:2" x14ac:dyDescent="0.25">
      <c r="A1900">
        <v>11033612</v>
      </c>
      <c r="B1900" t="s">
        <v>37</v>
      </c>
    </row>
    <row r="1901" spans="1:2" x14ac:dyDescent="0.25">
      <c r="A1901">
        <v>11007858</v>
      </c>
      <c r="B1901" t="s">
        <v>37</v>
      </c>
    </row>
    <row r="1902" spans="1:2" x14ac:dyDescent="0.25">
      <c r="A1902">
        <v>10956516</v>
      </c>
      <c r="B1902" t="s">
        <v>37</v>
      </c>
    </row>
    <row r="1903" spans="1:2" x14ac:dyDescent="0.25">
      <c r="A1903">
        <v>10958951</v>
      </c>
      <c r="B1903" t="s">
        <v>37</v>
      </c>
    </row>
    <row r="1904" spans="1:2" x14ac:dyDescent="0.25">
      <c r="A1904">
        <v>10965495</v>
      </c>
      <c r="B1904" t="s">
        <v>37</v>
      </c>
    </row>
    <row r="1905" spans="1:2" x14ac:dyDescent="0.25">
      <c r="A1905">
        <v>10968173</v>
      </c>
      <c r="B1905" t="s">
        <v>37</v>
      </c>
    </row>
    <row r="1906" spans="1:2" x14ac:dyDescent="0.25">
      <c r="A1906">
        <v>10971157</v>
      </c>
      <c r="B1906" t="s">
        <v>37</v>
      </c>
    </row>
    <row r="1907" spans="1:2" x14ac:dyDescent="0.25">
      <c r="A1907">
        <v>10991626</v>
      </c>
      <c r="B1907" t="s">
        <v>37</v>
      </c>
    </row>
    <row r="1908" spans="1:2" x14ac:dyDescent="0.25">
      <c r="A1908">
        <v>11025975</v>
      </c>
      <c r="B1908" t="s">
        <v>37</v>
      </c>
    </row>
    <row r="1909" spans="1:2" x14ac:dyDescent="0.25">
      <c r="A1909">
        <v>11009402</v>
      </c>
      <c r="B1909" t="s">
        <v>37</v>
      </c>
    </row>
    <row r="1910" spans="1:2" x14ac:dyDescent="0.25">
      <c r="A1910">
        <v>11009640</v>
      </c>
      <c r="B1910" t="s">
        <v>37</v>
      </c>
    </row>
    <row r="1911" spans="1:2" x14ac:dyDescent="0.25">
      <c r="A1911">
        <v>11011404</v>
      </c>
      <c r="B1911" t="s">
        <v>37</v>
      </c>
    </row>
    <row r="1912" spans="1:2" x14ac:dyDescent="0.25">
      <c r="A1912">
        <v>11013023</v>
      </c>
      <c r="B1912" t="s">
        <v>37</v>
      </c>
    </row>
    <row r="1913" spans="1:2" x14ac:dyDescent="0.25">
      <c r="A1913">
        <v>10999768</v>
      </c>
      <c r="B1913" t="s">
        <v>37</v>
      </c>
    </row>
    <row r="1914" spans="1:2" x14ac:dyDescent="0.25">
      <c r="A1914">
        <v>10945036</v>
      </c>
      <c r="B1914" t="s">
        <v>37</v>
      </c>
    </row>
    <row r="1915" spans="1:2" x14ac:dyDescent="0.25">
      <c r="A1915">
        <v>11015967</v>
      </c>
      <c r="B1915" t="s">
        <v>37</v>
      </c>
    </row>
    <row r="1916" spans="1:2" x14ac:dyDescent="0.25">
      <c r="A1916">
        <v>10936197</v>
      </c>
      <c r="B1916" t="s">
        <v>37</v>
      </c>
    </row>
    <row r="1917" spans="1:2" x14ac:dyDescent="0.25">
      <c r="A1917">
        <v>10936734</v>
      </c>
      <c r="B1917" t="s">
        <v>37</v>
      </c>
    </row>
    <row r="1918" spans="1:2" x14ac:dyDescent="0.25">
      <c r="A1918">
        <v>10922905</v>
      </c>
      <c r="B1918" t="s">
        <v>37</v>
      </c>
    </row>
    <row r="1919" spans="1:2" x14ac:dyDescent="0.25">
      <c r="A1919">
        <v>10923489</v>
      </c>
      <c r="B1919" t="s">
        <v>37</v>
      </c>
    </row>
    <row r="1920" spans="1:2" x14ac:dyDescent="0.25">
      <c r="A1920">
        <v>10922435</v>
      </c>
      <c r="B1920" t="s">
        <v>37</v>
      </c>
    </row>
    <row r="1921" spans="1:2" x14ac:dyDescent="0.25">
      <c r="A1921">
        <v>10705485</v>
      </c>
      <c r="B1921" t="s">
        <v>37</v>
      </c>
    </row>
    <row r="1922" spans="1:2" x14ac:dyDescent="0.25">
      <c r="A1922">
        <v>10701294</v>
      </c>
      <c r="B1922" t="s">
        <v>37</v>
      </c>
    </row>
    <row r="1923" spans="1:2" x14ac:dyDescent="0.25">
      <c r="A1923">
        <v>10720666</v>
      </c>
      <c r="B1923" t="s">
        <v>37</v>
      </c>
    </row>
    <row r="1924" spans="1:2" x14ac:dyDescent="0.25">
      <c r="A1924">
        <v>10706011</v>
      </c>
      <c r="B1924" t="s">
        <v>37</v>
      </c>
    </row>
    <row r="1925" spans="1:2" x14ac:dyDescent="0.25">
      <c r="A1925">
        <v>10707353</v>
      </c>
      <c r="B1925" t="s">
        <v>37</v>
      </c>
    </row>
    <row r="1926" spans="1:2" x14ac:dyDescent="0.25">
      <c r="A1926">
        <v>10724063</v>
      </c>
      <c r="B1926" t="s">
        <v>37</v>
      </c>
    </row>
    <row r="1927" spans="1:2" x14ac:dyDescent="0.25">
      <c r="A1927">
        <v>10724209</v>
      </c>
      <c r="B1927" t="s">
        <v>37</v>
      </c>
    </row>
    <row r="1928" spans="1:2" x14ac:dyDescent="0.25">
      <c r="A1928">
        <v>11214391</v>
      </c>
      <c r="B1928" t="s">
        <v>37</v>
      </c>
    </row>
    <row r="1929" spans="1:2" x14ac:dyDescent="0.25">
      <c r="A1929">
        <v>11198491</v>
      </c>
      <c r="B1929" t="s">
        <v>37</v>
      </c>
    </row>
    <row r="1930" spans="1:2" x14ac:dyDescent="0.25">
      <c r="A1930">
        <v>11195366</v>
      </c>
      <c r="B1930" t="s">
        <v>37</v>
      </c>
    </row>
    <row r="1931" spans="1:2" x14ac:dyDescent="0.25">
      <c r="A1931">
        <v>11178678</v>
      </c>
      <c r="B1931" t="s">
        <v>37</v>
      </c>
    </row>
    <row r="1932" spans="1:2" x14ac:dyDescent="0.25">
      <c r="A1932">
        <v>11179923</v>
      </c>
      <c r="B1932" t="s">
        <v>37</v>
      </c>
    </row>
    <row r="1933" spans="1:2" x14ac:dyDescent="0.25">
      <c r="A1933">
        <v>11182141</v>
      </c>
      <c r="B1933" t="s">
        <v>37</v>
      </c>
    </row>
    <row r="1934" spans="1:2" x14ac:dyDescent="0.25">
      <c r="A1934">
        <v>11104488</v>
      </c>
      <c r="B1934" t="s">
        <v>37</v>
      </c>
    </row>
    <row r="1935" spans="1:2" x14ac:dyDescent="0.25">
      <c r="A1935">
        <v>11147699</v>
      </c>
      <c r="B1935" t="s">
        <v>37</v>
      </c>
    </row>
    <row r="1936" spans="1:2" x14ac:dyDescent="0.25">
      <c r="A1936">
        <v>10773637</v>
      </c>
      <c r="B1936" t="s">
        <v>37</v>
      </c>
    </row>
    <row r="1937" spans="1:2" x14ac:dyDescent="0.25">
      <c r="A1937">
        <v>10763422</v>
      </c>
      <c r="B1937" t="s">
        <v>37</v>
      </c>
    </row>
    <row r="1938" spans="1:2" x14ac:dyDescent="0.25">
      <c r="A1938">
        <v>10764638</v>
      </c>
      <c r="B1938" t="s">
        <v>37</v>
      </c>
    </row>
    <row r="1939" spans="1:2" x14ac:dyDescent="0.25">
      <c r="A1939">
        <v>10765814</v>
      </c>
      <c r="B1939" t="s">
        <v>37</v>
      </c>
    </row>
    <row r="1940" spans="1:2" x14ac:dyDescent="0.25">
      <c r="A1940">
        <v>10753951</v>
      </c>
      <c r="B1940" t="s">
        <v>37</v>
      </c>
    </row>
    <row r="1941" spans="1:2" x14ac:dyDescent="0.25">
      <c r="A1941">
        <v>10782142</v>
      </c>
      <c r="B1941" t="s">
        <v>37</v>
      </c>
    </row>
    <row r="1942" spans="1:2" x14ac:dyDescent="0.25">
      <c r="A1942">
        <v>10779059</v>
      </c>
      <c r="B1942" t="s">
        <v>37</v>
      </c>
    </row>
    <row r="1943" spans="1:2" x14ac:dyDescent="0.25">
      <c r="A1943">
        <v>10834966</v>
      </c>
      <c r="B1943" t="s">
        <v>37</v>
      </c>
    </row>
    <row r="1944" spans="1:2" x14ac:dyDescent="0.25">
      <c r="A1944">
        <v>10823695</v>
      </c>
      <c r="B1944" t="s">
        <v>37</v>
      </c>
    </row>
    <row r="1945" spans="1:2" x14ac:dyDescent="0.25">
      <c r="A1945">
        <v>10843926</v>
      </c>
      <c r="B1945" t="s">
        <v>37</v>
      </c>
    </row>
    <row r="1946" spans="1:2" x14ac:dyDescent="0.25">
      <c r="A1946">
        <v>10814947</v>
      </c>
      <c r="B1946" t="s">
        <v>37</v>
      </c>
    </row>
    <row r="1947" spans="1:2" x14ac:dyDescent="0.25">
      <c r="A1947">
        <v>10816864</v>
      </c>
      <c r="B1947" t="s">
        <v>37</v>
      </c>
    </row>
    <row r="1948" spans="1:2" x14ac:dyDescent="0.25">
      <c r="A1948">
        <v>10806122</v>
      </c>
      <c r="B1948" t="s">
        <v>37</v>
      </c>
    </row>
    <row r="1949" spans="1:2" x14ac:dyDescent="0.25">
      <c r="A1949">
        <v>10803679</v>
      </c>
      <c r="B1949" t="s">
        <v>37</v>
      </c>
    </row>
    <row r="1950" spans="1:2" x14ac:dyDescent="0.25">
      <c r="A1950">
        <v>10803759</v>
      </c>
      <c r="B1950" t="s">
        <v>37</v>
      </c>
    </row>
    <row r="1951" spans="1:2" x14ac:dyDescent="0.25">
      <c r="A1951">
        <v>10804080</v>
      </c>
      <c r="B1951" t="s">
        <v>37</v>
      </c>
    </row>
    <row r="1952" spans="1:2" x14ac:dyDescent="0.25">
      <c r="A1952">
        <v>10873337</v>
      </c>
      <c r="B1952" t="s">
        <v>37</v>
      </c>
    </row>
    <row r="1953" spans="1:2" x14ac:dyDescent="0.25">
      <c r="A1953">
        <v>10868219</v>
      </c>
      <c r="B1953" t="s">
        <v>37</v>
      </c>
    </row>
    <row r="1954" spans="1:2" x14ac:dyDescent="0.25">
      <c r="A1954">
        <v>10869496</v>
      </c>
      <c r="B1954" t="s">
        <v>37</v>
      </c>
    </row>
    <row r="1955" spans="1:2" x14ac:dyDescent="0.25">
      <c r="A1955">
        <v>10869526</v>
      </c>
      <c r="B1955" t="s">
        <v>37</v>
      </c>
    </row>
    <row r="1956" spans="1:2" x14ac:dyDescent="0.25">
      <c r="A1956">
        <v>10869639</v>
      </c>
      <c r="B1956" t="s">
        <v>37</v>
      </c>
    </row>
    <row r="1957" spans="1:2" x14ac:dyDescent="0.25">
      <c r="A1957">
        <v>10860499</v>
      </c>
      <c r="B1957" t="s">
        <v>37</v>
      </c>
    </row>
    <row r="1958" spans="1:2" x14ac:dyDescent="0.25">
      <c r="A1958">
        <v>10861032</v>
      </c>
      <c r="B1958" t="s">
        <v>37</v>
      </c>
    </row>
    <row r="1959" spans="1:2" x14ac:dyDescent="0.25">
      <c r="A1959">
        <v>10867131</v>
      </c>
      <c r="B1959" t="s">
        <v>37</v>
      </c>
    </row>
    <row r="1960" spans="1:2" x14ac:dyDescent="0.25">
      <c r="A1960">
        <v>10850894</v>
      </c>
      <c r="B1960" t="s">
        <v>37</v>
      </c>
    </row>
    <row r="1961" spans="1:2" x14ac:dyDescent="0.25">
      <c r="A1961">
        <v>10893807</v>
      </c>
      <c r="B1961" t="s">
        <v>37</v>
      </c>
    </row>
    <row r="1962" spans="1:2" x14ac:dyDescent="0.25">
      <c r="A1962">
        <v>10898058</v>
      </c>
      <c r="B1962" t="s">
        <v>37</v>
      </c>
    </row>
    <row r="1963" spans="1:2" x14ac:dyDescent="0.25">
      <c r="A1963">
        <v>10904180</v>
      </c>
      <c r="B1963" t="s">
        <v>37</v>
      </c>
    </row>
    <row r="1964" spans="1:2" x14ac:dyDescent="0.25">
      <c r="A1964">
        <v>10920661</v>
      </c>
      <c r="B1964" t="s">
        <v>37</v>
      </c>
    </row>
    <row r="1965" spans="1:2" x14ac:dyDescent="0.25">
      <c r="A1965">
        <v>10915665</v>
      </c>
      <c r="B1965" t="s">
        <v>37</v>
      </c>
    </row>
    <row r="1966" spans="1:2" x14ac:dyDescent="0.25">
      <c r="A1966">
        <v>10916151</v>
      </c>
      <c r="B1966" t="s">
        <v>37</v>
      </c>
    </row>
    <row r="1967" spans="1:2" x14ac:dyDescent="0.25">
      <c r="A1967">
        <v>10691481</v>
      </c>
      <c r="B1967" t="s">
        <v>37</v>
      </c>
    </row>
    <row r="1968" spans="1:2" x14ac:dyDescent="0.25">
      <c r="A1968">
        <v>10692039</v>
      </c>
      <c r="B1968" t="s">
        <v>37</v>
      </c>
    </row>
    <row r="1969" spans="1:2" x14ac:dyDescent="0.25">
      <c r="A1969">
        <v>11693311</v>
      </c>
      <c r="B1969" t="s">
        <v>37</v>
      </c>
    </row>
    <row r="1970" spans="1:2" x14ac:dyDescent="0.25">
      <c r="A1970">
        <v>11715944</v>
      </c>
      <c r="B1970" t="s">
        <v>37</v>
      </c>
    </row>
    <row r="1971" spans="1:2" x14ac:dyDescent="0.25">
      <c r="A1971">
        <v>11746723</v>
      </c>
      <c r="B1971" t="s">
        <v>37</v>
      </c>
    </row>
    <row r="1972" spans="1:2" x14ac:dyDescent="0.25">
      <c r="A1972">
        <v>11682454</v>
      </c>
      <c r="B1972" t="s">
        <v>37</v>
      </c>
    </row>
    <row r="1973" spans="1:2" x14ac:dyDescent="0.25">
      <c r="A1973">
        <v>11685706</v>
      </c>
      <c r="B1973" t="s">
        <v>37</v>
      </c>
    </row>
    <row r="1974" spans="1:2" x14ac:dyDescent="0.25">
      <c r="A1974">
        <v>11549074</v>
      </c>
      <c r="B1974" t="s">
        <v>37</v>
      </c>
    </row>
    <row r="1975" spans="1:2" x14ac:dyDescent="0.25">
      <c r="A1975">
        <v>11524388</v>
      </c>
      <c r="B1975" t="s">
        <v>37</v>
      </c>
    </row>
    <row r="1976" spans="1:2" x14ac:dyDescent="0.25">
      <c r="A1976">
        <v>11527692</v>
      </c>
      <c r="B1976" t="s">
        <v>37</v>
      </c>
    </row>
    <row r="1977" spans="1:2" x14ac:dyDescent="0.25">
      <c r="A1977">
        <v>11331877</v>
      </c>
      <c r="B1977" t="s">
        <v>37</v>
      </c>
    </row>
    <row r="1978" spans="1:2" x14ac:dyDescent="0.25">
      <c r="A1978">
        <v>11664724</v>
      </c>
      <c r="B1978" t="s">
        <v>37</v>
      </c>
    </row>
    <row r="1979" spans="1:2" x14ac:dyDescent="0.25">
      <c r="A1979">
        <v>11707234</v>
      </c>
      <c r="B1979" t="s">
        <v>37</v>
      </c>
    </row>
    <row r="1980" spans="1:2" x14ac:dyDescent="0.25">
      <c r="A1980">
        <v>11447359</v>
      </c>
      <c r="B1980" t="s">
        <v>37</v>
      </c>
    </row>
    <row r="1981" spans="1:2" x14ac:dyDescent="0.25">
      <c r="A1981">
        <v>11465068</v>
      </c>
      <c r="B1981" t="s">
        <v>37</v>
      </c>
    </row>
    <row r="1982" spans="1:2" x14ac:dyDescent="0.25">
      <c r="A1982">
        <v>10951238</v>
      </c>
      <c r="B1982" t="s">
        <v>37</v>
      </c>
    </row>
    <row r="1983" spans="1:2" x14ac:dyDescent="0.25">
      <c r="A1983">
        <v>11498479</v>
      </c>
      <c r="B1983" t="s">
        <v>37</v>
      </c>
    </row>
    <row r="1984" spans="1:2" x14ac:dyDescent="0.25">
      <c r="A1984">
        <v>11498689</v>
      </c>
      <c r="B1984" t="s">
        <v>37</v>
      </c>
    </row>
    <row r="1985" spans="1:2" x14ac:dyDescent="0.25">
      <c r="A1985">
        <v>11512476</v>
      </c>
      <c r="B1985" t="s">
        <v>37</v>
      </c>
    </row>
    <row r="1986" spans="1:2" x14ac:dyDescent="0.25">
      <c r="A1986">
        <v>11444637</v>
      </c>
      <c r="B1986" t="s">
        <v>37</v>
      </c>
    </row>
    <row r="1987" spans="1:2" x14ac:dyDescent="0.25">
      <c r="A1987">
        <v>11434479</v>
      </c>
      <c r="B1987" t="s">
        <v>37</v>
      </c>
    </row>
    <row r="1988" spans="1:2" x14ac:dyDescent="0.25">
      <c r="A1988">
        <v>11393183</v>
      </c>
      <c r="B1988" t="s">
        <v>37</v>
      </c>
    </row>
    <row r="1989" spans="1:2" x14ac:dyDescent="0.25">
      <c r="A1989">
        <v>11381611</v>
      </c>
      <c r="B1989" t="s">
        <v>37</v>
      </c>
    </row>
    <row r="1990" spans="1:2" x14ac:dyDescent="0.25">
      <c r="A1990">
        <v>11395125</v>
      </c>
      <c r="B1990" t="s">
        <v>37</v>
      </c>
    </row>
    <row r="1991" spans="1:2" x14ac:dyDescent="0.25">
      <c r="A1991">
        <v>11270435</v>
      </c>
      <c r="B1991" t="s">
        <v>37</v>
      </c>
    </row>
    <row r="1992" spans="1:2" x14ac:dyDescent="0.25">
      <c r="A1992">
        <v>11279361</v>
      </c>
      <c r="B1992" t="s">
        <v>37</v>
      </c>
    </row>
    <row r="1993" spans="1:2" x14ac:dyDescent="0.25">
      <c r="A1993">
        <v>11304512</v>
      </c>
      <c r="B1993" t="s">
        <v>37</v>
      </c>
    </row>
    <row r="1994" spans="1:2" x14ac:dyDescent="0.25">
      <c r="A1994">
        <v>11299844</v>
      </c>
      <c r="B1994" t="s">
        <v>37</v>
      </c>
    </row>
    <row r="1995" spans="1:2" x14ac:dyDescent="0.25">
      <c r="A1995">
        <v>11511313</v>
      </c>
      <c r="B1995" t="s">
        <v>37</v>
      </c>
    </row>
    <row r="1996" spans="1:2" x14ac:dyDescent="0.25">
      <c r="A1996">
        <v>11300254</v>
      </c>
      <c r="B1996" t="s">
        <v>37</v>
      </c>
    </row>
    <row r="1997" spans="1:2" x14ac:dyDescent="0.25">
      <c r="A1997">
        <v>11569192</v>
      </c>
      <c r="B1997" t="s">
        <v>37</v>
      </c>
    </row>
    <row r="1998" spans="1:2" x14ac:dyDescent="0.25">
      <c r="A1998">
        <v>11579756</v>
      </c>
      <c r="B1998" t="s">
        <v>37</v>
      </c>
    </row>
    <row r="1999" spans="1:2" x14ac:dyDescent="0.25">
      <c r="A1999">
        <v>11564403</v>
      </c>
      <c r="B1999" t="s">
        <v>37</v>
      </c>
    </row>
    <row r="2000" spans="1:2" x14ac:dyDescent="0.25">
      <c r="A2000">
        <v>11615648</v>
      </c>
      <c r="B2000" t="s">
        <v>37</v>
      </c>
    </row>
    <row r="2001" spans="1:2" x14ac:dyDescent="0.25">
      <c r="A2001">
        <v>11623779</v>
      </c>
      <c r="B2001" t="s">
        <v>37</v>
      </c>
    </row>
    <row r="2002" spans="1:2" x14ac:dyDescent="0.25">
      <c r="A2002">
        <v>11628281</v>
      </c>
      <c r="B2002" t="s">
        <v>37</v>
      </c>
    </row>
    <row r="2003" spans="1:2" x14ac:dyDescent="0.25">
      <c r="A2003">
        <v>11737026</v>
      </c>
      <c r="B2003" t="s">
        <v>37</v>
      </c>
    </row>
    <row r="2004" spans="1:2" x14ac:dyDescent="0.25">
      <c r="A2004">
        <v>11775944</v>
      </c>
      <c r="B2004" t="s">
        <v>37</v>
      </c>
    </row>
    <row r="2005" spans="1:2" x14ac:dyDescent="0.25">
      <c r="A2005">
        <v>11883217</v>
      </c>
      <c r="B2005" t="s">
        <v>37</v>
      </c>
    </row>
    <row r="2006" spans="1:2" x14ac:dyDescent="0.25">
      <c r="A2006">
        <v>11921300</v>
      </c>
      <c r="B2006" t="s">
        <v>37</v>
      </c>
    </row>
    <row r="2007" spans="1:2" x14ac:dyDescent="0.25">
      <c r="A2007">
        <v>11951528</v>
      </c>
      <c r="B2007" t="s">
        <v>37</v>
      </c>
    </row>
    <row r="2008" spans="1:2" x14ac:dyDescent="0.25">
      <c r="A2008">
        <v>11942450</v>
      </c>
      <c r="B2008" t="s">
        <v>37</v>
      </c>
    </row>
    <row r="2009" spans="1:2" x14ac:dyDescent="0.25">
      <c r="A2009">
        <v>11916697</v>
      </c>
      <c r="B2009" t="s">
        <v>37</v>
      </c>
    </row>
    <row r="2010" spans="1:2" x14ac:dyDescent="0.25">
      <c r="A2010">
        <v>11858304</v>
      </c>
      <c r="B2010" t="s">
        <v>37</v>
      </c>
    </row>
    <row r="2011" spans="1:2" x14ac:dyDescent="0.25">
      <c r="A2011">
        <v>11827579</v>
      </c>
      <c r="B2011" t="s">
        <v>37</v>
      </c>
    </row>
    <row r="2012" spans="1:2" x14ac:dyDescent="0.25">
      <c r="A2012">
        <v>11843195</v>
      </c>
      <c r="B2012" t="s">
        <v>37</v>
      </c>
    </row>
    <row r="2013" spans="1:2" x14ac:dyDescent="0.25">
      <c r="A2013">
        <v>11844676</v>
      </c>
      <c r="B2013" t="s">
        <v>37</v>
      </c>
    </row>
    <row r="2014" spans="1:2" x14ac:dyDescent="0.25">
      <c r="A2014">
        <v>11844725</v>
      </c>
      <c r="B2014" t="s">
        <v>37</v>
      </c>
    </row>
    <row r="2015" spans="1:2" x14ac:dyDescent="0.25">
      <c r="A2015">
        <v>11865613</v>
      </c>
      <c r="B2015" t="s">
        <v>37</v>
      </c>
    </row>
    <row r="2016" spans="1:2" x14ac:dyDescent="0.25">
      <c r="A2016">
        <v>12022721</v>
      </c>
      <c r="B2016" t="s">
        <v>37</v>
      </c>
    </row>
    <row r="2017" spans="1:2" x14ac:dyDescent="0.25">
      <c r="A2017">
        <v>10921422</v>
      </c>
      <c r="B2017" t="s">
        <v>37</v>
      </c>
    </row>
    <row r="2018" spans="1:2" x14ac:dyDescent="0.25">
      <c r="A2018">
        <v>10922721</v>
      </c>
      <c r="B2018" t="s">
        <v>37</v>
      </c>
    </row>
    <row r="2019" spans="1:2" x14ac:dyDescent="0.25">
      <c r="A2019">
        <v>10919044</v>
      </c>
      <c r="B2019" t="s">
        <v>37</v>
      </c>
    </row>
    <row r="2020" spans="1:2" x14ac:dyDescent="0.25">
      <c r="A2020">
        <v>10904914</v>
      </c>
      <c r="B2020" t="s">
        <v>37</v>
      </c>
    </row>
    <row r="2021" spans="1:2" x14ac:dyDescent="0.25">
      <c r="A2021">
        <v>10691527</v>
      </c>
      <c r="B2021" t="s">
        <v>37</v>
      </c>
    </row>
    <row r="2022" spans="1:2" x14ac:dyDescent="0.25">
      <c r="A2022">
        <v>10884777</v>
      </c>
      <c r="B2022" t="s">
        <v>37</v>
      </c>
    </row>
    <row r="2023" spans="1:2" x14ac:dyDescent="0.25">
      <c r="A2023">
        <v>10893618</v>
      </c>
      <c r="B2023" t="s">
        <v>37</v>
      </c>
    </row>
    <row r="2024" spans="1:2" x14ac:dyDescent="0.25">
      <c r="A2024">
        <v>10877161</v>
      </c>
      <c r="B2024" t="s">
        <v>37</v>
      </c>
    </row>
    <row r="2025" spans="1:2" x14ac:dyDescent="0.25">
      <c r="A2025">
        <v>10879479</v>
      </c>
      <c r="B2025" t="s">
        <v>37</v>
      </c>
    </row>
    <row r="2026" spans="1:2" x14ac:dyDescent="0.25">
      <c r="A2026">
        <v>10881110</v>
      </c>
      <c r="B2026" t="s">
        <v>37</v>
      </c>
    </row>
    <row r="2027" spans="1:2" x14ac:dyDescent="0.25">
      <c r="A2027">
        <v>10765916</v>
      </c>
      <c r="B2027" t="s">
        <v>37</v>
      </c>
    </row>
    <row r="2028" spans="1:2" x14ac:dyDescent="0.25">
      <c r="A2028">
        <v>10781568</v>
      </c>
      <c r="B2028" t="s">
        <v>37</v>
      </c>
    </row>
    <row r="2029" spans="1:2" x14ac:dyDescent="0.25">
      <c r="A2029">
        <v>10782207</v>
      </c>
      <c r="B2029" t="s">
        <v>37</v>
      </c>
    </row>
    <row r="2030" spans="1:2" x14ac:dyDescent="0.25">
      <c r="A2030">
        <v>10794033</v>
      </c>
      <c r="B2030" t="s">
        <v>37</v>
      </c>
    </row>
    <row r="2031" spans="1:2" x14ac:dyDescent="0.25">
      <c r="A2031">
        <v>10797650</v>
      </c>
      <c r="B2031" t="s">
        <v>37</v>
      </c>
    </row>
    <row r="2032" spans="1:2" x14ac:dyDescent="0.25">
      <c r="A2032">
        <v>10850362</v>
      </c>
      <c r="B2032" t="s">
        <v>37</v>
      </c>
    </row>
    <row r="2033" spans="1:2" x14ac:dyDescent="0.25">
      <c r="A2033">
        <v>10851143</v>
      </c>
      <c r="B2033" t="s">
        <v>37</v>
      </c>
    </row>
    <row r="2034" spans="1:2" x14ac:dyDescent="0.25">
      <c r="A2034">
        <v>10751641</v>
      </c>
      <c r="B2034" t="s">
        <v>37</v>
      </c>
    </row>
    <row r="2035" spans="1:2" x14ac:dyDescent="0.25">
      <c r="A2035">
        <v>10750569</v>
      </c>
      <c r="B2035" t="s">
        <v>37</v>
      </c>
    </row>
    <row r="2036" spans="1:2" x14ac:dyDescent="0.25">
      <c r="A2036">
        <v>10594958</v>
      </c>
    </row>
    <row r="2037" spans="1:2" x14ac:dyDescent="0.25">
      <c r="A2037">
        <v>10590214</v>
      </c>
    </row>
    <row r="2038" spans="1:2" x14ac:dyDescent="0.25">
      <c r="A2038">
        <v>10610471</v>
      </c>
    </row>
    <row r="2039" spans="1:2" x14ac:dyDescent="0.25">
      <c r="A2039">
        <v>10580602</v>
      </c>
    </row>
    <row r="2040" spans="1:2" x14ac:dyDescent="0.25">
      <c r="A2040">
        <v>10580665</v>
      </c>
    </row>
    <row r="2041" spans="1:2" x14ac:dyDescent="0.25">
      <c r="A2041">
        <v>10583128</v>
      </c>
    </row>
    <row r="2042" spans="1:2" x14ac:dyDescent="0.25">
      <c r="A2042">
        <v>10583203</v>
      </c>
    </row>
    <row r="2043" spans="1:2" x14ac:dyDescent="0.25">
      <c r="A2043">
        <v>10583847</v>
      </c>
    </row>
    <row r="2044" spans="1:2" x14ac:dyDescent="0.25">
      <c r="A2044">
        <v>10589210</v>
      </c>
    </row>
    <row r="2045" spans="1:2" x14ac:dyDescent="0.25">
      <c r="A2045">
        <v>10589395</v>
      </c>
    </row>
    <row r="2046" spans="1:2" x14ac:dyDescent="0.25">
      <c r="A2046">
        <v>10589414</v>
      </c>
    </row>
    <row r="2047" spans="1:2" x14ac:dyDescent="0.25">
      <c r="A2047">
        <v>10589498</v>
      </c>
    </row>
    <row r="2048" spans="1:2" x14ac:dyDescent="0.25">
      <c r="A2048">
        <v>10608811</v>
      </c>
    </row>
    <row r="2049" spans="1:2" x14ac:dyDescent="0.25">
      <c r="A2049">
        <v>10615968</v>
      </c>
      <c r="B2049" t="s">
        <v>36</v>
      </c>
    </row>
    <row r="2050" spans="1:2" x14ac:dyDescent="0.25">
      <c r="A2050">
        <v>11257822</v>
      </c>
      <c r="B2050" t="s">
        <v>36</v>
      </c>
    </row>
    <row r="2051" spans="1:2" x14ac:dyDescent="0.25">
      <c r="A2051">
        <v>10577408</v>
      </c>
    </row>
    <row r="2052" spans="1:2" x14ac:dyDescent="0.25">
      <c r="A2052">
        <v>10565887</v>
      </c>
    </row>
    <row r="2053" spans="1:2" x14ac:dyDescent="0.25">
      <c r="A2053">
        <v>10572118</v>
      </c>
    </row>
    <row r="2054" spans="1:2" x14ac:dyDescent="0.25">
      <c r="A2054">
        <v>10637945</v>
      </c>
    </row>
    <row r="2055" spans="1:2" x14ac:dyDescent="0.25">
      <c r="A2055">
        <v>10638303</v>
      </c>
    </row>
    <row r="2056" spans="1:2" x14ac:dyDescent="0.25">
      <c r="A2056">
        <v>10624639</v>
      </c>
    </row>
    <row r="2057" spans="1:2" x14ac:dyDescent="0.25">
      <c r="A2057">
        <v>10626690</v>
      </c>
    </row>
    <row r="2058" spans="1:2" x14ac:dyDescent="0.25">
      <c r="A2058">
        <v>10655248</v>
      </c>
    </row>
    <row r="2059" spans="1:2" x14ac:dyDescent="0.25">
      <c r="A2059">
        <v>10657111</v>
      </c>
    </row>
    <row r="2060" spans="1:2" x14ac:dyDescent="0.25">
      <c r="A2060">
        <v>10641259</v>
      </c>
    </row>
    <row r="2061" spans="1:2" x14ac:dyDescent="0.25">
      <c r="A2061">
        <v>10644770</v>
      </c>
    </row>
    <row r="2062" spans="1:2" x14ac:dyDescent="0.25">
      <c r="A2062">
        <v>10644974</v>
      </c>
    </row>
    <row r="2063" spans="1:2" x14ac:dyDescent="0.25">
      <c r="A2063">
        <v>10623971</v>
      </c>
    </row>
    <row r="2064" spans="1:2" x14ac:dyDescent="0.25">
      <c r="A2064">
        <v>10624054</v>
      </c>
    </row>
    <row r="2065" spans="1:1" x14ac:dyDescent="0.25">
      <c r="A2065">
        <v>10623631</v>
      </c>
    </row>
    <row r="2066" spans="1:1" x14ac:dyDescent="0.25">
      <c r="A2066">
        <v>10621734</v>
      </c>
    </row>
    <row r="2067" spans="1:1" x14ac:dyDescent="0.25">
      <c r="A2067">
        <v>10621890</v>
      </c>
    </row>
    <row r="2068" spans="1:1" x14ac:dyDescent="0.25">
      <c r="A2068">
        <v>10621914</v>
      </c>
    </row>
    <row r="2069" spans="1:1" x14ac:dyDescent="0.25">
      <c r="A2069">
        <v>10622159</v>
      </c>
    </row>
    <row r="2070" spans="1:1" x14ac:dyDescent="0.25">
      <c r="A2070">
        <v>10622261</v>
      </c>
    </row>
    <row r="2071" spans="1:1" x14ac:dyDescent="0.25">
      <c r="A2071">
        <v>10622429</v>
      </c>
    </row>
    <row r="2072" spans="1:1" x14ac:dyDescent="0.25">
      <c r="A2072">
        <v>10623517</v>
      </c>
    </row>
    <row r="2073" spans="1:1" x14ac:dyDescent="0.25">
      <c r="A2073">
        <v>10614204</v>
      </c>
    </row>
    <row r="2074" spans="1:1" x14ac:dyDescent="0.25">
      <c r="A2074">
        <v>10597756</v>
      </c>
    </row>
    <row r="2075" spans="1:1" x14ac:dyDescent="0.25">
      <c r="A2075">
        <v>10733484</v>
      </c>
    </row>
    <row r="2076" spans="1:1" x14ac:dyDescent="0.25">
      <c r="A2076">
        <v>10737628</v>
      </c>
    </row>
    <row r="2077" spans="1:1" x14ac:dyDescent="0.25">
      <c r="A2077">
        <v>10727456</v>
      </c>
    </row>
    <row r="2078" spans="1:1" x14ac:dyDescent="0.25">
      <c r="A2078">
        <v>10781389</v>
      </c>
    </row>
    <row r="2079" spans="1:1" x14ac:dyDescent="0.25">
      <c r="A2079">
        <v>10780737</v>
      </c>
    </row>
    <row r="2080" spans="1:1" x14ac:dyDescent="0.25">
      <c r="A2080">
        <v>10804235</v>
      </c>
    </row>
    <row r="2081" spans="1:2" x14ac:dyDescent="0.25">
      <c r="A2081">
        <v>10808557</v>
      </c>
    </row>
    <row r="2082" spans="1:2" x14ac:dyDescent="0.25">
      <c r="A2082">
        <v>10595672</v>
      </c>
    </row>
    <row r="2083" spans="1:2" x14ac:dyDescent="0.25">
      <c r="A2083">
        <v>10892001</v>
      </c>
      <c r="B2083" t="s">
        <v>36</v>
      </c>
    </row>
    <row r="2084" spans="1:2" x14ac:dyDescent="0.25">
      <c r="A2084">
        <v>10665770</v>
      </c>
      <c r="B2084" t="s">
        <v>36</v>
      </c>
    </row>
    <row r="2085" spans="1:2" x14ac:dyDescent="0.25">
      <c r="A2085">
        <v>10620379</v>
      </c>
      <c r="B2085" t="s">
        <v>35</v>
      </c>
    </row>
    <row r="2086" spans="1:2" x14ac:dyDescent="0.25">
      <c r="A2086">
        <v>11422465</v>
      </c>
      <c r="B2086" t="s">
        <v>35</v>
      </c>
    </row>
    <row r="2087" spans="1:2" x14ac:dyDescent="0.25">
      <c r="A2087">
        <v>10643397</v>
      </c>
    </row>
    <row r="2088" spans="1:2" x14ac:dyDescent="0.25">
      <c r="A2088">
        <v>10644875</v>
      </c>
    </row>
    <row r="2089" spans="1:2" x14ac:dyDescent="0.25">
      <c r="A2089">
        <v>10650572</v>
      </c>
    </row>
    <row r="2090" spans="1:2" x14ac:dyDescent="0.25">
      <c r="A2090">
        <v>10665511</v>
      </c>
    </row>
    <row r="2091" spans="1:2" x14ac:dyDescent="0.25">
      <c r="A2091">
        <v>10639663</v>
      </c>
    </row>
    <row r="2092" spans="1:2" x14ac:dyDescent="0.25">
      <c r="A2092">
        <v>10627783</v>
      </c>
    </row>
    <row r="2093" spans="1:2" x14ac:dyDescent="0.25">
      <c r="A2093">
        <v>10620898</v>
      </c>
    </row>
    <row r="2094" spans="1:2" x14ac:dyDescent="0.25">
      <c r="A2094">
        <v>10608837</v>
      </c>
    </row>
    <row r="2095" spans="1:2" x14ac:dyDescent="0.25">
      <c r="A2095">
        <v>10601766</v>
      </c>
    </row>
    <row r="2096" spans="1:2" x14ac:dyDescent="0.25">
      <c r="A2096">
        <v>10623136</v>
      </c>
    </row>
    <row r="2097" spans="1:1" x14ac:dyDescent="0.25">
      <c r="A2097">
        <v>10609417</v>
      </c>
    </row>
    <row r="2098" spans="1:1" x14ac:dyDescent="0.25">
      <c r="A2098">
        <v>10614259</v>
      </c>
    </row>
    <row r="2099" spans="1:1" x14ac:dyDescent="0.25">
      <c r="A2099">
        <v>10617978</v>
      </c>
    </row>
    <row r="2100" spans="1:1" x14ac:dyDescent="0.25">
      <c r="A2100">
        <v>10565957</v>
      </c>
    </row>
    <row r="2101" spans="1:1" x14ac:dyDescent="0.25">
      <c r="A2101">
        <v>10566399</v>
      </c>
    </row>
    <row r="2102" spans="1:1" x14ac:dyDescent="0.25">
      <c r="A2102">
        <v>10567513</v>
      </c>
    </row>
    <row r="2103" spans="1:1" x14ac:dyDescent="0.25">
      <c r="A2103">
        <v>10575766</v>
      </c>
    </row>
    <row r="2104" spans="1:1" x14ac:dyDescent="0.25">
      <c r="A2104">
        <v>10584889</v>
      </c>
    </row>
    <row r="2105" spans="1:1" x14ac:dyDescent="0.25">
      <c r="A2105">
        <v>10588876</v>
      </c>
    </row>
    <row r="2106" spans="1:1" x14ac:dyDescent="0.25">
      <c r="A2106">
        <v>10589017</v>
      </c>
    </row>
    <row r="2107" spans="1:1" x14ac:dyDescent="0.25">
      <c r="A2107">
        <v>10590887</v>
      </c>
    </row>
    <row r="2108" spans="1:1" x14ac:dyDescent="0.25">
      <c r="A2108">
        <v>10595463</v>
      </c>
    </row>
    <row r="2109" spans="1:1" x14ac:dyDescent="0.25">
      <c r="A2109">
        <v>10595742</v>
      </c>
    </row>
    <row r="2110" spans="1:1" x14ac:dyDescent="0.25">
      <c r="A2110">
        <v>10595388</v>
      </c>
    </row>
    <row r="2111" spans="1:1" x14ac:dyDescent="0.25">
      <c r="A2111">
        <v>10595392</v>
      </c>
    </row>
    <row r="2112" spans="1:1" x14ac:dyDescent="0.25">
      <c r="A2112">
        <v>10578265</v>
      </c>
    </row>
    <row r="2113" spans="1:2" x14ac:dyDescent="0.25">
      <c r="A2113">
        <v>10578279</v>
      </c>
    </row>
    <row r="2114" spans="1:2" x14ac:dyDescent="0.25">
      <c r="A2114">
        <v>10628730</v>
      </c>
    </row>
    <row r="2115" spans="1:2" x14ac:dyDescent="0.25">
      <c r="A2115">
        <v>11346670</v>
      </c>
      <c r="B2115" t="s">
        <v>35</v>
      </c>
    </row>
    <row r="2116" spans="1:2" x14ac:dyDescent="0.25">
      <c r="A2116">
        <v>11571805</v>
      </c>
      <c r="B2116" t="s">
        <v>35</v>
      </c>
    </row>
    <row r="2117" spans="1:2" x14ac:dyDescent="0.25">
      <c r="A2117">
        <v>11379126</v>
      </c>
      <c r="B2117" t="s">
        <v>35</v>
      </c>
    </row>
    <row r="2118" spans="1:2" x14ac:dyDescent="0.25">
      <c r="A2118">
        <v>11405544</v>
      </c>
      <c r="B2118" t="s">
        <v>35</v>
      </c>
    </row>
    <row r="2119" spans="1:2" x14ac:dyDescent="0.25">
      <c r="A2119">
        <v>11708061</v>
      </c>
      <c r="B2119" t="s">
        <v>35</v>
      </c>
    </row>
    <row r="2120" spans="1:2" x14ac:dyDescent="0.25">
      <c r="A2120">
        <v>11860545</v>
      </c>
      <c r="B2120" t="s">
        <v>35</v>
      </c>
    </row>
    <row r="2121" spans="1:2" x14ac:dyDescent="0.25">
      <c r="A2121">
        <v>10790033</v>
      </c>
      <c r="B2121" t="s">
        <v>35</v>
      </c>
    </row>
    <row r="2122" spans="1:2" x14ac:dyDescent="0.25">
      <c r="A2122">
        <v>10790347</v>
      </c>
      <c r="B2122" t="s">
        <v>35</v>
      </c>
    </row>
    <row r="2123" spans="1:2" x14ac:dyDescent="0.25">
      <c r="A2123">
        <v>11832452</v>
      </c>
      <c r="B2123" t="s">
        <v>35</v>
      </c>
    </row>
    <row r="2124" spans="1:2" x14ac:dyDescent="0.25">
      <c r="A2124">
        <v>11385747</v>
      </c>
      <c r="B2124" t="s">
        <v>35</v>
      </c>
    </row>
    <row r="2125" spans="1:2" x14ac:dyDescent="0.25">
      <c r="A2125">
        <v>11371270</v>
      </c>
      <c r="B2125" t="s">
        <v>35</v>
      </c>
    </row>
    <row r="2126" spans="1:2" x14ac:dyDescent="0.25">
      <c r="A2126">
        <v>11400319</v>
      </c>
      <c r="B2126" t="s">
        <v>35</v>
      </c>
    </row>
    <row r="2127" spans="1:2" x14ac:dyDescent="0.25">
      <c r="A2127">
        <v>11348185</v>
      </c>
      <c r="B2127" t="s">
        <v>35</v>
      </c>
    </row>
    <row r="2128" spans="1:2" x14ac:dyDescent="0.25">
      <c r="A2128">
        <v>11826088</v>
      </c>
      <c r="B2128" t="s">
        <v>35</v>
      </c>
    </row>
    <row r="2129" spans="1:2" x14ac:dyDescent="0.25">
      <c r="A2129">
        <v>11619491</v>
      </c>
      <c r="B2129" t="s">
        <v>35</v>
      </c>
    </row>
    <row r="2130" spans="1:2" x14ac:dyDescent="0.25">
      <c r="A2130">
        <v>11348882</v>
      </c>
      <c r="B2130" t="s">
        <v>35</v>
      </c>
    </row>
    <row r="2131" spans="1:2" x14ac:dyDescent="0.25">
      <c r="A2131">
        <v>11363915</v>
      </c>
      <c r="B2131" t="s">
        <v>35</v>
      </c>
    </row>
    <row r="2132" spans="1:2" x14ac:dyDescent="0.25">
      <c r="A2132">
        <v>11599483</v>
      </c>
      <c r="B2132" t="s">
        <v>35</v>
      </c>
    </row>
    <row r="2133" spans="1:2" x14ac:dyDescent="0.25">
      <c r="A2133">
        <v>11404623</v>
      </c>
      <c r="B2133" t="s">
        <v>35</v>
      </c>
    </row>
    <row r="2134" spans="1:2" x14ac:dyDescent="0.25">
      <c r="A2134">
        <v>11356313</v>
      </c>
      <c r="B2134" t="s">
        <v>35</v>
      </c>
    </row>
    <row r="2135" spans="1:2" x14ac:dyDescent="0.25">
      <c r="A2135">
        <v>11376032</v>
      </c>
      <c r="B2135" t="s">
        <v>35</v>
      </c>
    </row>
    <row r="2136" spans="1:2" x14ac:dyDescent="0.25">
      <c r="A2136">
        <v>11318868</v>
      </c>
      <c r="B2136" t="s">
        <v>35</v>
      </c>
    </row>
    <row r="2137" spans="1:2" x14ac:dyDescent="0.25">
      <c r="A2137">
        <v>11302924</v>
      </c>
      <c r="B2137" t="s">
        <v>35</v>
      </c>
    </row>
    <row r="2138" spans="1:2" x14ac:dyDescent="0.25">
      <c r="A2138">
        <v>11618817</v>
      </c>
      <c r="B2138" t="s">
        <v>35</v>
      </c>
    </row>
    <row r="2139" spans="1:2" x14ac:dyDescent="0.25">
      <c r="A2139">
        <v>11648017</v>
      </c>
      <c r="B2139" t="s">
        <v>35</v>
      </c>
    </row>
    <row r="2140" spans="1:2" x14ac:dyDescent="0.25">
      <c r="A2140">
        <v>11345196</v>
      </c>
      <c r="B2140" t="s">
        <v>35</v>
      </c>
    </row>
    <row r="2141" spans="1:2" x14ac:dyDescent="0.25">
      <c r="A2141">
        <v>11425029</v>
      </c>
      <c r="B2141" t="s">
        <v>35</v>
      </c>
    </row>
    <row r="2142" spans="1:2" x14ac:dyDescent="0.25">
      <c r="A2142">
        <v>11405634</v>
      </c>
      <c r="B2142" t="s">
        <v>35</v>
      </c>
    </row>
    <row r="2143" spans="1:2" x14ac:dyDescent="0.25">
      <c r="A2143">
        <v>11394061</v>
      </c>
      <c r="B2143" t="s">
        <v>35</v>
      </c>
    </row>
    <row r="2144" spans="1:2" x14ac:dyDescent="0.25">
      <c r="A2144">
        <v>11407220</v>
      </c>
      <c r="B2144" t="s">
        <v>35</v>
      </c>
    </row>
    <row r="2145" spans="1:2" x14ac:dyDescent="0.25">
      <c r="A2145">
        <v>11440821</v>
      </c>
      <c r="B2145" t="s">
        <v>35</v>
      </c>
    </row>
    <row r="2146" spans="1:2" x14ac:dyDescent="0.25">
      <c r="A2146">
        <v>11379346</v>
      </c>
      <c r="B2146" t="s">
        <v>35</v>
      </c>
    </row>
    <row r="2147" spans="1:2" x14ac:dyDescent="0.25">
      <c r="A2147">
        <v>11062050</v>
      </c>
      <c r="B2147" t="s">
        <v>35</v>
      </c>
    </row>
    <row r="2148" spans="1:2" x14ac:dyDescent="0.25">
      <c r="A2148">
        <v>10719149</v>
      </c>
      <c r="B2148" t="s">
        <v>35</v>
      </c>
    </row>
    <row r="2149" spans="1:2" x14ac:dyDescent="0.25">
      <c r="A2149">
        <v>11231327</v>
      </c>
      <c r="B2149" t="s">
        <v>35</v>
      </c>
    </row>
    <row r="2150" spans="1:2" x14ac:dyDescent="0.25">
      <c r="A2150">
        <v>11345584</v>
      </c>
      <c r="B2150" t="s">
        <v>35</v>
      </c>
    </row>
    <row r="2151" spans="1:2" x14ac:dyDescent="0.25">
      <c r="A2151">
        <v>11857547</v>
      </c>
      <c r="B2151" t="s">
        <v>35</v>
      </c>
    </row>
    <row r="2152" spans="1:2" x14ac:dyDescent="0.25">
      <c r="A2152">
        <v>11350108</v>
      </c>
      <c r="B2152" t="s">
        <v>35</v>
      </c>
    </row>
    <row r="2153" spans="1:2" x14ac:dyDescent="0.25">
      <c r="A2153">
        <v>11447315</v>
      </c>
      <c r="B2153" t="s">
        <v>35</v>
      </c>
    </row>
    <row r="2154" spans="1:2" x14ac:dyDescent="0.25">
      <c r="A2154">
        <v>11483931</v>
      </c>
      <c r="B2154" t="s">
        <v>35</v>
      </c>
    </row>
    <row r="2155" spans="1:2" x14ac:dyDescent="0.25">
      <c r="A2155">
        <v>10816536</v>
      </c>
      <c r="B2155" t="s">
        <v>35</v>
      </c>
    </row>
    <row r="2156" spans="1:2" x14ac:dyDescent="0.25">
      <c r="A2156">
        <v>10868823</v>
      </c>
      <c r="B2156" t="s">
        <v>35</v>
      </c>
    </row>
    <row r="2157" spans="1:2" x14ac:dyDescent="0.25">
      <c r="A2157">
        <v>10870501</v>
      </c>
      <c r="B2157" t="s">
        <v>35</v>
      </c>
    </row>
    <row r="2158" spans="1:2" x14ac:dyDescent="0.25">
      <c r="A2158">
        <v>10873254</v>
      </c>
      <c r="B2158" t="s">
        <v>35</v>
      </c>
    </row>
    <row r="2159" spans="1:2" x14ac:dyDescent="0.25">
      <c r="A2159">
        <v>10877455</v>
      </c>
      <c r="B2159" t="s">
        <v>35</v>
      </c>
    </row>
    <row r="2160" spans="1:2" x14ac:dyDescent="0.25">
      <c r="A2160">
        <v>10904333</v>
      </c>
      <c r="B2160" t="s">
        <v>35</v>
      </c>
    </row>
    <row r="2161" spans="1:2" x14ac:dyDescent="0.25">
      <c r="A2161">
        <v>10704139</v>
      </c>
      <c r="B2161" t="s">
        <v>35</v>
      </c>
    </row>
    <row r="2162" spans="1:2" x14ac:dyDescent="0.25">
      <c r="A2162">
        <v>10894240</v>
      </c>
      <c r="B2162" t="s">
        <v>35</v>
      </c>
    </row>
    <row r="2163" spans="1:2" x14ac:dyDescent="0.25">
      <c r="A2163">
        <v>10881268</v>
      </c>
      <c r="B2163" t="s">
        <v>35</v>
      </c>
    </row>
    <row r="2164" spans="1:2" x14ac:dyDescent="0.25">
      <c r="A2164">
        <v>10825193</v>
      </c>
      <c r="B2164" t="s">
        <v>35</v>
      </c>
    </row>
    <row r="2165" spans="1:2" x14ac:dyDescent="0.25">
      <c r="A2165">
        <v>10847542</v>
      </c>
      <c r="B2165" t="s">
        <v>35</v>
      </c>
    </row>
    <row r="2166" spans="1:2" x14ac:dyDescent="0.25">
      <c r="A2166">
        <v>10613309</v>
      </c>
      <c r="B2166" t="s">
        <v>35</v>
      </c>
    </row>
    <row r="2167" spans="1:2" x14ac:dyDescent="0.25">
      <c r="A2167">
        <v>10796614</v>
      </c>
      <c r="B2167" t="s">
        <v>35</v>
      </c>
    </row>
    <row r="2168" spans="1:2" x14ac:dyDescent="0.25">
      <c r="A2168">
        <v>10801540</v>
      </c>
      <c r="B2168" t="s">
        <v>35</v>
      </c>
    </row>
    <row r="2169" spans="1:2" x14ac:dyDescent="0.25">
      <c r="A2169">
        <v>11461304</v>
      </c>
      <c r="B2169" t="s">
        <v>35</v>
      </c>
    </row>
    <row r="2170" spans="1:2" x14ac:dyDescent="0.25">
      <c r="A2170">
        <v>11095212</v>
      </c>
      <c r="B2170" t="s">
        <v>35</v>
      </c>
    </row>
    <row r="2171" spans="1:2" x14ac:dyDescent="0.25">
      <c r="A2171">
        <v>11090607</v>
      </c>
      <c r="B2171" t="s">
        <v>35</v>
      </c>
    </row>
    <row r="2172" spans="1:2" x14ac:dyDescent="0.25">
      <c r="A2172">
        <v>10971582</v>
      </c>
      <c r="B2172" t="s">
        <v>35</v>
      </c>
    </row>
    <row r="2173" spans="1:2" x14ac:dyDescent="0.25">
      <c r="A2173">
        <v>11072933</v>
      </c>
      <c r="B2173" t="s">
        <v>35</v>
      </c>
    </row>
    <row r="2174" spans="1:2" x14ac:dyDescent="0.25">
      <c r="A2174">
        <v>11038381</v>
      </c>
      <c r="B2174" t="s">
        <v>35</v>
      </c>
    </row>
    <row r="2175" spans="1:2" x14ac:dyDescent="0.25">
      <c r="A2175">
        <v>11280537</v>
      </c>
      <c r="B2175" t="s">
        <v>35</v>
      </c>
    </row>
    <row r="2176" spans="1:2" x14ac:dyDescent="0.25">
      <c r="A2176">
        <v>11346500</v>
      </c>
      <c r="B2176" t="s">
        <v>35</v>
      </c>
    </row>
    <row r="2177" spans="1:2" x14ac:dyDescent="0.25">
      <c r="A2177">
        <v>11360269</v>
      </c>
      <c r="B2177" t="s">
        <v>35</v>
      </c>
    </row>
    <row r="2178" spans="1:2" x14ac:dyDescent="0.25">
      <c r="A2178">
        <v>11368045</v>
      </c>
      <c r="B2178" t="s">
        <v>35</v>
      </c>
    </row>
    <row r="2179" spans="1:2" x14ac:dyDescent="0.25">
      <c r="A2179">
        <v>11380279</v>
      </c>
      <c r="B2179" t="s">
        <v>35</v>
      </c>
    </row>
    <row r="2180" spans="1:2" x14ac:dyDescent="0.25">
      <c r="A2180">
        <v>11403007</v>
      </c>
      <c r="B2180" t="s">
        <v>35</v>
      </c>
    </row>
    <row r="2181" spans="1:2" x14ac:dyDescent="0.25">
      <c r="A2181">
        <v>11405328</v>
      </c>
      <c r="B2181" t="s">
        <v>35</v>
      </c>
    </row>
    <row r="2182" spans="1:2" x14ac:dyDescent="0.25">
      <c r="A2182">
        <v>11518450</v>
      </c>
      <c r="B2182" t="s">
        <v>35</v>
      </c>
    </row>
    <row r="2183" spans="1:2" x14ac:dyDescent="0.25">
      <c r="A2183">
        <v>11123950</v>
      </c>
      <c r="B2183" t="s">
        <v>35</v>
      </c>
    </row>
    <row r="2184" spans="1:2" x14ac:dyDescent="0.25">
      <c r="A2184">
        <v>11124460</v>
      </c>
      <c r="B2184" t="s">
        <v>35</v>
      </c>
    </row>
    <row r="2185" spans="1:2" x14ac:dyDescent="0.25">
      <c r="A2185">
        <v>11132858</v>
      </c>
      <c r="B2185" t="s">
        <v>35</v>
      </c>
    </row>
    <row r="2186" spans="1:2" x14ac:dyDescent="0.25">
      <c r="A2186">
        <v>11058280</v>
      </c>
      <c r="B2186" t="s">
        <v>35</v>
      </c>
    </row>
    <row r="2187" spans="1:2" x14ac:dyDescent="0.25">
      <c r="A2187">
        <v>10962990</v>
      </c>
      <c r="B2187" t="s">
        <v>35</v>
      </c>
    </row>
    <row r="2188" spans="1:2" x14ac:dyDescent="0.25">
      <c r="A2188">
        <v>10955391</v>
      </c>
      <c r="B2188" t="s">
        <v>35</v>
      </c>
    </row>
    <row r="2189" spans="1:2" x14ac:dyDescent="0.25">
      <c r="A2189">
        <v>10954406</v>
      </c>
      <c r="B2189" t="s">
        <v>35</v>
      </c>
    </row>
    <row r="2190" spans="1:2" x14ac:dyDescent="0.25">
      <c r="A2190">
        <v>11013051</v>
      </c>
      <c r="B2190" t="s">
        <v>35</v>
      </c>
    </row>
    <row r="2191" spans="1:2" x14ac:dyDescent="0.25">
      <c r="A2191">
        <v>10930723</v>
      </c>
      <c r="B2191" t="s">
        <v>35</v>
      </c>
    </row>
    <row r="2192" spans="1:2" x14ac:dyDescent="0.25">
      <c r="A2192">
        <v>10922736</v>
      </c>
      <c r="B2192" t="s">
        <v>35</v>
      </c>
    </row>
    <row r="2193" spans="1:2" x14ac:dyDescent="0.25">
      <c r="A2193">
        <v>10831529</v>
      </c>
      <c r="B2193" t="s">
        <v>35</v>
      </c>
    </row>
    <row r="2194" spans="1:2" x14ac:dyDescent="0.25">
      <c r="A2194">
        <v>10849506</v>
      </c>
      <c r="B2194" t="s">
        <v>35</v>
      </c>
    </row>
    <row r="2195" spans="1:2" x14ac:dyDescent="0.25">
      <c r="A2195">
        <v>10899716</v>
      </c>
      <c r="B2195" t="s">
        <v>35</v>
      </c>
    </row>
    <row r="2196" spans="1:2" x14ac:dyDescent="0.25">
      <c r="A2196">
        <v>10934165</v>
      </c>
      <c r="B2196" t="s">
        <v>35</v>
      </c>
    </row>
    <row r="2197" spans="1:2" x14ac:dyDescent="0.25">
      <c r="A2197">
        <v>10923734</v>
      </c>
      <c r="B2197" t="s">
        <v>35</v>
      </c>
    </row>
    <row r="2198" spans="1:2" x14ac:dyDescent="0.25">
      <c r="A2198">
        <v>10933472</v>
      </c>
      <c r="B2198" t="s">
        <v>35</v>
      </c>
    </row>
    <row r="2199" spans="1:2" x14ac:dyDescent="0.25">
      <c r="A2199">
        <v>10915370</v>
      </c>
      <c r="B2199" t="s">
        <v>35</v>
      </c>
    </row>
    <row r="2200" spans="1:2" x14ac:dyDescent="0.25">
      <c r="A2200">
        <v>10903742</v>
      </c>
      <c r="B2200" t="s">
        <v>35</v>
      </c>
    </row>
    <row r="2201" spans="1:2" x14ac:dyDescent="0.25">
      <c r="A2201">
        <v>10912162</v>
      </c>
      <c r="B2201" t="s">
        <v>35</v>
      </c>
    </row>
    <row r="2202" spans="1:2" x14ac:dyDescent="0.25">
      <c r="A2202">
        <v>10912241</v>
      </c>
      <c r="B2202" t="s">
        <v>35</v>
      </c>
    </row>
    <row r="2203" spans="1:2" x14ac:dyDescent="0.25">
      <c r="A2203">
        <v>11719927</v>
      </c>
      <c r="B2203" t="s">
        <v>35</v>
      </c>
    </row>
    <row r="2204" spans="1:2" x14ac:dyDescent="0.25">
      <c r="A2204">
        <v>11746608</v>
      </c>
      <c r="B2204" t="s">
        <v>35</v>
      </c>
    </row>
    <row r="2205" spans="1:2" x14ac:dyDescent="0.25">
      <c r="A2205">
        <v>11587874</v>
      </c>
      <c r="B2205" t="s">
        <v>35</v>
      </c>
    </row>
    <row r="2206" spans="1:2" x14ac:dyDescent="0.25">
      <c r="A2206">
        <v>11686506</v>
      </c>
      <c r="B2206" t="s">
        <v>35</v>
      </c>
    </row>
    <row r="2207" spans="1:2" x14ac:dyDescent="0.25">
      <c r="A2207">
        <v>11702239</v>
      </c>
      <c r="B2207" t="s">
        <v>35</v>
      </c>
    </row>
    <row r="2208" spans="1:2" x14ac:dyDescent="0.25">
      <c r="A2208">
        <v>11675305</v>
      </c>
      <c r="B2208" t="s">
        <v>35</v>
      </c>
    </row>
    <row r="2209" spans="1:2" x14ac:dyDescent="0.25">
      <c r="A2209">
        <v>11857034</v>
      </c>
      <c r="B2209" t="s">
        <v>35</v>
      </c>
    </row>
    <row r="2210" spans="1:2" x14ac:dyDescent="0.25">
      <c r="A2210">
        <v>11948139</v>
      </c>
      <c r="B2210" t="s">
        <v>35</v>
      </c>
    </row>
    <row r="2211" spans="1:2" x14ac:dyDescent="0.25">
      <c r="A2211">
        <v>10952763</v>
      </c>
      <c r="B2211" t="s">
        <v>35</v>
      </c>
    </row>
    <row r="2212" spans="1:2" x14ac:dyDescent="0.25">
      <c r="A2212">
        <v>11290631</v>
      </c>
      <c r="B2212" t="s">
        <v>35</v>
      </c>
    </row>
    <row r="2213" spans="1:2" x14ac:dyDescent="0.25">
      <c r="A2213">
        <v>11290658</v>
      </c>
      <c r="B2213" t="s">
        <v>35</v>
      </c>
    </row>
    <row r="2214" spans="1:2" x14ac:dyDescent="0.25">
      <c r="A2214">
        <v>11276200</v>
      </c>
      <c r="B2214" t="s">
        <v>35</v>
      </c>
    </row>
    <row r="2215" spans="1:2" x14ac:dyDescent="0.25">
      <c r="A2215">
        <v>11280408</v>
      </c>
      <c r="B2215" t="s">
        <v>35</v>
      </c>
    </row>
    <row r="2216" spans="1:2" x14ac:dyDescent="0.25">
      <c r="A2216">
        <v>11348385</v>
      </c>
      <c r="B2216" t="s">
        <v>35</v>
      </c>
    </row>
    <row r="2217" spans="1:2" x14ac:dyDescent="0.25">
      <c r="A2217">
        <v>11348065</v>
      </c>
      <c r="B2217" t="s">
        <v>35</v>
      </c>
    </row>
    <row r="2218" spans="1:2" x14ac:dyDescent="0.25">
      <c r="A2218">
        <v>11331617</v>
      </c>
      <c r="B2218" t="s">
        <v>35</v>
      </c>
    </row>
    <row r="2219" spans="1:2" x14ac:dyDescent="0.25">
      <c r="A2219">
        <v>11333325</v>
      </c>
      <c r="B2219" t="s">
        <v>35</v>
      </c>
    </row>
    <row r="2220" spans="1:2" x14ac:dyDescent="0.25">
      <c r="A2220">
        <v>11346556</v>
      </c>
      <c r="B2220" t="s">
        <v>35</v>
      </c>
    </row>
    <row r="2221" spans="1:2" x14ac:dyDescent="0.25">
      <c r="A2221">
        <v>11344565</v>
      </c>
      <c r="B2221" t="s">
        <v>35</v>
      </c>
    </row>
    <row r="2222" spans="1:2" x14ac:dyDescent="0.25">
      <c r="A2222">
        <v>11301260</v>
      </c>
      <c r="B2222" t="s">
        <v>35</v>
      </c>
    </row>
    <row r="2223" spans="1:2" x14ac:dyDescent="0.25">
      <c r="A2223">
        <v>10751375</v>
      </c>
      <c r="B2223" t="s">
        <v>35</v>
      </c>
    </row>
    <row r="2224" spans="1:2" x14ac:dyDescent="0.25">
      <c r="A2224">
        <v>10782630</v>
      </c>
      <c r="B2224" t="s">
        <v>35</v>
      </c>
    </row>
    <row r="2225" spans="1:2" x14ac:dyDescent="0.25">
      <c r="A2225">
        <v>10687926</v>
      </c>
      <c r="B2225" t="s">
        <v>35</v>
      </c>
    </row>
    <row r="2226" spans="1:2" x14ac:dyDescent="0.25">
      <c r="A2226">
        <v>10691487</v>
      </c>
      <c r="B2226" t="s">
        <v>35</v>
      </c>
    </row>
    <row r="2227" spans="1:2" x14ac:dyDescent="0.25">
      <c r="A2227">
        <v>10719851</v>
      </c>
      <c r="B2227" t="s">
        <v>35</v>
      </c>
    </row>
    <row r="2228" spans="1:2" x14ac:dyDescent="0.25">
      <c r="A2228">
        <v>11002797</v>
      </c>
      <c r="B2228" t="s">
        <v>35</v>
      </c>
    </row>
    <row r="2229" spans="1:2" x14ac:dyDescent="0.25">
      <c r="A2229">
        <v>10968443</v>
      </c>
      <c r="B2229" t="s">
        <v>35</v>
      </c>
    </row>
    <row r="2230" spans="1:2" x14ac:dyDescent="0.25">
      <c r="A2230">
        <v>10987728</v>
      </c>
      <c r="B2230" t="s">
        <v>35</v>
      </c>
    </row>
    <row r="2231" spans="1:2" x14ac:dyDescent="0.25">
      <c r="A2231">
        <v>10992120</v>
      </c>
      <c r="B2231" t="s">
        <v>35</v>
      </c>
    </row>
    <row r="2232" spans="1:2" x14ac:dyDescent="0.25">
      <c r="A2232">
        <v>10961468</v>
      </c>
      <c r="B2232" t="s">
        <v>35</v>
      </c>
    </row>
    <row r="2233" spans="1:2" x14ac:dyDescent="0.25">
      <c r="A2233">
        <v>10947994</v>
      </c>
      <c r="B2233" t="s">
        <v>35</v>
      </c>
    </row>
    <row r="2234" spans="1:2" x14ac:dyDescent="0.25">
      <c r="A2234">
        <v>11385999</v>
      </c>
      <c r="B2234" t="s">
        <v>35</v>
      </c>
    </row>
    <row r="2235" spans="1:2" x14ac:dyDescent="0.25">
      <c r="A2235">
        <v>11812374</v>
      </c>
      <c r="B2235" t="s">
        <v>35</v>
      </c>
    </row>
    <row r="2236" spans="1:2" x14ac:dyDescent="0.25">
      <c r="A2236">
        <v>11803303</v>
      </c>
      <c r="B2236" t="s">
        <v>35</v>
      </c>
    </row>
    <row r="2237" spans="1:2" x14ac:dyDescent="0.25">
      <c r="A2237">
        <v>11806684</v>
      </c>
      <c r="B2237" t="s">
        <v>35</v>
      </c>
    </row>
    <row r="2238" spans="1:2" x14ac:dyDescent="0.25">
      <c r="A2238">
        <v>11743456</v>
      </c>
      <c r="B2238" t="s">
        <v>35</v>
      </c>
    </row>
    <row r="2239" spans="1:2" x14ac:dyDescent="0.25">
      <c r="A2239">
        <v>11496644</v>
      </c>
      <c r="B2239" t="s">
        <v>35</v>
      </c>
    </row>
    <row r="2240" spans="1:2" x14ac:dyDescent="0.25">
      <c r="A2240">
        <v>11611126</v>
      </c>
      <c r="B2240" t="s">
        <v>35</v>
      </c>
    </row>
    <row r="2241" spans="1:2" x14ac:dyDescent="0.25">
      <c r="A2241">
        <v>11607209</v>
      </c>
      <c r="B2241" t="s">
        <v>35</v>
      </c>
    </row>
    <row r="2242" spans="1:2" x14ac:dyDescent="0.25">
      <c r="A2242">
        <v>11597932</v>
      </c>
      <c r="B2242" t="s">
        <v>35</v>
      </c>
    </row>
    <row r="2243" spans="1:2" x14ac:dyDescent="0.25">
      <c r="A2243">
        <v>11599540</v>
      </c>
      <c r="B2243" t="s">
        <v>35</v>
      </c>
    </row>
    <row r="2244" spans="1:2" x14ac:dyDescent="0.25">
      <c r="A2244">
        <v>11664703</v>
      </c>
      <c r="B2244" t="s">
        <v>35</v>
      </c>
    </row>
    <row r="2245" spans="1:2" x14ac:dyDescent="0.25">
      <c r="A2245">
        <v>10852883</v>
      </c>
      <c r="B2245" t="s">
        <v>35</v>
      </c>
    </row>
    <row r="2246" spans="1:2" x14ac:dyDescent="0.25">
      <c r="A2246">
        <v>11398532</v>
      </c>
      <c r="B2246" t="s">
        <v>35</v>
      </c>
    </row>
    <row r="2247" spans="1:2" x14ac:dyDescent="0.25">
      <c r="A2247">
        <v>11370666</v>
      </c>
      <c r="B2247" t="s">
        <v>35</v>
      </c>
    </row>
    <row r="2248" spans="1:2" x14ac:dyDescent="0.25">
      <c r="A2248">
        <v>11363382</v>
      </c>
      <c r="B2248" t="s">
        <v>35</v>
      </c>
    </row>
    <row r="2249" spans="1:2" x14ac:dyDescent="0.25">
      <c r="A2249">
        <v>11371137</v>
      </c>
      <c r="B2249" t="s">
        <v>35</v>
      </c>
    </row>
    <row r="2250" spans="1:2" x14ac:dyDescent="0.25">
      <c r="A2250">
        <v>11949340</v>
      </c>
      <c r="B2250" t="s">
        <v>35</v>
      </c>
    </row>
    <row r="2251" spans="1:2" x14ac:dyDescent="0.25">
      <c r="A2251">
        <v>11976456</v>
      </c>
      <c r="B2251" t="s">
        <v>35</v>
      </c>
    </row>
    <row r="2252" spans="1:2" x14ac:dyDescent="0.25">
      <c r="A2252">
        <v>11978275</v>
      </c>
      <c r="B2252" t="s">
        <v>35</v>
      </c>
    </row>
    <row r="2253" spans="1:2" x14ac:dyDescent="0.25">
      <c r="A2253">
        <v>12012532</v>
      </c>
      <c r="B2253" t="s">
        <v>35</v>
      </c>
    </row>
    <row r="2254" spans="1:2" x14ac:dyDescent="0.25">
      <c r="A2254">
        <v>12007108</v>
      </c>
      <c r="B2254" t="s">
        <v>35</v>
      </c>
    </row>
    <row r="2255" spans="1:2" x14ac:dyDescent="0.25">
      <c r="A2255">
        <v>12002261</v>
      </c>
      <c r="B2255" t="s">
        <v>35</v>
      </c>
    </row>
    <row r="2256" spans="1:2" x14ac:dyDescent="0.25">
      <c r="A2256">
        <v>12023868</v>
      </c>
      <c r="B2256" t="s">
        <v>35</v>
      </c>
    </row>
    <row r="2257" spans="1:2" x14ac:dyDescent="0.25">
      <c r="A2257">
        <v>12023976</v>
      </c>
      <c r="B2257" t="s">
        <v>35</v>
      </c>
    </row>
    <row r="2258" spans="1:2" x14ac:dyDescent="0.25">
      <c r="A2258">
        <v>12024031</v>
      </c>
      <c r="B2258" t="s">
        <v>35</v>
      </c>
    </row>
    <row r="2259" spans="1:2" x14ac:dyDescent="0.25">
      <c r="A2259">
        <v>11395433</v>
      </c>
      <c r="B2259" t="s">
        <v>35</v>
      </c>
    </row>
    <row r="2260" spans="1:2" x14ac:dyDescent="0.25">
      <c r="A2260">
        <v>11382010</v>
      </c>
      <c r="B2260" t="s">
        <v>35</v>
      </c>
    </row>
    <row r="2261" spans="1:2" x14ac:dyDescent="0.25">
      <c r="A2261">
        <v>12021648</v>
      </c>
      <c r="B2261" t="s">
        <v>35</v>
      </c>
    </row>
    <row r="2262" spans="1:2" x14ac:dyDescent="0.25">
      <c r="A2262">
        <v>11875914</v>
      </c>
      <c r="B2262" t="s">
        <v>35</v>
      </c>
    </row>
    <row r="2263" spans="1:2" x14ac:dyDescent="0.25">
      <c r="A2263">
        <v>11871590</v>
      </c>
      <c r="B2263" t="s">
        <v>35</v>
      </c>
    </row>
    <row r="2264" spans="1:2" x14ac:dyDescent="0.25">
      <c r="A2264">
        <v>11858022</v>
      </c>
      <c r="B2264" t="s">
        <v>35</v>
      </c>
    </row>
    <row r="2265" spans="1:2" x14ac:dyDescent="0.25">
      <c r="A2265">
        <v>11789649</v>
      </c>
      <c r="B2265" t="s">
        <v>35</v>
      </c>
    </row>
    <row r="2266" spans="1:2" x14ac:dyDescent="0.25">
      <c r="A2266">
        <v>11738122</v>
      </c>
      <c r="B2266" t="s">
        <v>35</v>
      </c>
    </row>
    <row r="2267" spans="1:2" x14ac:dyDescent="0.25">
      <c r="A2267">
        <v>11680530</v>
      </c>
      <c r="B2267" t="s">
        <v>35</v>
      </c>
    </row>
    <row r="2268" spans="1:2" x14ac:dyDescent="0.25">
      <c r="A2268">
        <v>11708785</v>
      </c>
      <c r="B2268" t="s">
        <v>35</v>
      </c>
    </row>
    <row r="2269" spans="1:2" x14ac:dyDescent="0.25">
      <c r="A2269">
        <v>11297983</v>
      </c>
      <c r="B2269" t="s">
        <v>35</v>
      </c>
    </row>
    <row r="2270" spans="1:2" x14ac:dyDescent="0.25">
      <c r="A2270">
        <v>11331813</v>
      </c>
      <c r="B2270" t="s">
        <v>35</v>
      </c>
    </row>
    <row r="2271" spans="1:2" x14ac:dyDescent="0.25">
      <c r="A2271">
        <v>10846258</v>
      </c>
      <c r="B2271" t="s">
        <v>35</v>
      </c>
    </row>
    <row r="2272" spans="1:2" x14ac:dyDescent="0.25">
      <c r="A2272">
        <v>11562089</v>
      </c>
      <c r="B2272" t="s">
        <v>35</v>
      </c>
    </row>
    <row r="2273" spans="1:2" x14ac:dyDescent="0.25">
      <c r="A2273">
        <v>11561275</v>
      </c>
      <c r="B2273" t="s">
        <v>35</v>
      </c>
    </row>
    <row r="2274" spans="1:2" x14ac:dyDescent="0.25">
      <c r="A2274">
        <v>11566253</v>
      </c>
      <c r="B2274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ACA6-BD79-48E3-9E17-C744297C6DB8}">
  <dimension ref="A1:B2274"/>
  <sheetViews>
    <sheetView topLeftCell="A2239" workbookViewId="0">
      <selection activeCell="A2274" sqref="A2274:XFD2274"/>
    </sheetView>
  </sheetViews>
  <sheetFormatPr defaultRowHeight="15" x14ac:dyDescent="0.25"/>
  <cols>
    <col min="2" max="2" width="31.85546875" bestFit="1" customWidth="1"/>
  </cols>
  <sheetData>
    <row r="1" spans="1:2" x14ac:dyDescent="0.25">
      <c r="A1" t="s">
        <v>2</v>
      </c>
      <c r="B1" t="s">
        <v>567</v>
      </c>
    </row>
    <row r="2" spans="1:2" x14ac:dyDescent="0.25">
      <c r="A2">
        <v>11316042</v>
      </c>
      <c r="B2" t="s">
        <v>88</v>
      </c>
    </row>
    <row r="3" spans="1:2" x14ac:dyDescent="0.25">
      <c r="A3">
        <v>11374979</v>
      </c>
      <c r="B3" t="s">
        <v>319</v>
      </c>
    </row>
    <row r="4" spans="1:2" x14ac:dyDescent="0.25">
      <c r="A4">
        <v>11997870</v>
      </c>
      <c r="B4" t="s">
        <v>60</v>
      </c>
    </row>
    <row r="5" spans="1:2" x14ac:dyDescent="0.25">
      <c r="A5">
        <v>11930537</v>
      </c>
      <c r="B5" t="s">
        <v>60</v>
      </c>
    </row>
    <row r="6" spans="1:2" x14ac:dyDescent="0.25">
      <c r="A6">
        <v>11899381</v>
      </c>
      <c r="B6" t="s">
        <v>60</v>
      </c>
    </row>
    <row r="7" spans="1:2" x14ac:dyDescent="0.25">
      <c r="A7">
        <v>11899592</v>
      </c>
      <c r="B7" t="s">
        <v>60</v>
      </c>
    </row>
    <row r="8" spans="1:2" x14ac:dyDescent="0.25">
      <c r="A8">
        <v>11889399</v>
      </c>
      <c r="B8" t="s">
        <v>60</v>
      </c>
    </row>
    <row r="9" spans="1:2" x14ac:dyDescent="0.25">
      <c r="A9">
        <v>11842866</v>
      </c>
      <c r="B9" t="s">
        <v>60</v>
      </c>
    </row>
    <row r="10" spans="1:2" x14ac:dyDescent="0.25">
      <c r="A10">
        <v>11843011</v>
      </c>
      <c r="B10" t="s">
        <v>60</v>
      </c>
    </row>
    <row r="11" spans="1:2" x14ac:dyDescent="0.25">
      <c r="A11">
        <v>11684556</v>
      </c>
      <c r="B11" t="s">
        <v>60</v>
      </c>
    </row>
    <row r="12" spans="1:2" x14ac:dyDescent="0.25">
      <c r="A12">
        <v>11685062</v>
      </c>
      <c r="B12" t="s">
        <v>60</v>
      </c>
    </row>
    <row r="13" spans="1:2" x14ac:dyDescent="0.25">
      <c r="A13">
        <v>11698167</v>
      </c>
      <c r="B13" t="s">
        <v>60</v>
      </c>
    </row>
    <row r="14" spans="1:2" x14ac:dyDescent="0.25">
      <c r="A14">
        <v>11698312</v>
      </c>
      <c r="B14" t="s">
        <v>60</v>
      </c>
    </row>
    <row r="15" spans="1:2" x14ac:dyDescent="0.25">
      <c r="A15">
        <v>11684204</v>
      </c>
      <c r="B15" t="s">
        <v>60</v>
      </c>
    </row>
    <row r="16" spans="1:2" x14ac:dyDescent="0.25">
      <c r="A16">
        <v>11684264</v>
      </c>
      <c r="B16" t="s">
        <v>60</v>
      </c>
    </row>
    <row r="17" spans="1:2" x14ac:dyDescent="0.25">
      <c r="A17">
        <v>11357814</v>
      </c>
      <c r="B17" t="s">
        <v>44</v>
      </c>
    </row>
    <row r="18" spans="1:2" x14ac:dyDescent="0.25">
      <c r="A18">
        <v>11842580</v>
      </c>
      <c r="B18" t="s">
        <v>60</v>
      </c>
    </row>
    <row r="19" spans="1:2" x14ac:dyDescent="0.25">
      <c r="A19">
        <v>11842668</v>
      </c>
      <c r="B19" t="s">
        <v>60</v>
      </c>
    </row>
    <row r="20" spans="1:2" x14ac:dyDescent="0.25">
      <c r="A20">
        <v>11806208</v>
      </c>
      <c r="B20" t="s">
        <v>60</v>
      </c>
    </row>
    <row r="21" spans="1:2" x14ac:dyDescent="0.25">
      <c r="A21">
        <v>11817123</v>
      </c>
      <c r="B21" t="s">
        <v>60</v>
      </c>
    </row>
    <row r="22" spans="1:2" x14ac:dyDescent="0.25">
      <c r="A22">
        <v>11774094</v>
      </c>
      <c r="B22" t="s">
        <v>60</v>
      </c>
    </row>
    <row r="23" spans="1:2" x14ac:dyDescent="0.25">
      <c r="A23">
        <v>11741460</v>
      </c>
      <c r="B23" t="s">
        <v>60</v>
      </c>
    </row>
    <row r="24" spans="1:2" x14ac:dyDescent="0.25">
      <c r="A24">
        <v>11741181</v>
      </c>
      <c r="B24" t="s">
        <v>60</v>
      </c>
    </row>
    <row r="25" spans="1:2" x14ac:dyDescent="0.25">
      <c r="A25">
        <v>11698497</v>
      </c>
      <c r="B25" t="s">
        <v>60</v>
      </c>
    </row>
    <row r="26" spans="1:2" x14ac:dyDescent="0.25">
      <c r="A26">
        <v>11698513</v>
      </c>
      <c r="B26" t="s">
        <v>60</v>
      </c>
    </row>
    <row r="27" spans="1:2" x14ac:dyDescent="0.25">
      <c r="A27">
        <v>11698524</v>
      </c>
      <c r="B27" t="s">
        <v>60</v>
      </c>
    </row>
    <row r="28" spans="1:2" x14ac:dyDescent="0.25">
      <c r="A28">
        <v>11699034</v>
      </c>
      <c r="B28" t="s">
        <v>60</v>
      </c>
    </row>
    <row r="29" spans="1:2" x14ac:dyDescent="0.25">
      <c r="A29">
        <v>11741070</v>
      </c>
      <c r="B29" t="s">
        <v>60</v>
      </c>
    </row>
    <row r="30" spans="1:2" x14ac:dyDescent="0.25">
      <c r="A30">
        <v>10566142</v>
      </c>
      <c r="B30" t="s">
        <v>253</v>
      </c>
    </row>
    <row r="31" spans="1:2" x14ac:dyDescent="0.25">
      <c r="A31">
        <v>10572176</v>
      </c>
      <c r="B31" t="s">
        <v>94</v>
      </c>
    </row>
    <row r="32" spans="1:2" x14ac:dyDescent="0.25">
      <c r="A32">
        <v>10581011</v>
      </c>
      <c r="B32" t="s">
        <v>566</v>
      </c>
    </row>
    <row r="33" spans="1:2" x14ac:dyDescent="0.25">
      <c r="A33">
        <v>10621157</v>
      </c>
      <c r="B33" t="s">
        <v>259</v>
      </c>
    </row>
    <row r="34" spans="1:2" x14ac:dyDescent="0.25">
      <c r="A34">
        <v>10608029</v>
      </c>
      <c r="B34" t="s">
        <v>47</v>
      </c>
    </row>
    <row r="35" spans="1:2" x14ac:dyDescent="0.25">
      <c r="A35">
        <v>10590212</v>
      </c>
      <c r="B35" t="s">
        <v>565</v>
      </c>
    </row>
    <row r="36" spans="1:2" x14ac:dyDescent="0.25">
      <c r="A36">
        <v>10590859</v>
      </c>
      <c r="B36" t="s">
        <v>52</v>
      </c>
    </row>
    <row r="37" spans="1:2" x14ac:dyDescent="0.25">
      <c r="A37">
        <v>11390110</v>
      </c>
      <c r="B37" t="s">
        <v>46</v>
      </c>
    </row>
    <row r="38" spans="1:2" x14ac:dyDescent="0.25">
      <c r="A38">
        <v>11899460</v>
      </c>
      <c r="B38" t="s">
        <v>60</v>
      </c>
    </row>
    <row r="39" spans="1:2" x14ac:dyDescent="0.25">
      <c r="A39">
        <v>11269120</v>
      </c>
      <c r="B39" t="s">
        <v>68</v>
      </c>
    </row>
    <row r="40" spans="1:2" x14ac:dyDescent="0.25">
      <c r="A40">
        <v>11344672</v>
      </c>
      <c r="B40" t="s">
        <v>564</v>
      </c>
    </row>
    <row r="41" spans="1:2" x14ac:dyDescent="0.25">
      <c r="A41">
        <v>11269632</v>
      </c>
      <c r="B41" t="s">
        <v>208</v>
      </c>
    </row>
    <row r="42" spans="1:2" x14ac:dyDescent="0.25">
      <c r="A42">
        <v>11600384</v>
      </c>
      <c r="B42" t="s">
        <v>60</v>
      </c>
    </row>
    <row r="43" spans="1:2" x14ac:dyDescent="0.25">
      <c r="A43">
        <v>11600003</v>
      </c>
      <c r="B43" t="s">
        <v>60</v>
      </c>
    </row>
    <row r="44" spans="1:2" x14ac:dyDescent="0.25">
      <c r="A44">
        <v>11612125</v>
      </c>
      <c r="B44" t="s">
        <v>60</v>
      </c>
    </row>
    <row r="45" spans="1:2" x14ac:dyDescent="0.25">
      <c r="A45">
        <v>11612134</v>
      </c>
      <c r="B45" t="s">
        <v>60</v>
      </c>
    </row>
    <row r="46" spans="1:2" x14ac:dyDescent="0.25">
      <c r="A46">
        <v>11612150</v>
      </c>
      <c r="B46" t="s">
        <v>60</v>
      </c>
    </row>
    <row r="47" spans="1:2" x14ac:dyDescent="0.25">
      <c r="A47">
        <v>11684485</v>
      </c>
      <c r="B47" t="s">
        <v>60</v>
      </c>
    </row>
    <row r="48" spans="1:2" x14ac:dyDescent="0.25">
      <c r="A48">
        <v>11684795</v>
      </c>
      <c r="B48" t="s">
        <v>60</v>
      </c>
    </row>
    <row r="49" spans="1:2" x14ac:dyDescent="0.25">
      <c r="A49">
        <v>11684898</v>
      </c>
      <c r="B49" t="s">
        <v>60</v>
      </c>
    </row>
    <row r="50" spans="1:2" x14ac:dyDescent="0.25">
      <c r="A50">
        <v>11685013</v>
      </c>
      <c r="B50" t="s">
        <v>60</v>
      </c>
    </row>
    <row r="51" spans="1:2" x14ac:dyDescent="0.25">
      <c r="A51">
        <v>11714445</v>
      </c>
      <c r="B51" t="s">
        <v>60</v>
      </c>
    </row>
    <row r="52" spans="1:2" x14ac:dyDescent="0.25">
      <c r="A52">
        <v>11714617</v>
      </c>
      <c r="B52" t="s">
        <v>60</v>
      </c>
    </row>
    <row r="53" spans="1:2" x14ac:dyDescent="0.25">
      <c r="A53">
        <v>11714640</v>
      </c>
      <c r="B53" t="s">
        <v>60</v>
      </c>
    </row>
    <row r="54" spans="1:2" x14ac:dyDescent="0.25">
      <c r="A54">
        <v>11714702</v>
      </c>
      <c r="B54" t="s">
        <v>60</v>
      </c>
    </row>
    <row r="55" spans="1:2" x14ac:dyDescent="0.25">
      <c r="A55">
        <v>11717819</v>
      </c>
      <c r="B55" t="s">
        <v>60</v>
      </c>
    </row>
    <row r="56" spans="1:2" x14ac:dyDescent="0.25">
      <c r="A56">
        <v>11717984</v>
      </c>
      <c r="B56" t="s">
        <v>60</v>
      </c>
    </row>
    <row r="57" spans="1:2" x14ac:dyDescent="0.25">
      <c r="A57">
        <v>11718243</v>
      </c>
      <c r="B57" t="s">
        <v>60</v>
      </c>
    </row>
    <row r="58" spans="1:2" x14ac:dyDescent="0.25">
      <c r="A58">
        <v>11718364</v>
      </c>
      <c r="B58" t="s">
        <v>60</v>
      </c>
    </row>
    <row r="59" spans="1:2" x14ac:dyDescent="0.25">
      <c r="A59">
        <v>11718437</v>
      </c>
      <c r="B59" t="s">
        <v>60</v>
      </c>
    </row>
    <row r="60" spans="1:2" x14ac:dyDescent="0.25">
      <c r="A60">
        <v>11718549</v>
      </c>
      <c r="B60" t="s">
        <v>60</v>
      </c>
    </row>
    <row r="61" spans="1:2" x14ac:dyDescent="0.25">
      <c r="A61">
        <v>11740755</v>
      </c>
      <c r="B61" t="s">
        <v>60</v>
      </c>
    </row>
    <row r="62" spans="1:2" x14ac:dyDescent="0.25">
      <c r="A62">
        <v>11740859</v>
      </c>
      <c r="B62" t="s">
        <v>60</v>
      </c>
    </row>
    <row r="63" spans="1:2" x14ac:dyDescent="0.25">
      <c r="A63">
        <v>11698469</v>
      </c>
      <c r="B63" t="s">
        <v>60</v>
      </c>
    </row>
    <row r="64" spans="1:2" x14ac:dyDescent="0.25">
      <c r="A64">
        <v>11698475</v>
      </c>
      <c r="B64" t="s">
        <v>60</v>
      </c>
    </row>
    <row r="65" spans="1:2" x14ac:dyDescent="0.25">
      <c r="A65">
        <v>11773367</v>
      </c>
      <c r="B65" t="s">
        <v>60</v>
      </c>
    </row>
    <row r="66" spans="1:2" x14ac:dyDescent="0.25">
      <c r="A66">
        <v>11773409</v>
      </c>
      <c r="B66" t="s">
        <v>60</v>
      </c>
    </row>
    <row r="67" spans="1:2" x14ac:dyDescent="0.25">
      <c r="A67">
        <v>11757048</v>
      </c>
      <c r="B67" t="s">
        <v>60</v>
      </c>
    </row>
    <row r="68" spans="1:2" x14ac:dyDescent="0.25">
      <c r="A68">
        <v>11774377</v>
      </c>
      <c r="B68" t="s">
        <v>60</v>
      </c>
    </row>
    <row r="69" spans="1:2" x14ac:dyDescent="0.25">
      <c r="A69">
        <v>11798332</v>
      </c>
      <c r="B69" t="s">
        <v>60</v>
      </c>
    </row>
    <row r="70" spans="1:2" x14ac:dyDescent="0.25">
      <c r="A70">
        <v>11799384</v>
      </c>
      <c r="B70" t="s">
        <v>60</v>
      </c>
    </row>
    <row r="71" spans="1:2" x14ac:dyDescent="0.25">
      <c r="A71">
        <v>11800181</v>
      </c>
      <c r="B71" t="s">
        <v>60</v>
      </c>
    </row>
    <row r="72" spans="1:2" x14ac:dyDescent="0.25">
      <c r="A72">
        <v>11800788</v>
      </c>
      <c r="B72" t="s">
        <v>60</v>
      </c>
    </row>
    <row r="73" spans="1:2" x14ac:dyDescent="0.25">
      <c r="A73">
        <v>11806133</v>
      </c>
      <c r="B73" t="s">
        <v>60</v>
      </c>
    </row>
    <row r="74" spans="1:2" x14ac:dyDescent="0.25">
      <c r="A74">
        <v>11611775</v>
      </c>
      <c r="B74" t="s">
        <v>60</v>
      </c>
    </row>
    <row r="75" spans="1:2" x14ac:dyDescent="0.25">
      <c r="A75">
        <v>11832009</v>
      </c>
      <c r="B75" t="s">
        <v>60</v>
      </c>
    </row>
    <row r="76" spans="1:2" x14ac:dyDescent="0.25">
      <c r="A76">
        <v>11832538</v>
      </c>
      <c r="B76" t="s">
        <v>60</v>
      </c>
    </row>
    <row r="77" spans="1:2" x14ac:dyDescent="0.25">
      <c r="A77">
        <v>11842737</v>
      </c>
      <c r="B77" t="s">
        <v>60</v>
      </c>
    </row>
    <row r="78" spans="1:2" x14ac:dyDescent="0.25">
      <c r="A78">
        <v>11843401</v>
      </c>
      <c r="B78" t="s">
        <v>60</v>
      </c>
    </row>
    <row r="79" spans="1:2" x14ac:dyDescent="0.25">
      <c r="A79">
        <v>11888712</v>
      </c>
      <c r="B79" t="s">
        <v>60</v>
      </c>
    </row>
    <row r="80" spans="1:2" x14ac:dyDescent="0.25">
      <c r="A80">
        <v>11889032</v>
      </c>
      <c r="B80" t="s">
        <v>60</v>
      </c>
    </row>
    <row r="81" spans="1:2" x14ac:dyDescent="0.25">
      <c r="A81">
        <v>11890089</v>
      </c>
      <c r="B81" t="s">
        <v>60</v>
      </c>
    </row>
    <row r="82" spans="1:2" x14ac:dyDescent="0.25">
      <c r="A82">
        <v>11930488</v>
      </c>
      <c r="B82" t="s">
        <v>60</v>
      </c>
    </row>
    <row r="83" spans="1:2" x14ac:dyDescent="0.25">
      <c r="A83">
        <v>11899817</v>
      </c>
      <c r="B83" t="s">
        <v>60</v>
      </c>
    </row>
    <row r="84" spans="1:2" x14ac:dyDescent="0.25">
      <c r="A84">
        <v>10706315</v>
      </c>
      <c r="B84" t="s">
        <v>47</v>
      </c>
    </row>
    <row r="85" spans="1:2" x14ac:dyDescent="0.25">
      <c r="A85">
        <v>11296113</v>
      </c>
      <c r="B85" t="s">
        <v>44</v>
      </c>
    </row>
    <row r="86" spans="1:2" x14ac:dyDescent="0.25">
      <c r="A86">
        <v>11611811</v>
      </c>
      <c r="B86" t="s">
        <v>60</v>
      </c>
    </row>
    <row r="87" spans="1:2" x14ac:dyDescent="0.25">
      <c r="A87">
        <v>11588015</v>
      </c>
      <c r="B87" t="s">
        <v>60</v>
      </c>
    </row>
    <row r="88" spans="1:2" x14ac:dyDescent="0.25">
      <c r="A88">
        <v>11599660</v>
      </c>
      <c r="B88" t="s">
        <v>60</v>
      </c>
    </row>
    <row r="89" spans="1:2" x14ac:dyDescent="0.25">
      <c r="A89">
        <v>11599672</v>
      </c>
      <c r="B89" t="s">
        <v>60</v>
      </c>
    </row>
    <row r="90" spans="1:2" x14ac:dyDescent="0.25">
      <c r="A90">
        <v>11599681</v>
      </c>
      <c r="B90" t="s">
        <v>60</v>
      </c>
    </row>
    <row r="91" spans="1:2" x14ac:dyDescent="0.25">
      <c r="A91">
        <v>11599755</v>
      </c>
      <c r="B91" t="s">
        <v>60</v>
      </c>
    </row>
    <row r="92" spans="1:2" x14ac:dyDescent="0.25">
      <c r="A92">
        <v>11600028</v>
      </c>
      <c r="B92" t="s">
        <v>60</v>
      </c>
    </row>
    <row r="93" spans="1:2" x14ac:dyDescent="0.25">
      <c r="A93">
        <v>11067193</v>
      </c>
      <c r="B93" t="s">
        <v>60</v>
      </c>
    </row>
    <row r="94" spans="1:2" x14ac:dyDescent="0.25">
      <c r="A94">
        <v>11068581</v>
      </c>
      <c r="B94" t="s">
        <v>60</v>
      </c>
    </row>
    <row r="95" spans="1:2" x14ac:dyDescent="0.25">
      <c r="A95">
        <v>11069471</v>
      </c>
      <c r="B95" t="s">
        <v>60</v>
      </c>
    </row>
    <row r="96" spans="1:2" x14ac:dyDescent="0.25">
      <c r="A96">
        <v>11069911</v>
      </c>
      <c r="B96" t="s">
        <v>60</v>
      </c>
    </row>
    <row r="97" spans="1:2" x14ac:dyDescent="0.25">
      <c r="A97">
        <v>11068167</v>
      </c>
      <c r="B97" t="s">
        <v>60</v>
      </c>
    </row>
    <row r="98" spans="1:2" x14ac:dyDescent="0.25">
      <c r="A98">
        <v>11149370</v>
      </c>
      <c r="B98" t="s">
        <v>60</v>
      </c>
    </row>
    <row r="99" spans="1:2" x14ac:dyDescent="0.25">
      <c r="A99">
        <v>11322951</v>
      </c>
      <c r="B99" t="s">
        <v>462</v>
      </c>
    </row>
    <row r="100" spans="1:2" x14ac:dyDescent="0.25">
      <c r="A100">
        <v>10781227</v>
      </c>
      <c r="B100" t="s">
        <v>156</v>
      </c>
    </row>
    <row r="101" spans="1:2" x14ac:dyDescent="0.25">
      <c r="A101">
        <v>11348488</v>
      </c>
      <c r="B101" t="s">
        <v>168</v>
      </c>
    </row>
    <row r="102" spans="1:2" x14ac:dyDescent="0.25">
      <c r="A102">
        <v>11067294</v>
      </c>
      <c r="B102" t="s">
        <v>112</v>
      </c>
    </row>
    <row r="103" spans="1:2" x14ac:dyDescent="0.25">
      <c r="A103">
        <v>10817381</v>
      </c>
      <c r="B103" t="s">
        <v>102</v>
      </c>
    </row>
    <row r="104" spans="1:2" x14ac:dyDescent="0.25">
      <c r="A104">
        <v>10718989</v>
      </c>
      <c r="B104" t="s">
        <v>563</v>
      </c>
    </row>
    <row r="105" spans="1:2" x14ac:dyDescent="0.25">
      <c r="A105">
        <v>10930967</v>
      </c>
      <c r="B105" t="s">
        <v>102</v>
      </c>
    </row>
    <row r="106" spans="1:2" x14ac:dyDescent="0.25">
      <c r="A106">
        <v>11548332</v>
      </c>
      <c r="B106" t="s">
        <v>167</v>
      </c>
    </row>
    <row r="107" spans="1:2" x14ac:dyDescent="0.25">
      <c r="A107">
        <v>11997721</v>
      </c>
      <c r="B107" t="s">
        <v>60</v>
      </c>
    </row>
    <row r="108" spans="1:2" x14ac:dyDescent="0.25">
      <c r="A108">
        <v>11899953</v>
      </c>
      <c r="B108" t="s">
        <v>60</v>
      </c>
    </row>
    <row r="109" spans="1:2" x14ac:dyDescent="0.25">
      <c r="A109">
        <v>11888689</v>
      </c>
      <c r="B109" t="s">
        <v>60</v>
      </c>
    </row>
    <row r="110" spans="1:2" x14ac:dyDescent="0.25">
      <c r="A110">
        <v>11890450</v>
      </c>
      <c r="B110" t="s">
        <v>60</v>
      </c>
    </row>
    <row r="111" spans="1:2" x14ac:dyDescent="0.25">
      <c r="A111">
        <v>11863838</v>
      </c>
      <c r="B111" t="s">
        <v>60</v>
      </c>
    </row>
    <row r="112" spans="1:2" x14ac:dyDescent="0.25">
      <c r="A112">
        <v>11468363</v>
      </c>
      <c r="B112" t="s">
        <v>88</v>
      </c>
    </row>
    <row r="113" spans="1:2" x14ac:dyDescent="0.25">
      <c r="A113">
        <v>11684394</v>
      </c>
      <c r="B113" t="s">
        <v>60</v>
      </c>
    </row>
    <row r="114" spans="1:2" x14ac:dyDescent="0.25">
      <c r="A114">
        <v>11684463</v>
      </c>
      <c r="B114" t="s">
        <v>60</v>
      </c>
    </row>
    <row r="115" spans="1:2" x14ac:dyDescent="0.25">
      <c r="A115">
        <v>11699049</v>
      </c>
      <c r="B115" t="s">
        <v>60</v>
      </c>
    </row>
    <row r="116" spans="1:2" x14ac:dyDescent="0.25">
      <c r="A116">
        <v>11698491</v>
      </c>
      <c r="B116" t="s">
        <v>60</v>
      </c>
    </row>
    <row r="117" spans="1:2" x14ac:dyDescent="0.25">
      <c r="A117">
        <v>11351151</v>
      </c>
      <c r="B117" t="s">
        <v>167</v>
      </c>
    </row>
    <row r="118" spans="1:2" x14ac:dyDescent="0.25">
      <c r="A118">
        <v>11889547</v>
      </c>
      <c r="B118" t="s">
        <v>60</v>
      </c>
    </row>
    <row r="119" spans="1:2" x14ac:dyDescent="0.25">
      <c r="A119">
        <v>11376296</v>
      </c>
      <c r="B119" t="s">
        <v>83</v>
      </c>
    </row>
    <row r="120" spans="1:2" x14ac:dyDescent="0.25">
      <c r="A120">
        <v>11405795</v>
      </c>
      <c r="B120" t="s">
        <v>96</v>
      </c>
    </row>
    <row r="121" spans="1:2" x14ac:dyDescent="0.25">
      <c r="A121">
        <v>10729437</v>
      </c>
      <c r="B121" t="s">
        <v>90</v>
      </c>
    </row>
    <row r="122" spans="1:2" x14ac:dyDescent="0.25">
      <c r="A122">
        <v>11890569</v>
      </c>
      <c r="B122" t="s">
        <v>60</v>
      </c>
    </row>
    <row r="123" spans="1:2" x14ac:dyDescent="0.25">
      <c r="A123">
        <v>11930626</v>
      </c>
      <c r="B123" t="s">
        <v>60</v>
      </c>
    </row>
    <row r="124" spans="1:2" x14ac:dyDescent="0.25">
      <c r="A124">
        <v>11803035</v>
      </c>
      <c r="B124" t="s">
        <v>60</v>
      </c>
    </row>
    <row r="125" spans="1:2" x14ac:dyDescent="0.25">
      <c r="A125">
        <v>11773470</v>
      </c>
      <c r="B125" t="s">
        <v>60</v>
      </c>
    </row>
    <row r="126" spans="1:2" x14ac:dyDescent="0.25">
      <c r="A126">
        <v>11611673</v>
      </c>
      <c r="B126" t="s">
        <v>60</v>
      </c>
    </row>
    <row r="127" spans="1:2" x14ac:dyDescent="0.25">
      <c r="A127">
        <v>11997468</v>
      </c>
      <c r="B127" t="s">
        <v>60</v>
      </c>
    </row>
    <row r="128" spans="1:2" x14ac:dyDescent="0.25">
      <c r="A128">
        <v>11997542</v>
      </c>
      <c r="B128" t="s">
        <v>60</v>
      </c>
    </row>
    <row r="129" spans="1:2" x14ac:dyDescent="0.25">
      <c r="A129">
        <v>11899917</v>
      </c>
      <c r="B129" t="s">
        <v>60</v>
      </c>
    </row>
    <row r="130" spans="1:2" x14ac:dyDescent="0.25">
      <c r="A130">
        <v>12011164</v>
      </c>
      <c r="B130" t="s">
        <v>60</v>
      </c>
    </row>
    <row r="131" spans="1:2" x14ac:dyDescent="0.25">
      <c r="A131">
        <v>12011236</v>
      </c>
      <c r="B131" t="s">
        <v>60</v>
      </c>
    </row>
    <row r="132" spans="1:2" x14ac:dyDescent="0.25">
      <c r="A132">
        <v>11890484</v>
      </c>
      <c r="B132" t="s">
        <v>60</v>
      </c>
    </row>
    <row r="133" spans="1:2" x14ac:dyDescent="0.25">
      <c r="A133">
        <v>10715251</v>
      </c>
      <c r="B133" t="s">
        <v>147</v>
      </c>
    </row>
    <row r="134" spans="1:2" x14ac:dyDescent="0.25">
      <c r="A134">
        <v>11588046</v>
      </c>
      <c r="B134" t="s">
        <v>60</v>
      </c>
    </row>
    <row r="135" spans="1:2" x14ac:dyDescent="0.25">
      <c r="A135">
        <v>11587818</v>
      </c>
      <c r="B135" t="s">
        <v>60</v>
      </c>
    </row>
    <row r="136" spans="1:2" x14ac:dyDescent="0.25">
      <c r="A136">
        <v>11587864</v>
      </c>
      <c r="B136" t="s">
        <v>60</v>
      </c>
    </row>
    <row r="137" spans="1:2" x14ac:dyDescent="0.25">
      <c r="A137">
        <v>11587883</v>
      </c>
      <c r="B137" t="s">
        <v>60</v>
      </c>
    </row>
    <row r="138" spans="1:2" x14ac:dyDescent="0.25">
      <c r="A138">
        <v>11588003</v>
      </c>
      <c r="B138" t="s">
        <v>60</v>
      </c>
    </row>
    <row r="139" spans="1:2" x14ac:dyDescent="0.25">
      <c r="A139">
        <v>11588013</v>
      </c>
      <c r="B139" t="s">
        <v>60</v>
      </c>
    </row>
    <row r="140" spans="1:2" x14ac:dyDescent="0.25">
      <c r="A140">
        <v>11364047</v>
      </c>
      <c r="B140" t="s">
        <v>68</v>
      </c>
    </row>
    <row r="141" spans="1:2" x14ac:dyDescent="0.25">
      <c r="A141">
        <v>11611596</v>
      </c>
      <c r="B141" t="s">
        <v>60</v>
      </c>
    </row>
    <row r="142" spans="1:2" x14ac:dyDescent="0.25">
      <c r="A142">
        <v>11311587</v>
      </c>
      <c r="B142" t="s">
        <v>104</v>
      </c>
    </row>
    <row r="143" spans="1:2" x14ac:dyDescent="0.25">
      <c r="A143">
        <v>11359265</v>
      </c>
      <c r="B143" t="s">
        <v>102</v>
      </c>
    </row>
    <row r="144" spans="1:2" x14ac:dyDescent="0.25">
      <c r="A144">
        <v>11269104</v>
      </c>
      <c r="B144" t="s">
        <v>45</v>
      </c>
    </row>
    <row r="145" spans="1:2" x14ac:dyDescent="0.25">
      <c r="A145">
        <v>11343103</v>
      </c>
      <c r="B145" t="s">
        <v>54</v>
      </c>
    </row>
    <row r="146" spans="1:2" x14ac:dyDescent="0.25">
      <c r="A146">
        <v>11212833</v>
      </c>
      <c r="B146" t="s">
        <v>54</v>
      </c>
    </row>
    <row r="147" spans="1:2" x14ac:dyDescent="0.25">
      <c r="A147">
        <v>11259578</v>
      </c>
      <c r="B147" t="s">
        <v>420</v>
      </c>
    </row>
    <row r="148" spans="1:2" x14ac:dyDescent="0.25">
      <c r="A148">
        <v>11329820</v>
      </c>
      <c r="B148" t="s">
        <v>176</v>
      </c>
    </row>
    <row r="149" spans="1:2" x14ac:dyDescent="0.25">
      <c r="A149">
        <v>11405869</v>
      </c>
      <c r="B149" t="s">
        <v>562</v>
      </c>
    </row>
    <row r="150" spans="1:2" x14ac:dyDescent="0.25">
      <c r="A150">
        <v>10691773</v>
      </c>
      <c r="B150" t="s">
        <v>46</v>
      </c>
    </row>
    <row r="151" spans="1:2" x14ac:dyDescent="0.25">
      <c r="A151">
        <v>11405760</v>
      </c>
      <c r="B151" t="s">
        <v>312</v>
      </c>
    </row>
    <row r="152" spans="1:2" x14ac:dyDescent="0.25">
      <c r="A152">
        <v>11348251</v>
      </c>
      <c r="B152" t="s">
        <v>170</v>
      </c>
    </row>
    <row r="153" spans="1:2" x14ac:dyDescent="0.25">
      <c r="A153">
        <v>11371519</v>
      </c>
      <c r="B153" t="s">
        <v>142</v>
      </c>
    </row>
    <row r="154" spans="1:2" x14ac:dyDescent="0.25">
      <c r="A154">
        <v>11311851</v>
      </c>
      <c r="B154" t="s">
        <v>92</v>
      </c>
    </row>
    <row r="155" spans="1:2" x14ac:dyDescent="0.25">
      <c r="A155">
        <v>11346192</v>
      </c>
      <c r="B155" t="s">
        <v>88</v>
      </c>
    </row>
    <row r="156" spans="1:2" x14ac:dyDescent="0.25">
      <c r="A156">
        <v>11368730</v>
      </c>
      <c r="B156" t="s">
        <v>95</v>
      </c>
    </row>
    <row r="157" spans="1:2" x14ac:dyDescent="0.25">
      <c r="A157">
        <v>10782702</v>
      </c>
      <c r="B157" t="s">
        <v>561</v>
      </c>
    </row>
    <row r="158" spans="1:2" x14ac:dyDescent="0.25">
      <c r="A158">
        <v>11394466</v>
      </c>
      <c r="B158" t="s">
        <v>70</v>
      </c>
    </row>
    <row r="159" spans="1:2" x14ac:dyDescent="0.25">
      <c r="A159">
        <v>11400710</v>
      </c>
      <c r="B159" t="s">
        <v>44</v>
      </c>
    </row>
    <row r="160" spans="1:2" x14ac:dyDescent="0.25">
      <c r="A160">
        <v>11104749</v>
      </c>
      <c r="B160" t="s">
        <v>238</v>
      </c>
    </row>
    <row r="161" spans="1:2" x14ac:dyDescent="0.25">
      <c r="A161">
        <v>11356166</v>
      </c>
      <c r="B161" t="s">
        <v>156</v>
      </c>
    </row>
    <row r="162" spans="1:2" x14ac:dyDescent="0.25">
      <c r="A162">
        <v>11374891</v>
      </c>
      <c r="B162" t="s">
        <v>156</v>
      </c>
    </row>
    <row r="163" spans="1:2" x14ac:dyDescent="0.25">
      <c r="A163">
        <v>11328772</v>
      </c>
      <c r="B163" t="s">
        <v>560</v>
      </c>
    </row>
    <row r="164" spans="1:2" x14ac:dyDescent="0.25">
      <c r="A164">
        <v>11305170</v>
      </c>
      <c r="B164" t="s">
        <v>173</v>
      </c>
    </row>
    <row r="165" spans="1:2" x14ac:dyDescent="0.25">
      <c r="A165">
        <v>11220990</v>
      </c>
      <c r="B165" t="s">
        <v>152</v>
      </c>
    </row>
    <row r="166" spans="1:2" x14ac:dyDescent="0.25">
      <c r="A166">
        <v>10586869</v>
      </c>
      <c r="B166" t="s">
        <v>90</v>
      </c>
    </row>
    <row r="167" spans="1:2" x14ac:dyDescent="0.25">
      <c r="A167">
        <v>11348239</v>
      </c>
      <c r="B167" t="s">
        <v>254</v>
      </c>
    </row>
    <row r="168" spans="1:2" x14ac:dyDescent="0.25">
      <c r="A168">
        <v>11367824</v>
      </c>
      <c r="B168" t="s">
        <v>47</v>
      </c>
    </row>
    <row r="169" spans="1:2" x14ac:dyDescent="0.25">
      <c r="A169">
        <v>11238880</v>
      </c>
      <c r="B169" t="s">
        <v>57</v>
      </c>
    </row>
    <row r="170" spans="1:2" x14ac:dyDescent="0.25">
      <c r="A170">
        <v>11310421</v>
      </c>
      <c r="B170" t="s">
        <v>112</v>
      </c>
    </row>
    <row r="171" spans="1:2" x14ac:dyDescent="0.25">
      <c r="A171">
        <v>11280178</v>
      </c>
      <c r="B171" t="s">
        <v>47</v>
      </c>
    </row>
    <row r="172" spans="1:2" x14ac:dyDescent="0.25">
      <c r="A172">
        <v>11234339</v>
      </c>
      <c r="B172" t="s">
        <v>193</v>
      </c>
    </row>
    <row r="173" spans="1:2" x14ac:dyDescent="0.25">
      <c r="A173">
        <v>11370493</v>
      </c>
      <c r="B173" t="s">
        <v>47</v>
      </c>
    </row>
    <row r="174" spans="1:2" x14ac:dyDescent="0.25">
      <c r="A174">
        <v>11390437</v>
      </c>
      <c r="B174" t="s">
        <v>47</v>
      </c>
    </row>
    <row r="175" spans="1:2" x14ac:dyDescent="0.25">
      <c r="A175">
        <v>11375164</v>
      </c>
      <c r="B175" t="s">
        <v>52</v>
      </c>
    </row>
    <row r="176" spans="1:2" x14ac:dyDescent="0.25">
      <c r="A176">
        <v>11409688</v>
      </c>
      <c r="B176" t="s">
        <v>559</v>
      </c>
    </row>
    <row r="177" spans="1:2" x14ac:dyDescent="0.25">
      <c r="A177">
        <v>10857822</v>
      </c>
      <c r="B177" t="s">
        <v>52</v>
      </c>
    </row>
    <row r="178" spans="1:2" x14ac:dyDescent="0.25">
      <c r="A178">
        <v>11835112</v>
      </c>
      <c r="B178" t="s">
        <v>47</v>
      </c>
    </row>
    <row r="179" spans="1:2" x14ac:dyDescent="0.25">
      <c r="A179">
        <v>10803683</v>
      </c>
      <c r="B179" t="s">
        <v>47</v>
      </c>
    </row>
    <row r="180" spans="1:2" x14ac:dyDescent="0.25">
      <c r="A180">
        <v>11886254</v>
      </c>
      <c r="B180" t="s">
        <v>405</v>
      </c>
    </row>
    <row r="181" spans="1:2" x14ac:dyDescent="0.25">
      <c r="A181">
        <v>10746597</v>
      </c>
      <c r="B181" t="s">
        <v>248</v>
      </c>
    </row>
    <row r="182" spans="1:2" x14ac:dyDescent="0.25">
      <c r="A182">
        <v>11003387</v>
      </c>
      <c r="B182" t="s">
        <v>558</v>
      </c>
    </row>
    <row r="183" spans="1:2" x14ac:dyDescent="0.25">
      <c r="A183">
        <v>12021752</v>
      </c>
      <c r="B183" t="s">
        <v>250</v>
      </c>
    </row>
    <row r="184" spans="1:2" x14ac:dyDescent="0.25">
      <c r="A184">
        <v>11014776</v>
      </c>
      <c r="B184" t="s">
        <v>111</v>
      </c>
    </row>
    <row r="185" spans="1:2" x14ac:dyDescent="0.25">
      <c r="A185">
        <v>10825345</v>
      </c>
      <c r="B185" t="s">
        <v>60</v>
      </c>
    </row>
    <row r="186" spans="1:2" x14ac:dyDescent="0.25">
      <c r="A186">
        <v>11512393</v>
      </c>
      <c r="B186" t="s">
        <v>156</v>
      </c>
    </row>
    <row r="187" spans="1:2" x14ac:dyDescent="0.25">
      <c r="A187">
        <v>11322644</v>
      </c>
      <c r="B187" t="s">
        <v>557</v>
      </c>
    </row>
    <row r="188" spans="1:2" x14ac:dyDescent="0.25">
      <c r="A188">
        <v>11490805</v>
      </c>
      <c r="B188" t="s">
        <v>44</v>
      </c>
    </row>
    <row r="189" spans="1:2" x14ac:dyDescent="0.25">
      <c r="A189">
        <v>11557554</v>
      </c>
      <c r="B189" t="s">
        <v>243</v>
      </c>
    </row>
    <row r="190" spans="1:2" x14ac:dyDescent="0.25">
      <c r="A190">
        <v>10691175</v>
      </c>
      <c r="B190" t="s">
        <v>70</v>
      </c>
    </row>
    <row r="191" spans="1:2" x14ac:dyDescent="0.25">
      <c r="A191">
        <v>11486805</v>
      </c>
      <c r="B191" t="s">
        <v>47</v>
      </c>
    </row>
    <row r="192" spans="1:2" x14ac:dyDescent="0.25">
      <c r="A192">
        <v>11939640</v>
      </c>
      <c r="B192" t="s">
        <v>556</v>
      </c>
    </row>
    <row r="193" spans="1:2" x14ac:dyDescent="0.25">
      <c r="A193">
        <v>11538815</v>
      </c>
      <c r="B193" t="s">
        <v>116</v>
      </c>
    </row>
    <row r="194" spans="1:2" x14ac:dyDescent="0.25">
      <c r="A194">
        <v>10813486</v>
      </c>
      <c r="B194" t="s">
        <v>148</v>
      </c>
    </row>
    <row r="195" spans="1:2" x14ac:dyDescent="0.25">
      <c r="A195">
        <v>11381487</v>
      </c>
      <c r="B195" t="s">
        <v>371</v>
      </c>
    </row>
    <row r="196" spans="1:2" x14ac:dyDescent="0.25">
      <c r="A196">
        <v>11561964</v>
      </c>
      <c r="B196" t="s">
        <v>170</v>
      </c>
    </row>
    <row r="197" spans="1:2" x14ac:dyDescent="0.25">
      <c r="A197">
        <v>11559160</v>
      </c>
      <c r="B197" t="s">
        <v>170</v>
      </c>
    </row>
    <row r="198" spans="1:2" x14ac:dyDescent="0.25">
      <c r="A198">
        <v>10710980</v>
      </c>
      <c r="B198" t="s">
        <v>83</v>
      </c>
    </row>
    <row r="199" spans="1:2" x14ac:dyDescent="0.25">
      <c r="A199">
        <v>10721997</v>
      </c>
      <c r="B199" t="s">
        <v>66</v>
      </c>
    </row>
    <row r="200" spans="1:2" x14ac:dyDescent="0.25">
      <c r="A200">
        <v>10678108</v>
      </c>
      <c r="B200" t="s">
        <v>54</v>
      </c>
    </row>
    <row r="201" spans="1:2" x14ac:dyDescent="0.25">
      <c r="A201">
        <v>11761727</v>
      </c>
      <c r="B201" t="s">
        <v>168</v>
      </c>
    </row>
    <row r="202" spans="1:2" x14ac:dyDescent="0.25">
      <c r="A202">
        <v>10970965</v>
      </c>
      <c r="B202" t="s">
        <v>58</v>
      </c>
    </row>
    <row r="203" spans="1:2" x14ac:dyDescent="0.25">
      <c r="A203">
        <v>10991466</v>
      </c>
      <c r="B203" t="s">
        <v>46</v>
      </c>
    </row>
    <row r="204" spans="1:2" x14ac:dyDescent="0.25">
      <c r="A204">
        <v>10791168</v>
      </c>
      <c r="B204" t="s">
        <v>70</v>
      </c>
    </row>
    <row r="205" spans="1:2" x14ac:dyDescent="0.25">
      <c r="A205">
        <v>11900959</v>
      </c>
      <c r="B205" t="s">
        <v>164</v>
      </c>
    </row>
    <row r="206" spans="1:2" x14ac:dyDescent="0.25">
      <c r="A206">
        <v>10811525</v>
      </c>
      <c r="B206" t="s">
        <v>67</v>
      </c>
    </row>
    <row r="207" spans="1:2" x14ac:dyDescent="0.25">
      <c r="A207">
        <v>10750040</v>
      </c>
      <c r="B207" t="s">
        <v>47</v>
      </c>
    </row>
    <row r="208" spans="1:2" x14ac:dyDescent="0.25">
      <c r="A208">
        <v>11735716</v>
      </c>
      <c r="B208" t="s">
        <v>88</v>
      </c>
    </row>
    <row r="209" spans="1:2" x14ac:dyDescent="0.25">
      <c r="A209">
        <v>11906760</v>
      </c>
      <c r="B209" t="s">
        <v>555</v>
      </c>
    </row>
    <row r="210" spans="1:2" x14ac:dyDescent="0.25">
      <c r="A210">
        <v>10817431</v>
      </c>
      <c r="B210" t="s">
        <v>47</v>
      </c>
    </row>
    <row r="211" spans="1:2" x14ac:dyDescent="0.25">
      <c r="A211">
        <v>11666943</v>
      </c>
      <c r="B211" t="s">
        <v>70</v>
      </c>
    </row>
    <row r="212" spans="1:2" x14ac:dyDescent="0.25">
      <c r="A212">
        <v>11718022</v>
      </c>
      <c r="B212" t="s">
        <v>60</v>
      </c>
    </row>
    <row r="213" spans="1:2" x14ac:dyDescent="0.25">
      <c r="A213">
        <v>10717713</v>
      </c>
      <c r="B213" t="s">
        <v>43</v>
      </c>
    </row>
    <row r="214" spans="1:2" x14ac:dyDescent="0.25">
      <c r="A214">
        <v>10728544</v>
      </c>
      <c r="B214" t="s">
        <v>47</v>
      </c>
    </row>
    <row r="215" spans="1:2" x14ac:dyDescent="0.25">
      <c r="A215">
        <v>10749046</v>
      </c>
      <c r="B215" t="s">
        <v>554</v>
      </c>
    </row>
    <row r="216" spans="1:2" x14ac:dyDescent="0.25">
      <c r="A216">
        <v>11480163</v>
      </c>
      <c r="B216" t="s">
        <v>237</v>
      </c>
    </row>
    <row r="217" spans="1:2" x14ac:dyDescent="0.25">
      <c r="A217">
        <v>11375179</v>
      </c>
      <c r="B217" t="s">
        <v>263</v>
      </c>
    </row>
    <row r="218" spans="1:2" x14ac:dyDescent="0.25">
      <c r="A218">
        <v>10898295</v>
      </c>
      <c r="B218" t="s">
        <v>60</v>
      </c>
    </row>
    <row r="219" spans="1:2" x14ac:dyDescent="0.25">
      <c r="A219">
        <v>10604691</v>
      </c>
      <c r="B219" t="s">
        <v>149</v>
      </c>
    </row>
    <row r="220" spans="1:2" x14ac:dyDescent="0.25">
      <c r="A220">
        <v>11077871</v>
      </c>
      <c r="B220" t="s">
        <v>344</v>
      </c>
    </row>
    <row r="221" spans="1:2" x14ac:dyDescent="0.25">
      <c r="A221">
        <v>11882520</v>
      </c>
      <c r="B221" t="s">
        <v>553</v>
      </c>
    </row>
    <row r="222" spans="1:2" x14ac:dyDescent="0.25">
      <c r="A222">
        <v>11447298</v>
      </c>
      <c r="B222" t="s">
        <v>47</v>
      </c>
    </row>
    <row r="223" spans="1:2" x14ac:dyDescent="0.25">
      <c r="A223">
        <v>10929491</v>
      </c>
      <c r="B223" t="s">
        <v>552</v>
      </c>
    </row>
    <row r="224" spans="1:2" x14ac:dyDescent="0.25">
      <c r="A224">
        <v>11234085</v>
      </c>
      <c r="B224" t="s">
        <v>238</v>
      </c>
    </row>
    <row r="225" spans="1:2" x14ac:dyDescent="0.25">
      <c r="A225">
        <v>11806730</v>
      </c>
      <c r="B225" t="s">
        <v>60</v>
      </c>
    </row>
    <row r="226" spans="1:2" x14ac:dyDescent="0.25">
      <c r="A226">
        <v>11848124</v>
      </c>
      <c r="B226" t="s">
        <v>60</v>
      </c>
    </row>
    <row r="227" spans="1:2" x14ac:dyDescent="0.25">
      <c r="A227">
        <v>11935099</v>
      </c>
      <c r="B227" t="s">
        <v>235</v>
      </c>
    </row>
    <row r="228" spans="1:2" x14ac:dyDescent="0.25">
      <c r="A228">
        <v>11987935</v>
      </c>
      <c r="B228" t="s">
        <v>551</v>
      </c>
    </row>
    <row r="229" spans="1:2" x14ac:dyDescent="0.25">
      <c r="A229">
        <v>11073787</v>
      </c>
      <c r="B229" t="s">
        <v>111</v>
      </c>
    </row>
    <row r="230" spans="1:2" x14ac:dyDescent="0.25">
      <c r="A230">
        <v>11283975</v>
      </c>
      <c r="B230" t="s">
        <v>67</v>
      </c>
    </row>
    <row r="231" spans="1:2" x14ac:dyDescent="0.25">
      <c r="A231">
        <v>11990546</v>
      </c>
      <c r="B231" t="s">
        <v>83</v>
      </c>
    </row>
    <row r="232" spans="1:2" x14ac:dyDescent="0.25">
      <c r="A232">
        <v>10701133</v>
      </c>
      <c r="B232" t="s">
        <v>44</v>
      </c>
    </row>
    <row r="233" spans="1:2" x14ac:dyDescent="0.25">
      <c r="A233">
        <v>11559670</v>
      </c>
      <c r="B233" t="s">
        <v>54</v>
      </c>
    </row>
    <row r="234" spans="1:2" x14ac:dyDescent="0.25">
      <c r="A234">
        <v>11344552</v>
      </c>
      <c r="B234" t="s">
        <v>46</v>
      </c>
    </row>
    <row r="235" spans="1:2" x14ac:dyDescent="0.25">
      <c r="A235">
        <v>11420587</v>
      </c>
      <c r="B235" t="s">
        <v>47</v>
      </c>
    </row>
    <row r="236" spans="1:2" x14ac:dyDescent="0.25">
      <c r="A236">
        <v>11769401</v>
      </c>
      <c r="B236" t="s">
        <v>54</v>
      </c>
    </row>
    <row r="237" spans="1:2" x14ac:dyDescent="0.25">
      <c r="A237">
        <v>11959243</v>
      </c>
      <c r="B237" t="s">
        <v>44</v>
      </c>
    </row>
    <row r="238" spans="1:2" x14ac:dyDescent="0.25">
      <c r="A238">
        <v>11865927</v>
      </c>
      <c r="B238" t="s">
        <v>167</v>
      </c>
    </row>
    <row r="239" spans="1:2" x14ac:dyDescent="0.25">
      <c r="A239">
        <v>11033824</v>
      </c>
      <c r="B239" t="s">
        <v>319</v>
      </c>
    </row>
    <row r="240" spans="1:2" x14ac:dyDescent="0.25">
      <c r="A240">
        <v>11568457</v>
      </c>
      <c r="B240" t="s">
        <v>70</v>
      </c>
    </row>
    <row r="241" spans="1:2" x14ac:dyDescent="0.25">
      <c r="A241">
        <v>11745835</v>
      </c>
      <c r="B241" t="s">
        <v>60</v>
      </c>
    </row>
    <row r="242" spans="1:2" x14ac:dyDescent="0.25">
      <c r="A242">
        <v>11368232</v>
      </c>
      <c r="B242" t="s">
        <v>187</v>
      </c>
    </row>
    <row r="243" spans="1:2" x14ac:dyDescent="0.25">
      <c r="A243">
        <v>11741144</v>
      </c>
      <c r="B243" t="s">
        <v>235</v>
      </c>
    </row>
    <row r="244" spans="1:2" x14ac:dyDescent="0.25">
      <c r="A244">
        <v>11558233</v>
      </c>
      <c r="B244" t="s">
        <v>550</v>
      </c>
    </row>
    <row r="245" spans="1:2" x14ac:dyDescent="0.25">
      <c r="A245">
        <v>11826657</v>
      </c>
      <c r="B245" t="s">
        <v>193</v>
      </c>
    </row>
    <row r="246" spans="1:2" x14ac:dyDescent="0.25">
      <c r="A246">
        <v>11873425</v>
      </c>
      <c r="B246" t="s">
        <v>45</v>
      </c>
    </row>
    <row r="247" spans="1:2" x14ac:dyDescent="0.25">
      <c r="A247">
        <v>11598371</v>
      </c>
      <c r="B247" t="s">
        <v>60</v>
      </c>
    </row>
    <row r="248" spans="1:2" x14ac:dyDescent="0.25">
      <c r="A248">
        <v>11884177</v>
      </c>
      <c r="B248" t="s">
        <v>383</v>
      </c>
    </row>
    <row r="249" spans="1:2" x14ac:dyDescent="0.25">
      <c r="A249">
        <v>12001071</v>
      </c>
      <c r="B249" t="s">
        <v>549</v>
      </c>
    </row>
    <row r="250" spans="1:2" x14ac:dyDescent="0.25">
      <c r="A250">
        <v>12007688</v>
      </c>
      <c r="B250" t="s">
        <v>57</v>
      </c>
    </row>
    <row r="251" spans="1:2" x14ac:dyDescent="0.25">
      <c r="A251">
        <v>11583377</v>
      </c>
      <c r="B251" t="s">
        <v>54</v>
      </c>
    </row>
    <row r="252" spans="1:2" x14ac:dyDescent="0.25">
      <c r="A252">
        <v>11928126</v>
      </c>
      <c r="B252" t="s">
        <v>548</v>
      </c>
    </row>
    <row r="253" spans="1:2" x14ac:dyDescent="0.25">
      <c r="A253">
        <v>11407842</v>
      </c>
      <c r="B253" t="s">
        <v>547</v>
      </c>
    </row>
    <row r="254" spans="1:2" x14ac:dyDescent="0.25">
      <c r="A254">
        <v>11745625</v>
      </c>
      <c r="B254" t="s">
        <v>70</v>
      </c>
    </row>
    <row r="255" spans="1:2" x14ac:dyDescent="0.25">
      <c r="A255">
        <v>11969099</v>
      </c>
      <c r="B255" t="s">
        <v>238</v>
      </c>
    </row>
    <row r="256" spans="1:2" x14ac:dyDescent="0.25">
      <c r="A256">
        <v>11557524</v>
      </c>
      <c r="B256" t="s">
        <v>225</v>
      </c>
    </row>
    <row r="257" spans="1:2" x14ac:dyDescent="0.25">
      <c r="A257">
        <v>11725724</v>
      </c>
      <c r="B257" t="s">
        <v>192</v>
      </c>
    </row>
    <row r="258" spans="1:2" x14ac:dyDescent="0.25">
      <c r="A258">
        <v>11761662</v>
      </c>
      <c r="B258" t="s">
        <v>156</v>
      </c>
    </row>
    <row r="259" spans="1:2" x14ac:dyDescent="0.25">
      <c r="A259">
        <v>11564415</v>
      </c>
      <c r="B259" t="s">
        <v>47</v>
      </c>
    </row>
    <row r="260" spans="1:2" x14ac:dyDescent="0.25">
      <c r="A260">
        <v>11920359</v>
      </c>
      <c r="B260" t="s">
        <v>47</v>
      </c>
    </row>
    <row r="261" spans="1:2" x14ac:dyDescent="0.25">
      <c r="A261">
        <v>11391217</v>
      </c>
      <c r="B261" t="s">
        <v>319</v>
      </c>
    </row>
    <row r="262" spans="1:2" x14ac:dyDescent="0.25">
      <c r="A262">
        <v>11428491</v>
      </c>
      <c r="B262" t="s">
        <v>112</v>
      </c>
    </row>
    <row r="263" spans="1:2" x14ac:dyDescent="0.25">
      <c r="A263">
        <v>11009362</v>
      </c>
      <c r="B263" t="s">
        <v>546</v>
      </c>
    </row>
    <row r="264" spans="1:2" x14ac:dyDescent="0.25">
      <c r="A264">
        <v>11920631</v>
      </c>
      <c r="B264" t="s">
        <v>60</v>
      </c>
    </row>
    <row r="265" spans="1:2" x14ac:dyDescent="0.25">
      <c r="A265">
        <v>11975237</v>
      </c>
      <c r="B265" t="s">
        <v>60</v>
      </c>
    </row>
    <row r="266" spans="1:2" x14ac:dyDescent="0.25">
      <c r="A266">
        <v>11093405</v>
      </c>
      <c r="B266" t="s">
        <v>47</v>
      </c>
    </row>
    <row r="267" spans="1:2" x14ac:dyDescent="0.25">
      <c r="A267">
        <v>11281325</v>
      </c>
      <c r="B267" t="s">
        <v>47</v>
      </c>
    </row>
    <row r="268" spans="1:2" x14ac:dyDescent="0.25">
      <c r="A268">
        <v>10598364</v>
      </c>
      <c r="B268" t="s">
        <v>214</v>
      </c>
    </row>
    <row r="269" spans="1:2" x14ac:dyDescent="0.25">
      <c r="A269">
        <v>11464886</v>
      </c>
      <c r="B269" t="s">
        <v>47</v>
      </c>
    </row>
    <row r="270" spans="1:2" x14ac:dyDescent="0.25">
      <c r="A270">
        <v>11303526</v>
      </c>
      <c r="B270" t="s">
        <v>319</v>
      </c>
    </row>
    <row r="271" spans="1:2" x14ac:dyDescent="0.25">
      <c r="A271">
        <v>12012715</v>
      </c>
      <c r="B271" t="s">
        <v>545</v>
      </c>
    </row>
    <row r="272" spans="1:2" x14ac:dyDescent="0.25">
      <c r="A272">
        <v>10872965</v>
      </c>
      <c r="B272" t="s">
        <v>47</v>
      </c>
    </row>
    <row r="273" spans="1:2" x14ac:dyDescent="0.25">
      <c r="A273">
        <v>11111140</v>
      </c>
      <c r="B273" t="s">
        <v>47</v>
      </c>
    </row>
    <row r="274" spans="1:2" x14ac:dyDescent="0.25">
      <c r="A274">
        <v>12024483</v>
      </c>
      <c r="B274" t="s">
        <v>112</v>
      </c>
    </row>
    <row r="275" spans="1:2" x14ac:dyDescent="0.25">
      <c r="A275">
        <v>11078220</v>
      </c>
      <c r="B275" t="s">
        <v>47</v>
      </c>
    </row>
    <row r="276" spans="1:2" x14ac:dyDescent="0.25">
      <c r="A276">
        <v>11890851</v>
      </c>
      <c r="B276" t="s">
        <v>544</v>
      </c>
    </row>
    <row r="277" spans="1:2" x14ac:dyDescent="0.25">
      <c r="A277">
        <v>11067899</v>
      </c>
      <c r="B277" t="s">
        <v>235</v>
      </c>
    </row>
    <row r="278" spans="1:2" x14ac:dyDescent="0.25">
      <c r="A278">
        <v>10911396</v>
      </c>
      <c r="B278" t="s">
        <v>60</v>
      </c>
    </row>
    <row r="279" spans="1:2" x14ac:dyDescent="0.25">
      <c r="A279">
        <v>10915618</v>
      </c>
      <c r="B279" t="s">
        <v>475</v>
      </c>
    </row>
    <row r="280" spans="1:2" x14ac:dyDescent="0.25">
      <c r="A280">
        <v>11382329</v>
      </c>
      <c r="B280" t="s">
        <v>94</v>
      </c>
    </row>
    <row r="281" spans="1:2" x14ac:dyDescent="0.25">
      <c r="A281">
        <v>10607404</v>
      </c>
      <c r="B281" t="s">
        <v>47</v>
      </c>
    </row>
    <row r="282" spans="1:2" x14ac:dyDescent="0.25">
      <c r="A282">
        <v>10911301</v>
      </c>
      <c r="B282" t="s">
        <v>112</v>
      </c>
    </row>
    <row r="283" spans="1:2" x14ac:dyDescent="0.25">
      <c r="A283">
        <v>10683100</v>
      </c>
      <c r="B283" t="s">
        <v>81</v>
      </c>
    </row>
    <row r="284" spans="1:2" x14ac:dyDescent="0.25">
      <c r="A284">
        <v>10573985</v>
      </c>
      <c r="B284" t="s">
        <v>112</v>
      </c>
    </row>
    <row r="285" spans="1:2" x14ac:dyDescent="0.25">
      <c r="A285">
        <v>10595396</v>
      </c>
      <c r="B285" t="s">
        <v>195</v>
      </c>
    </row>
    <row r="286" spans="1:2" x14ac:dyDescent="0.25">
      <c r="A286">
        <v>11754585</v>
      </c>
      <c r="B286" t="s">
        <v>543</v>
      </c>
    </row>
    <row r="287" spans="1:2" x14ac:dyDescent="0.25">
      <c r="A287">
        <v>11752990</v>
      </c>
      <c r="B287" t="s">
        <v>67</v>
      </c>
    </row>
    <row r="288" spans="1:2" x14ac:dyDescent="0.25">
      <c r="A288">
        <v>11483392</v>
      </c>
      <c r="B288" t="s">
        <v>55</v>
      </c>
    </row>
    <row r="289" spans="1:2" x14ac:dyDescent="0.25">
      <c r="A289">
        <v>10838880</v>
      </c>
      <c r="B289" t="s">
        <v>166</v>
      </c>
    </row>
    <row r="290" spans="1:2" x14ac:dyDescent="0.25">
      <c r="A290">
        <v>11564721</v>
      </c>
      <c r="B290" t="s">
        <v>542</v>
      </c>
    </row>
    <row r="291" spans="1:2" x14ac:dyDescent="0.25">
      <c r="A291">
        <v>11247875</v>
      </c>
      <c r="B291" t="s">
        <v>68</v>
      </c>
    </row>
    <row r="292" spans="1:2" x14ac:dyDescent="0.25">
      <c r="A292">
        <v>10967363</v>
      </c>
      <c r="B292" t="s">
        <v>468</v>
      </c>
    </row>
    <row r="293" spans="1:2" x14ac:dyDescent="0.25">
      <c r="A293">
        <v>10967363</v>
      </c>
      <c r="B293" t="s">
        <v>468</v>
      </c>
    </row>
    <row r="294" spans="1:2" x14ac:dyDescent="0.25">
      <c r="A294">
        <v>10824534</v>
      </c>
      <c r="B294" t="s">
        <v>46</v>
      </c>
    </row>
    <row r="295" spans="1:2" x14ac:dyDescent="0.25">
      <c r="A295">
        <v>11733670</v>
      </c>
      <c r="B295" t="s">
        <v>184</v>
      </c>
    </row>
    <row r="296" spans="1:2" x14ac:dyDescent="0.25">
      <c r="A296">
        <v>10724788</v>
      </c>
      <c r="B296" t="s">
        <v>46</v>
      </c>
    </row>
    <row r="297" spans="1:2" x14ac:dyDescent="0.25">
      <c r="A297">
        <v>11560398</v>
      </c>
      <c r="B297" t="s">
        <v>54</v>
      </c>
    </row>
    <row r="298" spans="1:2" x14ac:dyDescent="0.25">
      <c r="A298">
        <v>11407595</v>
      </c>
      <c r="B298" t="s">
        <v>54</v>
      </c>
    </row>
    <row r="299" spans="1:2" x14ac:dyDescent="0.25">
      <c r="A299">
        <v>11902302</v>
      </c>
      <c r="B299" t="s">
        <v>170</v>
      </c>
    </row>
    <row r="300" spans="1:2" x14ac:dyDescent="0.25">
      <c r="A300">
        <v>11401562</v>
      </c>
      <c r="B300" t="s">
        <v>54</v>
      </c>
    </row>
    <row r="301" spans="1:2" x14ac:dyDescent="0.25">
      <c r="A301">
        <v>11115488</v>
      </c>
      <c r="B301" t="s">
        <v>47</v>
      </c>
    </row>
    <row r="302" spans="1:2" x14ac:dyDescent="0.25">
      <c r="A302">
        <v>11263911</v>
      </c>
      <c r="B302" t="s">
        <v>112</v>
      </c>
    </row>
    <row r="303" spans="1:2" x14ac:dyDescent="0.25">
      <c r="A303">
        <v>11901215</v>
      </c>
      <c r="B303" t="s">
        <v>47</v>
      </c>
    </row>
    <row r="304" spans="1:2" x14ac:dyDescent="0.25">
      <c r="A304">
        <v>11422021</v>
      </c>
      <c r="B304" t="s">
        <v>47</v>
      </c>
    </row>
    <row r="305" spans="1:2" x14ac:dyDescent="0.25">
      <c r="A305">
        <v>10749590</v>
      </c>
      <c r="B305" t="s">
        <v>541</v>
      </c>
    </row>
    <row r="306" spans="1:2" x14ac:dyDescent="0.25">
      <c r="A306">
        <v>10795816</v>
      </c>
      <c r="B306" t="s">
        <v>44</v>
      </c>
    </row>
    <row r="307" spans="1:2" x14ac:dyDescent="0.25">
      <c r="A307">
        <v>10893294</v>
      </c>
      <c r="B307" t="s">
        <v>193</v>
      </c>
    </row>
    <row r="308" spans="1:2" x14ac:dyDescent="0.25">
      <c r="A308">
        <v>11567791</v>
      </c>
      <c r="B308" t="s">
        <v>521</v>
      </c>
    </row>
    <row r="309" spans="1:2" x14ac:dyDescent="0.25">
      <c r="A309">
        <v>11406873</v>
      </c>
      <c r="B309" t="s">
        <v>47</v>
      </c>
    </row>
    <row r="310" spans="1:2" x14ac:dyDescent="0.25">
      <c r="A310">
        <v>10884738</v>
      </c>
      <c r="B310" t="s">
        <v>396</v>
      </c>
    </row>
    <row r="311" spans="1:2" x14ac:dyDescent="0.25">
      <c r="A311">
        <v>10912551</v>
      </c>
      <c r="B311" t="s">
        <v>95</v>
      </c>
    </row>
    <row r="312" spans="1:2" x14ac:dyDescent="0.25">
      <c r="A312">
        <v>11738816</v>
      </c>
      <c r="B312" t="s">
        <v>107</v>
      </c>
    </row>
    <row r="313" spans="1:2" x14ac:dyDescent="0.25">
      <c r="A313">
        <v>11266644</v>
      </c>
      <c r="B313" t="s">
        <v>60</v>
      </c>
    </row>
    <row r="314" spans="1:2" x14ac:dyDescent="0.25">
      <c r="A314">
        <v>11678652</v>
      </c>
      <c r="B314" t="s">
        <v>319</v>
      </c>
    </row>
    <row r="315" spans="1:2" x14ac:dyDescent="0.25">
      <c r="A315">
        <v>11847945</v>
      </c>
      <c r="B315" t="s">
        <v>413</v>
      </c>
    </row>
    <row r="316" spans="1:2" x14ac:dyDescent="0.25">
      <c r="A316">
        <v>11811803</v>
      </c>
      <c r="B316" t="s">
        <v>68</v>
      </c>
    </row>
    <row r="317" spans="1:2" x14ac:dyDescent="0.25">
      <c r="A317">
        <v>11790136</v>
      </c>
      <c r="B317" t="s">
        <v>47</v>
      </c>
    </row>
    <row r="318" spans="1:2" x14ac:dyDescent="0.25">
      <c r="A318">
        <v>11613619</v>
      </c>
      <c r="B318" t="s">
        <v>47</v>
      </c>
    </row>
    <row r="319" spans="1:2" x14ac:dyDescent="0.25">
      <c r="A319">
        <v>10782343</v>
      </c>
      <c r="B319" t="s">
        <v>415</v>
      </c>
    </row>
    <row r="320" spans="1:2" x14ac:dyDescent="0.25">
      <c r="A320">
        <v>11832932</v>
      </c>
      <c r="B320" t="s">
        <v>47</v>
      </c>
    </row>
    <row r="321" spans="1:2" x14ac:dyDescent="0.25">
      <c r="A321">
        <v>10881687</v>
      </c>
      <c r="B321" t="s">
        <v>60</v>
      </c>
    </row>
    <row r="322" spans="1:2" x14ac:dyDescent="0.25">
      <c r="A322">
        <v>11072481</v>
      </c>
      <c r="B322" t="s">
        <v>164</v>
      </c>
    </row>
    <row r="323" spans="1:2" x14ac:dyDescent="0.25">
      <c r="A323">
        <v>11555809</v>
      </c>
      <c r="B323" t="s">
        <v>540</v>
      </c>
    </row>
    <row r="324" spans="1:2" x14ac:dyDescent="0.25">
      <c r="A324">
        <v>10875489</v>
      </c>
      <c r="B324" t="s">
        <v>258</v>
      </c>
    </row>
    <row r="325" spans="1:2" x14ac:dyDescent="0.25">
      <c r="A325">
        <v>11610396</v>
      </c>
      <c r="B325" t="s">
        <v>47</v>
      </c>
    </row>
    <row r="326" spans="1:2" x14ac:dyDescent="0.25">
      <c r="A326">
        <v>10926403</v>
      </c>
      <c r="B326" t="s">
        <v>82</v>
      </c>
    </row>
    <row r="327" spans="1:2" x14ac:dyDescent="0.25">
      <c r="A327">
        <v>11294899</v>
      </c>
      <c r="B327" t="s">
        <v>47</v>
      </c>
    </row>
    <row r="328" spans="1:2" x14ac:dyDescent="0.25">
      <c r="A328">
        <v>11031338</v>
      </c>
      <c r="B328" t="s">
        <v>47</v>
      </c>
    </row>
    <row r="329" spans="1:2" x14ac:dyDescent="0.25">
      <c r="A329">
        <v>11755391</v>
      </c>
      <c r="B329" t="s">
        <v>258</v>
      </c>
    </row>
    <row r="330" spans="1:2" x14ac:dyDescent="0.25">
      <c r="A330">
        <v>11271376</v>
      </c>
      <c r="B330" t="s">
        <v>47</v>
      </c>
    </row>
    <row r="331" spans="1:2" x14ac:dyDescent="0.25">
      <c r="A331">
        <v>10869062</v>
      </c>
      <c r="B331" t="s">
        <v>156</v>
      </c>
    </row>
    <row r="332" spans="1:2" x14ac:dyDescent="0.25">
      <c r="A332">
        <v>11679182</v>
      </c>
      <c r="B332" t="s">
        <v>475</v>
      </c>
    </row>
    <row r="333" spans="1:2" x14ac:dyDescent="0.25">
      <c r="A333">
        <v>11661528</v>
      </c>
      <c r="B333" t="s">
        <v>47</v>
      </c>
    </row>
    <row r="334" spans="1:2" x14ac:dyDescent="0.25">
      <c r="A334">
        <v>11171593</v>
      </c>
      <c r="B334" t="s">
        <v>112</v>
      </c>
    </row>
    <row r="335" spans="1:2" x14ac:dyDescent="0.25">
      <c r="A335">
        <v>10665780</v>
      </c>
      <c r="B335" t="s">
        <v>44</v>
      </c>
    </row>
    <row r="336" spans="1:2" x14ac:dyDescent="0.25">
      <c r="A336">
        <v>11129279</v>
      </c>
      <c r="B336" t="s">
        <v>176</v>
      </c>
    </row>
    <row r="337" spans="1:2" x14ac:dyDescent="0.25">
      <c r="A337">
        <v>11129279</v>
      </c>
      <c r="B337" t="s">
        <v>176</v>
      </c>
    </row>
    <row r="338" spans="1:2" x14ac:dyDescent="0.25">
      <c r="A338">
        <v>11893994</v>
      </c>
      <c r="B338" t="s">
        <v>67</v>
      </c>
    </row>
    <row r="339" spans="1:2" x14ac:dyDescent="0.25">
      <c r="A339">
        <v>11372318</v>
      </c>
      <c r="B339" t="s">
        <v>539</v>
      </c>
    </row>
    <row r="340" spans="1:2" x14ac:dyDescent="0.25">
      <c r="A340">
        <v>11659772</v>
      </c>
      <c r="B340" t="s">
        <v>186</v>
      </c>
    </row>
    <row r="341" spans="1:2" x14ac:dyDescent="0.25">
      <c r="A341">
        <v>10887561</v>
      </c>
      <c r="B341" t="s">
        <v>60</v>
      </c>
    </row>
    <row r="342" spans="1:2" x14ac:dyDescent="0.25">
      <c r="A342">
        <v>10754956</v>
      </c>
      <c r="B342" t="s">
        <v>60</v>
      </c>
    </row>
    <row r="343" spans="1:2" x14ac:dyDescent="0.25">
      <c r="A343">
        <v>10863129</v>
      </c>
      <c r="B343" t="s">
        <v>60</v>
      </c>
    </row>
    <row r="344" spans="1:2" x14ac:dyDescent="0.25">
      <c r="A344">
        <v>10572026</v>
      </c>
      <c r="B344" t="s">
        <v>538</v>
      </c>
    </row>
    <row r="345" spans="1:2" x14ac:dyDescent="0.25">
      <c r="A345">
        <v>10620735</v>
      </c>
      <c r="B345" t="s">
        <v>45</v>
      </c>
    </row>
    <row r="346" spans="1:2" x14ac:dyDescent="0.25">
      <c r="A346">
        <v>10598070</v>
      </c>
      <c r="B346" t="s">
        <v>60</v>
      </c>
    </row>
    <row r="347" spans="1:2" x14ac:dyDescent="0.25">
      <c r="A347">
        <v>12020098</v>
      </c>
      <c r="B347" t="s">
        <v>69</v>
      </c>
    </row>
    <row r="348" spans="1:2" x14ac:dyDescent="0.25">
      <c r="A348">
        <v>10695016</v>
      </c>
      <c r="B348" t="s">
        <v>537</v>
      </c>
    </row>
    <row r="349" spans="1:2" x14ac:dyDescent="0.25">
      <c r="A349">
        <v>10793315</v>
      </c>
      <c r="B349" t="s">
        <v>86</v>
      </c>
    </row>
    <row r="350" spans="1:2" x14ac:dyDescent="0.25">
      <c r="A350">
        <v>11906727</v>
      </c>
      <c r="B350" t="s">
        <v>67</v>
      </c>
    </row>
    <row r="351" spans="1:2" x14ac:dyDescent="0.25">
      <c r="A351">
        <v>11741364</v>
      </c>
      <c r="B351" t="s">
        <v>60</v>
      </c>
    </row>
    <row r="352" spans="1:2" x14ac:dyDescent="0.25">
      <c r="A352">
        <v>11817612</v>
      </c>
      <c r="B352" t="s">
        <v>60</v>
      </c>
    </row>
    <row r="353" spans="1:2" x14ac:dyDescent="0.25">
      <c r="A353">
        <v>11817238</v>
      </c>
      <c r="B353" t="s">
        <v>60</v>
      </c>
    </row>
    <row r="354" spans="1:2" x14ac:dyDescent="0.25">
      <c r="A354">
        <v>11817265</v>
      </c>
      <c r="B354" t="s">
        <v>60</v>
      </c>
    </row>
    <row r="355" spans="1:2" x14ac:dyDescent="0.25">
      <c r="A355">
        <v>11757043</v>
      </c>
      <c r="B355" t="s">
        <v>60</v>
      </c>
    </row>
    <row r="356" spans="1:2" x14ac:dyDescent="0.25">
      <c r="A356">
        <v>11684341</v>
      </c>
      <c r="B356" t="s">
        <v>60</v>
      </c>
    </row>
    <row r="357" spans="1:2" x14ac:dyDescent="0.25">
      <c r="A357">
        <v>11997607</v>
      </c>
      <c r="B357" t="s">
        <v>60</v>
      </c>
    </row>
    <row r="358" spans="1:2" x14ac:dyDescent="0.25">
      <c r="A358">
        <v>11773554</v>
      </c>
      <c r="B358" t="s">
        <v>60</v>
      </c>
    </row>
    <row r="359" spans="1:2" x14ac:dyDescent="0.25">
      <c r="A359">
        <v>11774286</v>
      </c>
      <c r="B359" t="s">
        <v>60</v>
      </c>
    </row>
    <row r="360" spans="1:2" x14ac:dyDescent="0.25">
      <c r="A360">
        <v>11741116</v>
      </c>
      <c r="B360" t="s">
        <v>60</v>
      </c>
    </row>
    <row r="361" spans="1:2" x14ac:dyDescent="0.25">
      <c r="A361">
        <v>11741396</v>
      </c>
      <c r="B361" t="s">
        <v>60</v>
      </c>
    </row>
    <row r="362" spans="1:2" x14ac:dyDescent="0.25">
      <c r="A362">
        <v>11741433</v>
      </c>
      <c r="B362" t="s">
        <v>60</v>
      </c>
    </row>
    <row r="363" spans="1:2" x14ac:dyDescent="0.25">
      <c r="A363">
        <v>11740914</v>
      </c>
      <c r="B363" t="s">
        <v>60</v>
      </c>
    </row>
    <row r="364" spans="1:2" x14ac:dyDescent="0.25">
      <c r="A364">
        <v>11740967</v>
      </c>
      <c r="B364" t="s">
        <v>60</v>
      </c>
    </row>
    <row r="365" spans="1:2" x14ac:dyDescent="0.25">
      <c r="A365">
        <v>11740982</v>
      </c>
      <c r="B365" t="s">
        <v>60</v>
      </c>
    </row>
    <row r="366" spans="1:2" x14ac:dyDescent="0.25">
      <c r="A366">
        <v>11600344</v>
      </c>
      <c r="B366" t="s">
        <v>60</v>
      </c>
    </row>
    <row r="367" spans="1:2" x14ac:dyDescent="0.25">
      <c r="A367">
        <v>12013373</v>
      </c>
      <c r="B367" t="s">
        <v>60</v>
      </c>
    </row>
    <row r="368" spans="1:2" x14ac:dyDescent="0.25">
      <c r="A368">
        <v>11889570</v>
      </c>
      <c r="B368" t="s">
        <v>60</v>
      </c>
    </row>
    <row r="369" spans="1:2" x14ac:dyDescent="0.25">
      <c r="A369">
        <v>11832504</v>
      </c>
      <c r="B369" t="s">
        <v>60</v>
      </c>
    </row>
    <row r="370" spans="1:2" x14ac:dyDescent="0.25">
      <c r="A370">
        <v>11817312</v>
      </c>
      <c r="B370" t="s">
        <v>60</v>
      </c>
    </row>
    <row r="371" spans="1:2" x14ac:dyDescent="0.25">
      <c r="A371">
        <v>11817562</v>
      </c>
      <c r="B371" t="s">
        <v>60</v>
      </c>
    </row>
    <row r="372" spans="1:2" x14ac:dyDescent="0.25">
      <c r="A372">
        <v>11817754</v>
      </c>
      <c r="B372" t="s">
        <v>60</v>
      </c>
    </row>
    <row r="373" spans="1:2" x14ac:dyDescent="0.25">
      <c r="A373">
        <v>11817815</v>
      </c>
      <c r="B373" t="s">
        <v>60</v>
      </c>
    </row>
    <row r="374" spans="1:2" x14ac:dyDescent="0.25">
      <c r="A374">
        <v>11831953</v>
      </c>
      <c r="B374" t="s">
        <v>60</v>
      </c>
    </row>
    <row r="375" spans="1:2" x14ac:dyDescent="0.25">
      <c r="A375">
        <v>11070133</v>
      </c>
      <c r="B375" t="s">
        <v>60</v>
      </c>
    </row>
    <row r="376" spans="1:2" x14ac:dyDescent="0.25">
      <c r="A376">
        <v>11068445</v>
      </c>
      <c r="B376" t="s">
        <v>60</v>
      </c>
    </row>
    <row r="377" spans="1:2" x14ac:dyDescent="0.25">
      <c r="A377">
        <v>11068460</v>
      </c>
      <c r="B377" t="s">
        <v>60</v>
      </c>
    </row>
    <row r="378" spans="1:2" x14ac:dyDescent="0.25">
      <c r="A378">
        <v>11067285</v>
      </c>
      <c r="B378" t="s">
        <v>60</v>
      </c>
    </row>
    <row r="379" spans="1:2" x14ac:dyDescent="0.25">
      <c r="A379">
        <v>11997653</v>
      </c>
      <c r="B379" t="s">
        <v>60</v>
      </c>
    </row>
    <row r="380" spans="1:2" x14ac:dyDescent="0.25">
      <c r="A380">
        <v>11832424</v>
      </c>
      <c r="B380" t="s">
        <v>60</v>
      </c>
    </row>
    <row r="381" spans="1:2" x14ac:dyDescent="0.25">
      <c r="A381">
        <v>12013087</v>
      </c>
      <c r="B381" t="s">
        <v>60</v>
      </c>
    </row>
    <row r="382" spans="1:2" x14ac:dyDescent="0.25">
      <c r="A382">
        <v>12013225</v>
      </c>
      <c r="B382" t="s">
        <v>60</v>
      </c>
    </row>
    <row r="383" spans="1:2" x14ac:dyDescent="0.25">
      <c r="A383">
        <v>11817176</v>
      </c>
      <c r="B383" t="s">
        <v>60</v>
      </c>
    </row>
    <row r="384" spans="1:2" x14ac:dyDescent="0.25">
      <c r="A384">
        <v>11817209</v>
      </c>
      <c r="B384" t="s">
        <v>60</v>
      </c>
    </row>
    <row r="385" spans="1:2" x14ac:dyDescent="0.25">
      <c r="A385">
        <v>12013244</v>
      </c>
      <c r="B385" t="s">
        <v>60</v>
      </c>
    </row>
    <row r="386" spans="1:2" x14ac:dyDescent="0.25">
      <c r="A386">
        <v>11890649</v>
      </c>
      <c r="B386" t="s">
        <v>60</v>
      </c>
    </row>
    <row r="387" spans="1:2" x14ac:dyDescent="0.25">
      <c r="A387">
        <v>11997578</v>
      </c>
      <c r="B387" t="s">
        <v>60</v>
      </c>
    </row>
    <row r="388" spans="1:2" x14ac:dyDescent="0.25">
      <c r="A388">
        <v>11899637</v>
      </c>
      <c r="B388" t="s">
        <v>60</v>
      </c>
    </row>
    <row r="389" spans="1:2" x14ac:dyDescent="0.25">
      <c r="A389">
        <v>12011806</v>
      </c>
      <c r="B389" t="s">
        <v>60</v>
      </c>
    </row>
    <row r="390" spans="1:2" x14ac:dyDescent="0.25">
      <c r="A390">
        <v>12012359</v>
      </c>
      <c r="B390" t="s">
        <v>60</v>
      </c>
    </row>
    <row r="391" spans="1:2" x14ac:dyDescent="0.25">
      <c r="A391">
        <v>11067204</v>
      </c>
      <c r="B391" t="s">
        <v>60</v>
      </c>
    </row>
    <row r="392" spans="1:2" x14ac:dyDescent="0.25">
      <c r="A392">
        <v>12013259</v>
      </c>
      <c r="B392" t="s">
        <v>60</v>
      </c>
    </row>
    <row r="393" spans="1:2" x14ac:dyDescent="0.25">
      <c r="A393">
        <v>12013280</v>
      </c>
      <c r="B393" t="s">
        <v>60</v>
      </c>
    </row>
    <row r="394" spans="1:2" x14ac:dyDescent="0.25">
      <c r="A394">
        <v>11757420</v>
      </c>
      <c r="B394" t="s">
        <v>60</v>
      </c>
    </row>
    <row r="395" spans="1:2" x14ac:dyDescent="0.25">
      <c r="A395">
        <v>11831938</v>
      </c>
      <c r="B395" t="s">
        <v>60</v>
      </c>
    </row>
    <row r="396" spans="1:2" x14ac:dyDescent="0.25">
      <c r="A396">
        <v>11773509</v>
      </c>
      <c r="B396" t="s">
        <v>60</v>
      </c>
    </row>
    <row r="397" spans="1:2" x14ac:dyDescent="0.25">
      <c r="A397">
        <v>12011842</v>
      </c>
      <c r="B397" t="s">
        <v>60</v>
      </c>
    </row>
    <row r="398" spans="1:2" x14ac:dyDescent="0.25">
      <c r="A398">
        <v>11817106</v>
      </c>
      <c r="B398" t="s">
        <v>60</v>
      </c>
    </row>
    <row r="399" spans="1:2" x14ac:dyDescent="0.25">
      <c r="A399">
        <v>11817284</v>
      </c>
      <c r="B399" t="s">
        <v>60</v>
      </c>
    </row>
    <row r="400" spans="1:2" x14ac:dyDescent="0.25">
      <c r="A400">
        <v>11817507</v>
      </c>
      <c r="B400" t="s">
        <v>60</v>
      </c>
    </row>
    <row r="401" spans="1:2" x14ac:dyDescent="0.25">
      <c r="A401">
        <v>11817540</v>
      </c>
      <c r="B401" t="s">
        <v>60</v>
      </c>
    </row>
    <row r="402" spans="1:2" x14ac:dyDescent="0.25">
      <c r="A402">
        <v>11817728</v>
      </c>
      <c r="B402" t="s">
        <v>60</v>
      </c>
    </row>
    <row r="403" spans="1:2" x14ac:dyDescent="0.25">
      <c r="A403">
        <v>11817779</v>
      </c>
      <c r="B403" t="s">
        <v>60</v>
      </c>
    </row>
    <row r="404" spans="1:2" x14ac:dyDescent="0.25">
      <c r="A404">
        <v>11817943</v>
      </c>
      <c r="B404" t="s">
        <v>60</v>
      </c>
    </row>
    <row r="405" spans="1:2" x14ac:dyDescent="0.25">
      <c r="A405">
        <v>11817970</v>
      </c>
      <c r="B405" t="s">
        <v>60</v>
      </c>
    </row>
    <row r="406" spans="1:2" x14ac:dyDescent="0.25">
      <c r="A406">
        <v>11817857</v>
      </c>
      <c r="B406" t="s">
        <v>60</v>
      </c>
    </row>
    <row r="407" spans="1:2" x14ac:dyDescent="0.25">
      <c r="A407">
        <v>10630317</v>
      </c>
      <c r="B407" t="s">
        <v>47</v>
      </c>
    </row>
    <row r="408" spans="1:2" x14ac:dyDescent="0.25">
      <c r="A408">
        <v>11096675</v>
      </c>
      <c r="B408" t="s">
        <v>47</v>
      </c>
    </row>
    <row r="409" spans="1:2" x14ac:dyDescent="0.25">
      <c r="A409">
        <v>10697418</v>
      </c>
      <c r="B409" t="s">
        <v>157</v>
      </c>
    </row>
    <row r="410" spans="1:2" x14ac:dyDescent="0.25">
      <c r="A410">
        <v>11507173</v>
      </c>
      <c r="B410" t="s">
        <v>193</v>
      </c>
    </row>
    <row r="411" spans="1:2" x14ac:dyDescent="0.25">
      <c r="A411">
        <v>11508459</v>
      </c>
      <c r="B411" t="s">
        <v>47</v>
      </c>
    </row>
    <row r="412" spans="1:2" x14ac:dyDescent="0.25">
      <c r="A412">
        <v>10583824</v>
      </c>
      <c r="B412" t="s">
        <v>112</v>
      </c>
    </row>
    <row r="413" spans="1:2" x14ac:dyDescent="0.25">
      <c r="A413">
        <v>10873644</v>
      </c>
      <c r="B413" t="s">
        <v>47</v>
      </c>
    </row>
    <row r="414" spans="1:2" x14ac:dyDescent="0.25">
      <c r="A414">
        <v>11544104</v>
      </c>
      <c r="B414" t="s">
        <v>467</v>
      </c>
    </row>
    <row r="415" spans="1:2" x14ac:dyDescent="0.25">
      <c r="A415">
        <v>10596858</v>
      </c>
      <c r="B415" t="s">
        <v>47</v>
      </c>
    </row>
    <row r="416" spans="1:2" x14ac:dyDescent="0.25">
      <c r="A416">
        <v>11843144</v>
      </c>
      <c r="B416" t="s">
        <v>47</v>
      </c>
    </row>
    <row r="417" spans="1:2" x14ac:dyDescent="0.25">
      <c r="A417">
        <v>11906028</v>
      </c>
      <c r="B417" t="s">
        <v>47</v>
      </c>
    </row>
    <row r="418" spans="1:2" x14ac:dyDescent="0.25">
      <c r="A418">
        <v>10973405</v>
      </c>
      <c r="B418" t="s">
        <v>319</v>
      </c>
    </row>
    <row r="419" spans="1:2" x14ac:dyDescent="0.25">
      <c r="A419">
        <v>11381359</v>
      </c>
      <c r="B419" t="s">
        <v>319</v>
      </c>
    </row>
    <row r="420" spans="1:2" x14ac:dyDescent="0.25">
      <c r="A420">
        <v>11089424</v>
      </c>
      <c r="B420" t="s">
        <v>67</v>
      </c>
    </row>
    <row r="421" spans="1:2" x14ac:dyDescent="0.25">
      <c r="A421">
        <v>11378172</v>
      </c>
      <c r="B421" t="s">
        <v>319</v>
      </c>
    </row>
    <row r="422" spans="1:2" x14ac:dyDescent="0.25">
      <c r="A422">
        <v>10566317</v>
      </c>
      <c r="B422" t="s">
        <v>47</v>
      </c>
    </row>
    <row r="423" spans="1:2" x14ac:dyDescent="0.25">
      <c r="A423">
        <v>11238517</v>
      </c>
      <c r="B423" t="s">
        <v>47</v>
      </c>
    </row>
    <row r="424" spans="1:2" x14ac:dyDescent="0.25">
      <c r="A424">
        <v>10639628</v>
      </c>
      <c r="B424" t="s">
        <v>60</v>
      </c>
    </row>
    <row r="425" spans="1:2" x14ac:dyDescent="0.25">
      <c r="A425">
        <v>11278708</v>
      </c>
      <c r="B425" t="s">
        <v>319</v>
      </c>
    </row>
    <row r="426" spans="1:2" x14ac:dyDescent="0.25">
      <c r="A426">
        <v>10831945</v>
      </c>
      <c r="B426" t="s">
        <v>47</v>
      </c>
    </row>
    <row r="427" spans="1:2" x14ac:dyDescent="0.25">
      <c r="A427">
        <v>10982578</v>
      </c>
      <c r="B427" t="s">
        <v>44</v>
      </c>
    </row>
    <row r="428" spans="1:2" x14ac:dyDescent="0.25">
      <c r="A428">
        <v>12024523</v>
      </c>
      <c r="B428" t="s">
        <v>47</v>
      </c>
    </row>
    <row r="429" spans="1:2" x14ac:dyDescent="0.25">
      <c r="A429">
        <v>10955140</v>
      </c>
      <c r="B429" t="s">
        <v>331</v>
      </c>
    </row>
    <row r="430" spans="1:2" x14ac:dyDescent="0.25">
      <c r="A430">
        <v>11693180</v>
      </c>
      <c r="B430" t="s">
        <v>47</v>
      </c>
    </row>
    <row r="431" spans="1:2" x14ac:dyDescent="0.25">
      <c r="A431">
        <v>10700751</v>
      </c>
      <c r="B431" t="s">
        <v>47</v>
      </c>
    </row>
    <row r="432" spans="1:2" x14ac:dyDescent="0.25">
      <c r="A432">
        <v>10741561</v>
      </c>
      <c r="B432" t="s">
        <v>227</v>
      </c>
    </row>
    <row r="433" spans="1:2" x14ac:dyDescent="0.25">
      <c r="A433">
        <v>11063476</v>
      </c>
      <c r="B433" t="s">
        <v>47</v>
      </c>
    </row>
    <row r="434" spans="1:2" x14ac:dyDescent="0.25">
      <c r="A434">
        <v>11577253</v>
      </c>
      <c r="B434" t="s">
        <v>47</v>
      </c>
    </row>
    <row r="435" spans="1:2" x14ac:dyDescent="0.25">
      <c r="A435">
        <v>11603854</v>
      </c>
      <c r="B435" t="s">
        <v>47</v>
      </c>
    </row>
    <row r="436" spans="1:2" x14ac:dyDescent="0.25">
      <c r="A436">
        <v>10749012</v>
      </c>
      <c r="B436" t="s">
        <v>60</v>
      </c>
    </row>
    <row r="437" spans="1:2" x14ac:dyDescent="0.25">
      <c r="A437">
        <v>11559327</v>
      </c>
      <c r="B437" t="s">
        <v>47</v>
      </c>
    </row>
    <row r="438" spans="1:2" x14ac:dyDescent="0.25">
      <c r="A438">
        <v>11361839</v>
      </c>
      <c r="B438" t="s">
        <v>47</v>
      </c>
    </row>
    <row r="439" spans="1:2" x14ac:dyDescent="0.25">
      <c r="A439">
        <v>10681703</v>
      </c>
      <c r="B439" t="s">
        <v>47</v>
      </c>
    </row>
    <row r="440" spans="1:2" x14ac:dyDescent="0.25">
      <c r="A440">
        <v>11552018</v>
      </c>
      <c r="B440" t="s">
        <v>47</v>
      </c>
    </row>
    <row r="441" spans="1:2" x14ac:dyDescent="0.25">
      <c r="A441">
        <v>11557819</v>
      </c>
      <c r="B441" t="s">
        <v>57</v>
      </c>
    </row>
    <row r="442" spans="1:2" x14ac:dyDescent="0.25">
      <c r="A442">
        <v>11456879</v>
      </c>
      <c r="B442" t="s">
        <v>47</v>
      </c>
    </row>
    <row r="443" spans="1:2" x14ac:dyDescent="0.25">
      <c r="A443">
        <v>11354531</v>
      </c>
      <c r="B443" t="s">
        <v>47</v>
      </c>
    </row>
    <row r="444" spans="1:2" x14ac:dyDescent="0.25">
      <c r="A444">
        <v>11451537</v>
      </c>
      <c r="B444" t="s">
        <v>319</v>
      </c>
    </row>
    <row r="445" spans="1:2" x14ac:dyDescent="0.25">
      <c r="A445">
        <v>11604211</v>
      </c>
      <c r="B445" t="s">
        <v>47</v>
      </c>
    </row>
    <row r="446" spans="1:2" x14ac:dyDescent="0.25">
      <c r="A446">
        <v>11358865</v>
      </c>
      <c r="B446" t="s">
        <v>63</v>
      </c>
    </row>
    <row r="447" spans="1:2" x14ac:dyDescent="0.25">
      <c r="A447">
        <v>11629274</v>
      </c>
      <c r="B447" t="s">
        <v>187</v>
      </c>
    </row>
    <row r="448" spans="1:2" x14ac:dyDescent="0.25">
      <c r="A448">
        <v>10626886</v>
      </c>
      <c r="B448" t="s">
        <v>60</v>
      </c>
    </row>
    <row r="449" spans="1:2" x14ac:dyDescent="0.25">
      <c r="A449">
        <v>11573016</v>
      </c>
      <c r="B449" t="s">
        <v>94</v>
      </c>
    </row>
    <row r="450" spans="1:2" x14ac:dyDescent="0.25">
      <c r="A450">
        <v>11705265</v>
      </c>
      <c r="B450" t="s">
        <v>47</v>
      </c>
    </row>
    <row r="451" spans="1:2" x14ac:dyDescent="0.25">
      <c r="A451">
        <v>10700341</v>
      </c>
      <c r="B451" t="s">
        <v>400</v>
      </c>
    </row>
    <row r="452" spans="1:2" x14ac:dyDescent="0.25">
      <c r="A452">
        <v>11899897</v>
      </c>
      <c r="B452" t="s">
        <v>170</v>
      </c>
    </row>
    <row r="453" spans="1:2" x14ac:dyDescent="0.25">
      <c r="A453">
        <v>10691985</v>
      </c>
      <c r="B453" t="s">
        <v>47</v>
      </c>
    </row>
    <row r="454" spans="1:2" x14ac:dyDescent="0.25">
      <c r="A454">
        <v>11543442</v>
      </c>
      <c r="B454" t="s">
        <v>164</v>
      </c>
    </row>
    <row r="455" spans="1:2" x14ac:dyDescent="0.25">
      <c r="A455">
        <v>11497559</v>
      </c>
      <c r="B455" t="s">
        <v>258</v>
      </c>
    </row>
    <row r="456" spans="1:2" x14ac:dyDescent="0.25">
      <c r="A456">
        <v>11393874</v>
      </c>
      <c r="B456" t="s">
        <v>258</v>
      </c>
    </row>
    <row r="457" spans="1:2" x14ac:dyDescent="0.25">
      <c r="A457">
        <v>10808173</v>
      </c>
      <c r="B457" t="s">
        <v>420</v>
      </c>
    </row>
    <row r="458" spans="1:2" x14ac:dyDescent="0.25">
      <c r="A458">
        <v>10918335</v>
      </c>
      <c r="B458" t="s">
        <v>258</v>
      </c>
    </row>
    <row r="459" spans="1:2" x14ac:dyDescent="0.25">
      <c r="A459">
        <v>11558932</v>
      </c>
      <c r="B459" t="s">
        <v>214</v>
      </c>
    </row>
    <row r="460" spans="1:2" x14ac:dyDescent="0.25">
      <c r="A460">
        <v>11634655</v>
      </c>
      <c r="B460" t="s">
        <v>47</v>
      </c>
    </row>
    <row r="461" spans="1:2" x14ac:dyDescent="0.25">
      <c r="A461">
        <v>11606409</v>
      </c>
      <c r="B461" t="s">
        <v>187</v>
      </c>
    </row>
    <row r="462" spans="1:2" x14ac:dyDescent="0.25">
      <c r="A462">
        <v>10800533</v>
      </c>
      <c r="B462" t="s">
        <v>47</v>
      </c>
    </row>
    <row r="463" spans="1:2" x14ac:dyDescent="0.25">
      <c r="A463">
        <v>11419977</v>
      </c>
      <c r="B463" t="s">
        <v>536</v>
      </c>
    </row>
    <row r="464" spans="1:2" x14ac:dyDescent="0.25">
      <c r="A464">
        <v>11686300</v>
      </c>
      <c r="B464" t="s">
        <v>47</v>
      </c>
    </row>
    <row r="465" spans="1:2" x14ac:dyDescent="0.25">
      <c r="A465">
        <v>11720665</v>
      </c>
      <c r="B465" t="s">
        <v>47</v>
      </c>
    </row>
    <row r="466" spans="1:2" x14ac:dyDescent="0.25">
      <c r="A466">
        <v>11016916</v>
      </c>
      <c r="B466" t="s">
        <v>70</v>
      </c>
    </row>
    <row r="467" spans="1:2" x14ac:dyDescent="0.25">
      <c r="A467">
        <v>10750150</v>
      </c>
      <c r="B467" t="s">
        <v>47</v>
      </c>
    </row>
    <row r="468" spans="1:2" x14ac:dyDescent="0.25">
      <c r="A468">
        <v>10884778</v>
      </c>
      <c r="B468" t="s">
        <v>248</v>
      </c>
    </row>
    <row r="469" spans="1:2" x14ac:dyDescent="0.25">
      <c r="A469">
        <v>10939883</v>
      </c>
      <c r="B469" t="s">
        <v>52</v>
      </c>
    </row>
    <row r="470" spans="1:2" x14ac:dyDescent="0.25">
      <c r="A470">
        <v>11424189</v>
      </c>
      <c r="B470" t="s">
        <v>112</v>
      </c>
    </row>
    <row r="471" spans="1:2" x14ac:dyDescent="0.25">
      <c r="A471">
        <v>10699973</v>
      </c>
      <c r="B471" t="s">
        <v>388</v>
      </c>
    </row>
    <row r="472" spans="1:2" x14ac:dyDescent="0.25">
      <c r="A472">
        <v>10782637</v>
      </c>
      <c r="B472" t="s">
        <v>52</v>
      </c>
    </row>
    <row r="473" spans="1:2" x14ac:dyDescent="0.25">
      <c r="A473">
        <v>10623536</v>
      </c>
      <c r="B473" t="s">
        <v>66</v>
      </c>
    </row>
    <row r="474" spans="1:2" x14ac:dyDescent="0.25">
      <c r="A474">
        <v>11580101</v>
      </c>
      <c r="B474" t="s">
        <v>57</v>
      </c>
    </row>
    <row r="475" spans="1:2" x14ac:dyDescent="0.25">
      <c r="A475">
        <v>11205931</v>
      </c>
      <c r="B475" t="s">
        <v>131</v>
      </c>
    </row>
    <row r="476" spans="1:2" x14ac:dyDescent="0.25">
      <c r="A476">
        <v>11379021</v>
      </c>
      <c r="B476" t="s">
        <v>393</v>
      </c>
    </row>
    <row r="477" spans="1:2" x14ac:dyDescent="0.25">
      <c r="A477">
        <v>11229198</v>
      </c>
      <c r="B477" t="s">
        <v>475</v>
      </c>
    </row>
    <row r="478" spans="1:2" x14ac:dyDescent="0.25">
      <c r="A478">
        <v>11792213</v>
      </c>
      <c r="B478" t="s">
        <v>52</v>
      </c>
    </row>
    <row r="479" spans="1:2" x14ac:dyDescent="0.25">
      <c r="A479">
        <v>11405987</v>
      </c>
      <c r="B479" t="s">
        <v>47</v>
      </c>
    </row>
    <row r="480" spans="1:2" x14ac:dyDescent="0.25">
      <c r="A480">
        <v>10714472</v>
      </c>
      <c r="B480" t="s">
        <v>60</v>
      </c>
    </row>
    <row r="481" spans="1:2" x14ac:dyDescent="0.25">
      <c r="A481">
        <v>10921075</v>
      </c>
      <c r="B481" t="s">
        <v>208</v>
      </c>
    </row>
    <row r="482" spans="1:2" x14ac:dyDescent="0.25">
      <c r="A482">
        <v>10596750</v>
      </c>
      <c r="B482" t="s">
        <v>535</v>
      </c>
    </row>
    <row r="483" spans="1:2" x14ac:dyDescent="0.25">
      <c r="A483">
        <v>10932494</v>
      </c>
      <c r="B483" t="s">
        <v>534</v>
      </c>
    </row>
    <row r="484" spans="1:2" x14ac:dyDescent="0.25">
      <c r="A484">
        <v>11611681</v>
      </c>
      <c r="B484" t="s">
        <v>94</v>
      </c>
    </row>
    <row r="485" spans="1:2" x14ac:dyDescent="0.25">
      <c r="A485">
        <v>11131503</v>
      </c>
      <c r="B485" t="s">
        <v>47</v>
      </c>
    </row>
    <row r="486" spans="1:2" x14ac:dyDescent="0.25">
      <c r="A486">
        <v>10923434</v>
      </c>
      <c r="B486" t="s">
        <v>227</v>
      </c>
    </row>
    <row r="487" spans="1:2" x14ac:dyDescent="0.25">
      <c r="A487">
        <v>12025086</v>
      </c>
      <c r="B487" t="s">
        <v>193</v>
      </c>
    </row>
    <row r="488" spans="1:2" x14ac:dyDescent="0.25">
      <c r="A488">
        <v>10800572</v>
      </c>
      <c r="B488" t="s">
        <v>319</v>
      </c>
    </row>
    <row r="489" spans="1:2" x14ac:dyDescent="0.25">
      <c r="A489">
        <v>11067209</v>
      </c>
      <c r="B489" t="s">
        <v>214</v>
      </c>
    </row>
    <row r="490" spans="1:2" x14ac:dyDescent="0.25">
      <c r="A490">
        <v>10848984</v>
      </c>
      <c r="B490" t="s">
        <v>94</v>
      </c>
    </row>
    <row r="491" spans="1:2" x14ac:dyDescent="0.25">
      <c r="A491">
        <v>10893550</v>
      </c>
      <c r="B491" t="s">
        <v>94</v>
      </c>
    </row>
    <row r="492" spans="1:2" x14ac:dyDescent="0.25">
      <c r="A492">
        <v>10824528</v>
      </c>
      <c r="B492" t="s">
        <v>258</v>
      </c>
    </row>
    <row r="493" spans="1:2" x14ac:dyDescent="0.25">
      <c r="A493">
        <v>11593009</v>
      </c>
      <c r="B493" t="s">
        <v>94</v>
      </c>
    </row>
    <row r="494" spans="1:2" x14ac:dyDescent="0.25">
      <c r="A494">
        <v>10623079</v>
      </c>
      <c r="B494" t="s">
        <v>533</v>
      </c>
    </row>
    <row r="495" spans="1:2" x14ac:dyDescent="0.25">
      <c r="A495">
        <v>10595345</v>
      </c>
      <c r="B495" t="s">
        <v>47</v>
      </c>
    </row>
    <row r="496" spans="1:2" x14ac:dyDescent="0.25">
      <c r="A496">
        <v>11847311</v>
      </c>
      <c r="B496" t="s">
        <v>532</v>
      </c>
    </row>
    <row r="497" spans="1:2" x14ac:dyDescent="0.25">
      <c r="A497">
        <v>10583012</v>
      </c>
      <c r="B497" t="s">
        <v>405</v>
      </c>
    </row>
    <row r="498" spans="1:2" x14ac:dyDescent="0.25">
      <c r="A498">
        <v>11402457</v>
      </c>
      <c r="B498" t="s">
        <v>47</v>
      </c>
    </row>
    <row r="499" spans="1:2" x14ac:dyDescent="0.25">
      <c r="A499">
        <v>11561180</v>
      </c>
      <c r="B499" t="s">
        <v>303</v>
      </c>
    </row>
    <row r="500" spans="1:2" x14ac:dyDescent="0.25">
      <c r="A500">
        <v>10827980</v>
      </c>
      <c r="B500" t="s">
        <v>531</v>
      </c>
    </row>
    <row r="501" spans="1:2" x14ac:dyDescent="0.25">
      <c r="A501">
        <v>11348270</v>
      </c>
      <c r="B501" t="s">
        <v>250</v>
      </c>
    </row>
    <row r="502" spans="1:2" x14ac:dyDescent="0.25">
      <c r="A502">
        <v>10940809</v>
      </c>
      <c r="B502" t="s">
        <v>530</v>
      </c>
    </row>
    <row r="503" spans="1:2" x14ac:dyDescent="0.25">
      <c r="A503">
        <v>11193291</v>
      </c>
      <c r="B503" t="s">
        <v>121</v>
      </c>
    </row>
    <row r="504" spans="1:2" x14ac:dyDescent="0.25">
      <c r="A504">
        <v>11668093</v>
      </c>
      <c r="B504" t="s">
        <v>47</v>
      </c>
    </row>
    <row r="505" spans="1:2" x14ac:dyDescent="0.25">
      <c r="A505">
        <v>10658821</v>
      </c>
      <c r="B505" t="s">
        <v>52</v>
      </c>
    </row>
    <row r="506" spans="1:2" x14ac:dyDescent="0.25">
      <c r="A506">
        <v>11434027</v>
      </c>
      <c r="B506" t="s">
        <v>529</v>
      </c>
    </row>
    <row r="507" spans="1:2" x14ac:dyDescent="0.25">
      <c r="A507">
        <v>10795841</v>
      </c>
      <c r="B507" t="s">
        <v>142</v>
      </c>
    </row>
    <row r="508" spans="1:2" x14ac:dyDescent="0.25">
      <c r="A508">
        <v>11831921</v>
      </c>
      <c r="B508" t="s">
        <v>47</v>
      </c>
    </row>
    <row r="509" spans="1:2" x14ac:dyDescent="0.25">
      <c r="A509">
        <v>11425056</v>
      </c>
      <c r="B509" t="s">
        <v>528</v>
      </c>
    </row>
    <row r="510" spans="1:2" x14ac:dyDescent="0.25">
      <c r="A510">
        <v>11416829</v>
      </c>
      <c r="B510" t="s">
        <v>527</v>
      </c>
    </row>
    <row r="511" spans="1:2" x14ac:dyDescent="0.25">
      <c r="A511">
        <v>10730410</v>
      </c>
      <c r="B511" t="s">
        <v>47</v>
      </c>
    </row>
    <row r="512" spans="1:2" x14ac:dyDescent="0.25">
      <c r="A512">
        <v>11252877</v>
      </c>
      <c r="B512" t="s">
        <v>60</v>
      </c>
    </row>
    <row r="513" spans="1:2" x14ac:dyDescent="0.25">
      <c r="A513">
        <v>11879790</v>
      </c>
      <c r="B513" t="s">
        <v>47</v>
      </c>
    </row>
    <row r="514" spans="1:2" x14ac:dyDescent="0.25">
      <c r="A514">
        <v>11702139</v>
      </c>
      <c r="B514" t="s">
        <v>526</v>
      </c>
    </row>
    <row r="515" spans="1:2" x14ac:dyDescent="0.25">
      <c r="A515">
        <v>11271339</v>
      </c>
      <c r="B515" t="s">
        <v>526</v>
      </c>
    </row>
    <row r="516" spans="1:2" x14ac:dyDescent="0.25">
      <c r="A516">
        <v>10861677</v>
      </c>
      <c r="B516" t="s">
        <v>47</v>
      </c>
    </row>
    <row r="517" spans="1:2" x14ac:dyDescent="0.25">
      <c r="A517">
        <v>11027461</v>
      </c>
      <c r="B517" t="s">
        <v>90</v>
      </c>
    </row>
    <row r="518" spans="1:2" x14ac:dyDescent="0.25">
      <c r="A518">
        <v>11197293</v>
      </c>
      <c r="B518" t="s">
        <v>90</v>
      </c>
    </row>
    <row r="519" spans="1:2" x14ac:dyDescent="0.25">
      <c r="A519">
        <v>11723155</v>
      </c>
      <c r="B519" t="s">
        <v>90</v>
      </c>
    </row>
    <row r="520" spans="1:2" x14ac:dyDescent="0.25">
      <c r="A520">
        <v>11406903</v>
      </c>
      <c r="B520" t="s">
        <v>525</v>
      </c>
    </row>
    <row r="521" spans="1:2" x14ac:dyDescent="0.25">
      <c r="A521">
        <v>10829028</v>
      </c>
      <c r="B521" t="s">
        <v>111</v>
      </c>
    </row>
    <row r="522" spans="1:2" x14ac:dyDescent="0.25">
      <c r="A522">
        <v>11606762</v>
      </c>
      <c r="B522" t="s">
        <v>186</v>
      </c>
    </row>
    <row r="523" spans="1:2" x14ac:dyDescent="0.25">
      <c r="A523">
        <v>11068661</v>
      </c>
      <c r="B523" t="s">
        <v>319</v>
      </c>
    </row>
    <row r="524" spans="1:2" x14ac:dyDescent="0.25">
      <c r="A524">
        <v>11433631</v>
      </c>
      <c r="B524" t="s">
        <v>319</v>
      </c>
    </row>
    <row r="525" spans="1:2" x14ac:dyDescent="0.25">
      <c r="A525">
        <v>10596002</v>
      </c>
      <c r="B525" t="s">
        <v>47</v>
      </c>
    </row>
    <row r="526" spans="1:2" x14ac:dyDescent="0.25">
      <c r="A526">
        <v>10876950</v>
      </c>
      <c r="B526" t="s">
        <v>319</v>
      </c>
    </row>
    <row r="527" spans="1:2" x14ac:dyDescent="0.25">
      <c r="A527">
        <v>10882580</v>
      </c>
      <c r="B527" t="s">
        <v>112</v>
      </c>
    </row>
    <row r="528" spans="1:2" x14ac:dyDescent="0.25">
      <c r="A528">
        <v>10938307</v>
      </c>
      <c r="B528" t="s">
        <v>112</v>
      </c>
    </row>
    <row r="529" spans="1:2" x14ac:dyDescent="0.25">
      <c r="A529">
        <v>11559384</v>
      </c>
      <c r="B529" t="s">
        <v>47</v>
      </c>
    </row>
    <row r="530" spans="1:2" x14ac:dyDescent="0.25">
      <c r="A530">
        <v>11539094</v>
      </c>
      <c r="B530" t="s">
        <v>354</v>
      </c>
    </row>
    <row r="531" spans="1:2" x14ac:dyDescent="0.25">
      <c r="A531">
        <v>11505536</v>
      </c>
      <c r="B531" t="s">
        <v>47</v>
      </c>
    </row>
    <row r="532" spans="1:2" x14ac:dyDescent="0.25">
      <c r="A532">
        <v>10770176</v>
      </c>
      <c r="B532" t="s">
        <v>524</v>
      </c>
    </row>
    <row r="533" spans="1:2" x14ac:dyDescent="0.25">
      <c r="A533">
        <v>11385847</v>
      </c>
      <c r="B533" t="s">
        <v>47</v>
      </c>
    </row>
    <row r="534" spans="1:2" x14ac:dyDescent="0.25">
      <c r="A534">
        <v>11553893</v>
      </c>
      <c r="B534" t="s">
        <v>47</v>
      </c>
    </row>
    <row r="535" spans="1:2" x14ac:dyDescent="0.25">
      <c r="A535">
        <v>11905344</v>
      </c>
      <c r="B535" t="s">
        <v>277</v>
      </c>
    </row>
    <row r="536" spans="1:2" x14ac:dyDescent="0.25">
      <c r="A536">
        <v>11570421</v>
      </c>
      <c r="B536" t="s">
        <v>319</v>
      </c>
    </row>
    <row r="537" spans="1:2" x14ac:dyDescent="0.25">
      <c r="A537">
        <v>11007572</v>
      </c>
      <c r="B537" t="s">
        <v>57</v>
      </c>
    </row>
    <row r="538" spans="1:2" x14ac:dyDescent="0.25">
      <c r="A538">
        <v>10857291</v>
      </c>
      <c r="B538" t="s">
        <v>523</v>
      </c>
    </row>
    <row r="539" spans="1:2" x14ac:dyDescent="0.25">
      <c r="A539">
        <v>11600361</v>
      </c>
      <c r="B539" t="s">
        <v>47</v>
      </c>
    </row>
    <row r="540" spans="1:2" x14ac:dyDescent="0.25">
      <c r="A540">
        <v>10588433</v>
      </c>
      <c r="B540" t="s">
        <v>60</v>
      </c>
    </row>
    <row r="541" spans="1:2" x14ac:dyDescent="0.25">
      <c r="A541">
        <v>10609110</v>
      </c>
      <c r="B541" t="s">
        <v>186</v>
      </c>
    </row>
    <row r="542" spans="1:2" x14ac:dyDescent="0.25">
      <c r="A542">
        <v>11457922</v>
      </c>
      <c r="B542" t="s">
        <v>522</v>
      </c>
    </row>
    <row r="543" spans="1:2" x14ac:dyDescent="0.25">
      <c r="A543">
        <v>11405888</v>
      </c>
      <c r="B543" t="s">
        <v>69</v>
      </c>
    </row>
    <row r="544" spans="1:2" x14ac:dyDescent="0.25">
      <c r="A544">
        <v>11600276</v>
      </c>
      <c r="B544" t="s">
        <v>44</v>
      </c>
    </row>
    <row r="545" spans="1:2" x14ac:dyDescent="0.25">
      <c r="A545">
        <v>10704692</v>
      </c>
      <c r="B545" t="s">
        <v>408</v>
      </c>
    </row>
    <row r="546" spans="1:2" x14ac:dyDescent="0.25">
      <c r="A546">
        <v>10638715</v>
      </c>
      <c r="B546" t="s">
        <v>225</v>
      </c>
    </row>
    <row r="547" spans="1:2" x14ac:dyDescent="0.25">
      <c r="A547">
        <v>10793286</v>
      </c>
      <c r="B547" t="s">
        <v>521</v>
      </c>
    </row>
    <row r="548" spans="1:2" x14ac:dyDescent="0.25">
      <c r="A548">
        <v>10758645</v>
      </c>
      <c r="B548" t="s">
        <v>75</v>
      </c>
    </row>
    <row r="549" spans="1:2" x14ac:dyDescent="0.25">
      <c r="A549">
        <v>10852088</v>
      </c>
      <c r="B549" t="s">
        <v>520</v>
      </c>
    </row>
    <row r="550" spans="1:2" x14ac:dyDescent="0.25">
      <c r="A550">
        <v>10639119</v>
      </c>
      <c r="B550" t="s">
        <v>44</v>
      </c>
    </row>
    <row r="551" spans="1:2" x14ac:dyDescent="0.25">
      <c r="A551">
        <v>11929300</v>
      </c>
      <c r="B551" t="s">
        <v>44</v>
      </c>
    </row>
    <row r="552" spans="1:2" x14ac:dyDescent="0.25">
      <c r="A552">
        <v>11710981</v>
      </c>
      <c r="B552" t="s">
        <v>179</v>
      </c>
    </row>
    <row r="553" spans="1:2" x14ac:dyDescent="0.25">
      <c r="A553">
        <v>10598370</v>
      </c>
      <c r="B553" t="s">
        <v>318</v>
      </c>
    </row>
    <row r="554" spans="1:2" x14ac:dyDescent="0.25">
      <c r="A554">
        <v>10676625</v>
      </c>
      <c r="B554" t="s">
        <v>225</v>
      </c>
    </row>
    <row r="555" spans="1:2" x14ac:dyDescent="0.25">
      <c r="A555">
        <v>11921737</v>
      </c>
      <c r="B555" t="s">
        <v>86</v>
      </c>
    </row>
    <row r="556" spans="1:2" x14ac:dyDescent="0.25">
      <c r="A556">
        <v>10724498</v>
      </c>
      <c r="B556" t="s">
        <v>147</v>
      </c>
    </row>
    <row r="557" spans="1:2" x14ac:dyDescent="0.25">
      <c r="A557">
        <v>11635289</v>
      </c>
      <c r="B557" t="s">
        <v>156</v>
      </c>
    </row>
    <row r="558" spans="1:2" x14ac:dyDescent="0.25">
      <c r="A558">
        <v>10747347</v>
      </c>
      <c r="B558" t="s">
        <v>147</v>
      </c>
    </row>
    <row r="559" spans="1:2" x14ac:dyDescent="0.25">
      <c r="A559">
        <v>11999381</v>
      </c>
      <c r="B559" t="s">
        <v>60</v>
      </c>
    </row>
    <row r="560" spans="1:2" x14ac:dyDescent="0.25">
      <c r="A560">
        <v>11012233</v>
      </c>
      <c r="B560" t="s">
        <v>120</v>
      </c>
    </row>
    <row r="561" spans="1:2" x14ac:dyDescent="0.25">
      <c r="A561">
        <v>11373937</v>
      </c>
      <c r="B561" t="s">
        <v>60</v>
      </c>
    </row>
    <row r="562" spans="1:2" x14ac:dyDescent="0.25">
      <c r="A562">
        <v>11464860</v>
      </c>
      <c r="B562" t="s">
        <v>519</v>
      </c>
    </row>
    <row r="563" spans="1:2" x14ac:dyDescent="0.25">
      <c r="A563">
        <v>11496214</v>
      </c>
      <c r="B563" t="s">
        <v>192</v>
      </c>
    </row>
    <row r="564" spans="1:2" x14ac:dyDescent="0.25">
      <c r="A564">
        <v>11434554</v>
      </c>
      <c r="B564" t="s">
        <v>91</v>
      </c>
    </row>
    <row r="565" spans="1:2" x14ac:dyDescent="0.25">
      <c r="A565">
        <v>10843920</v>
      </c>
      <c r="B565" t="s">
        <v>156</v>
      </c>
    </row>
    <row r="566" spans="1:2" x14ac:dyDescent="0.25">
      <c r="A566">
        <v>10949862</v>
      </c>
      <c r="B566" t="s">
        <v>156</v>
      </c>
    </row>
    <row r="567" spans="1:2" x14ac:dyDescent="0.25">
      <c r="A567">
        <v>10822228</v>
      </c>
      <c r="B567" t="s">
        <v>518</v>
      </c>
    </row>
    <row r="568" spans="1:2" x14ac:dyDescent="0.25">
      <c r="A568">
        <v>11271605</v>
      </c>
      <c r="B568" t="s">
        <v>517</v>
      </c>
    </row>
    <row r="569" spans="1:2" x14ac:dyDescent="0.25">
      <c r="A569">
        <v>11600830</v>
      </c>
      <c r="B569" t="s">
        <v>156</v>
      </c>
    </row>
    <row r="570" spans="1:2" x14ac:dyDescent="0.25">
      <c r="A570">
        <v>11739087</v>
      </c>
      <c r="B570" t="s">
        <v>47</v>
      </c>
    </row>
    <row r="571" spans="1:2" x14ac:dyDescent="0.25">
      <c r="A571">
        <v>12007587</v>
      </c>
      <c r="B571" t="s">
        <v>156</v>
      </c>
    </row>
    <row r="572" spans="1:2" x14ac:dyDescent="0.25">
      <c r="A572">
        <v>11847721</v>
      </c>
      <c r="B572" t="s">
        <v>516</v>
      </c>
    </row>
    <row r="573" spans="1:2" x14ac:dyDescent="0.25">
      <c r="A573">
        <v>11607864</v>
      </c>
      <c r="B573" t="s">
        <v>515</v>
      </c>
    </row>
    <row r="574" spans="1:2" x14ac:dyDescent="0.25">
      <c r="A574">
        <v>11959280</v>
      </c>
      <c r="B574" t="s">
        <v>173</v>
      </c>
    </row>
    <row r="575" spans="1:2" x14ac:dyDescent="0.25">
      <c r="A575">
        <v>11407630</v>
      </c>
      <c r="B575" t="s">
        <v>90</v>
      </c>
    </row>
    <row r="576" spans="1:2" x14ac:dyDescent="0.25">
      <c r="A576">
        <v>11358751</v>
      </c>
      <c r="B576" t="s">
        <v>398</v>
      </c>
    </row>
    <row r="577" spans="1:2" x14ac:dyDescent="0.25">
      <c r="A577">
        <v>11500961</v>
      </c>
      <c r="B577" t="s">
        <v>173</v>
      </c>
    </row>
    <row r="578" spans="1:2" x14ac:dyDescent="0.25">
      <c r="A578">
        <v>10919837</v>
      </c>
      <c r="B578" t="s">
        <v>173</v>
      </c>
    </row>
    <row r="579" spans="1:2" x14ac:dyDescent="0.25">
      <c r="A579">
        <v>12012615</v>
      </c>
      <c r="B579" t="s">
        <v>76</v>
      </c>
    </row>
    <row r="580" spans="1:2" x14ac:dyDescent="0.25">
      <c r="A580">
        <v>11038970</v>
      </c>
      <c r="B580" t="s">
        <v>291</v>
      </c>
    </row>
    <row r="581" spans="1:2" x14ac:dyDescent="0.25">
      <c r="A581">
        <v>10623857</v>
      </c>
      <c r="B581" t="s">
        <v>90</v>
      </c>
    </row>
    <row r="582" spans="1:2" x14ac:dyDescent="0.25">
      <c r="A582">
        <v>11591999</v>
      </c>
      <c r="B582" t="s">
        <v>90</v>
      </c>
    </row>
    <row r="583" spans="1:2" x14ac:dyDescent="0.25">
      <c r="A583">
        <v>11835273</v>
      </c>
      <c r="B583" t="s">
        <v>90</v>
      </c>
    </row>
    <row r="584" spans="1:2" x14ac:dyDescent="0.25">
      <c r="A584">
        <v>10948125</v>
      </c>
      <c r="B584" t="s">
        <v>514</v>
      </c>
    </row>
    <row r="585" spans="1:2" x14ac:dyDescent="0.25">
      <c r="A585">
        <v>11751347</v>
      </c>
      <c r="B585" t="s">
        <v>478</v>
      </c>
    </row>
    <row r="586" spans="1:2" x14ac:dyDescent="0.25">
      <c r="A586">
        <v>11642856</v>
      </c>
      <c r="B586" t="s">
        <v>473</v>
      </c>
    </row>
    <row r="587" spans="1:2" x14ac:dyDescent="0.25">
      <c r="A587">
        <v>11289716</v>
      </c>
      <c r="B587" t="s">
        <v>173</v>
      </c>
    </row>
    <row r="588" spans="1:2" x14ac:dyDescent="0.25">
      <c r="A588">
        <v>11679220</v>
      </c>
      <c r="B588" t="s">
        <v>463</v>
      </c>
    </row>
    <row r="589" spans="1:2" x14ac:dyDescent="0.25">
      <c r="A589">
        <v>11661499</v>
      </c>
      <c r="B589" t="s">
        <v>398</v>
      </c>
    </row>
    <row r="590" spans="1:2" x14ac:dyDescent="0.25">
      <c r="A590">
        <v>11632169</v>
      </c>
      <c r="B590" t="s">
        <v>160</v>
      </c>
    </row>
    <row r="591" spans="1:2" x14ac:dyDescent="0.25">
      <c r="A591">
        <v>10918693</v>
      </c>
      <c r="B591" t="s">
        <v>156</v>
      </c>
    </row>
    <row r="592" spans="1:2" x14ac:dyDescent="0.25">
      <c r="A592">
        <v>11543130</v>
      </c>
      <c r="B592" t="s">
        <v>192</v>
      </c>
    </row>
    <row r="593" spans="1:2" x14ac:dyDescent="0.25">
      <c r="A593">
        <v>11557905</v>
      </c>
      <c r="B593" t="s">
        <v>156</v>
      </c>
    </row>
    <row r="594" spans="1:2" x14ac:dyDescent="0.25">
      <c r="A594">
        <v>10947732</v>
      </c>
      <c r="B594" t="s">
        <v>76</v>
      </c>
    </row>
    <row r="595" spans="1:2" x14ac:dyDescent="0.25">
      <c r="A595">
        <v>10911709</v>
      </c>
      <c r="B595" t="s">
        <v>156</v>
      </c>
    </row>
    <row r="596" spans="1:2" x14ac:dyDescent="0.25">
      <c r="A596">
        <v>10920068</v>
      </c>
      <c r="B596" t="s">
        <v>262</v>
      </c>
    </row>
    <row r="597" spans="1:2" x14ac:dyDescent="0.25">
      <c r="A597">
        <v>11010194</v>
      </c>
      <c r="B597" t="s">
        <v>513</v>
      </c>
    </row>
    <row r="598" spans="1:2" x14ac:dyDescent="0.25">
      <c r="A598">
        <v>11599311</v>
      </c>
      <c r="B598" t="s">
        <v>512</v>
      </c>
    </row>
    <row r="599" spans="1:2" x14ac:dyDescent="0.25">
      <c r="A599">
        <v>10954335</v>
      </c>
      <c r="B599" t="s">
        <v>70</v>
      </c>
    </row>
    <row r="600" spans="1:2" x14ac:dyDescent="0.25">
      <c r="A600">
        <v>11871153</v>
      </c>
      <c r="B600" t="s">
        <v>222</v>
      </c>
    </row>
    <row r="601" spans="1:2" x14ac:dyDescent="0.25">
      <c r="A601">
        <v>11492454</v>
      </c>
      <c r="B601" t="s">
        <v>85</v>
      </c>
    </row>
    <row r="602" spans="1:2" x14ac:dyDescent="0.25">
      <c r="A602">
        <v>10746239</v>
      </c>
      <c r="B602" t="s">
        <v>85</v>
      </c>
    </row>
    <row r="603" spans="1:2" x14ac:dyDescent="0.25">
      <c r="A603">
        <v>10926762</v>
      </c>
      <c r="B603" t="s">
        <v>85</v>
      </c>
    </row>
    <row r="604" spans="1:2" x14ac:dyDescent="0.25">
      <c r="A604">
        <v>11894363</v>
      </c>
      <c r="B604" t="s">
        <v>472</v>
      </c>
    </row>
    <row r="605" spans="1:2" x14ac:dyDescent="0.25">
      <c r="A605">
        <v>10936804</v>
      </c>
      <c r="B605" t="s">
        <v>88</v>
      </c>
    </row>
    <row r="606" spans="1:2" x14ac:dyDescent="0.25">
      <c r="A606">
        <v>11555571</v>
      </c>
      <c r="B606" t="s">
        <v>510</v>
      </c>
    </row>
    <row r="607" spans="1:2" x14ac:dyDescent="0.25">
      <c r="A607">
        <v>11335242</v>
      </c>
      <c r="B607" t="s">
        <v>511</v>
      </c>
    </row>
    <row r="608" spans="1:2" x14ac:dyDescent="0.25">
      <c r="A608">
        <v>11453940</v>
      </c>
      <c r="B608" t="s">
        <v>76</v>
      </c>
    </row>
    <row r="609" spans="1:2" x14ac:dyDescent="0.25">
      <c r="A609">
        <v>11640596</v>
      </c>
      <c r="B609" t="s">
        <v>510</v>
      </c>
    </row>
    <row r="610" spans="1:2" x14ac:dyDescent="0.25">
      <c r="A610">
        <v>10607463</v>
      </c>
      <c r="B610" t="s">
        <v>509</v>
      </c>
    </row>
    <row r="611" spans="1:2" x14ac:dyDescent="0.25">
      <c r="A611">
        <v>10828526</v>
      </c>
      <c r="B611" t="s">
        <v>76</v>
      </c>
    </row>
    <row r="612" spans="1:2" x14ac:dyDescent="0.25">
      <c r="A612">
        <v>11009193</v>
      </c>
      <c r="B612" t="s">
        <v>92</v>
      </c>
    </row>
    <row r="613" spans="1:2" x14ac:dyDescent="0.25">
      <c r="A613">
        <v>11006523</v>
      </c>
      <c r="B613" t="s">
        <v>92</v>
      </c>
    </row>
    <row r="614" spans="1:2" x14ac:dyDescent="0.25">
      <c r="A614">
        <v>10906597</v>
      </c>
      <c r="B614" t="s">
        <v>508</v>
      </c>
    </row>
    <row r="615" spans="1:2" x14ac:dyDescent="0.25">
      <c r="A615">
        <v>11847124</v>
      </c>
      <c r="B615" t="s">
        <v>233</v>
      </c>
    </row>
    <row r="616" spans="1:2" x14ac:dyDescent="0.25">
      <c r="A616">
        <v>10700405</v>
      </c>
      <c r="B616" t="s">
        <v>66</v>
      </c>
    </row>
    <row r="617" spans="1:2" x14ac:dyDescent="0.25">
      <c r="A617">
        <v>10851617</v>
      </c>
      <c r="B617" t="s">
        <v>46</v>
      </c>
    </row>
    <row r="618" spans="1:2" x14ac:dyDescent="0.25">
      <c r="A618">
        <v>11740157</v>
      </c>
      <c r="B618" t="s">
        <v>233</v>
      </c>
    </row>
    <row r="619" spans="1:2" x14ac:dyDescent="0.25">
      <c r="A619">
        <v>10921822</v>
      </c>
      <c r="B619" t="s">
        <v>66</v>
      </c>
    </row>
    <row r="620" spans="1:2" x14ac:dyDescent="0.25">
      <c r="A620">
        <v>10721256</v>
      </c>
      <c r="B620" t="s">
        <v>44</v>
      </c>
    </row>
    <row r="621" spans="1:2" x14ac:dyDescent="0.25">
      <c r="A621">
        <v>11728881</v>
      </c>
      <c r="B621" t="s">
        <v>435</v>
      </c>
    </row>
    <row r="622" spans="1:2" x14ac:dyDescent="0.25">
      <c r="A622">
        <v>11766700</v>
      </c>
      <c r="B622" t="s">
        <v>393</v>
      </c>
    </row>
    <row r="623" spans="1:2" x14ac:dyDescent="0.25">
      <c r="A623">
        <v>12006715</v>
      </c>
      <c r="B623" t="s">
        <v>172</v>
      </c>
    </row>
    <row r="624" spans="1:2" x14ac:dyDescent="0.25">
      <c r="A624">
        <v>11277382</v>
      </c>
      <c r="B624" t="s">
        <v>216</v>
      </c>
    </row>
    <row r="625" spans="1:2" x14ac:dyDescent="0.25">
      <c r="A625">
        <v>11797023</v>
      </c>
      <c r="B625" t="s">
        <v>172</v>
      </c>
    </row>
    <row r="626" spans="1:2" x14ac:dyDescent="0.25">
      <c r="A626">
        <v>11544223</v>
      </c>
      <c r="B626" t="s">
        <v>393</v>
      </c>
    </row>
    <row r="627" spans="1:2" x14ac:dyDescent="0.25">
      <c r="A627">
        <v>11769610</v>
      </c>
      <c r="B627" t="s">
        <v>507</v>
      </c>
    </row>
    <row r="628" spans="1:2" x14ac:dyDescent="0.25">
      <c r="A628">
        <v>11391397</v>
      </c>
      <c r="B628" t="s">
        <v>506</v>
      </c>
    </row>
    <row r="629" spans="1:2" x14ac:dyDescent="0.25">
      <c r="A629">
        <v>10816792</v>
      </c>
      <c r="B629" t="s">
        <v>505</v>
      </c>
    </row>
    <row r="630" spans="1:2" x14ac:dyDescent="0.25">
      <c r="A630">
        <v>11019482</v>
      </c>
      <c r="B630" t="s">
        <v>312</v>
      </c>
    </row>
    <row r="631" spans="1:2" x14ac:dyDescent="0.25">
      <c r="A631">
        <v>11393126</v>
      </c>
      <c r="B631" t="s">
        <v>504</v>
      </c>
    </row>
    <row r="632" spans="1:2" x14ac:dyDescent="0.25">
      <c r="A632">
        <v>11320857</v>
      </c>
      <c r="B632" t="s">
        <v>47</v>
      </c>
    </row>
    <row r="633" spans="1:2" x14ac:dyDescent="0.25">
      <c r="A633">
        <v>11109123</v>
      </c>
      <c r="B633" t="s">
        <v>503</v>
      </c>
    </row>
    <row r="634" spans="1:2" x14ac:dyDescent="0.25">
      <c r="A634">
        <v>11706299</v>
      </c>
      <c r="B634" t="s">
        <v>66</v>
      </c>
    </row>
    <row r="635" spans="1:2" x14ac:dyDescent="0.25">
      <c r="A635">
        <v>11560860</v>
      </c>
      <c r="B635" t="s">
        <v>122</v>
      </c>
    </row>
    <row r="636" spans="1:2" x14ac:dyDescent="0.25">
      <c r="A636">
        <v>11346491</v>
      </c>
      <c r="B636" t="s">
        <v>502</v>
      </c>
    </row>
    <row r="637" spans="1:2" x14ac:dyDescent="0.25">
      <c r="A637">
        <v>11876761</v>
      </c>
      <c r="B637" t="s">
        <v>43</v>
      </c>
    </row>
    <row r="638" spans="1:2" x14ac:dyDescent="0.25">
      <c r="A638">
        <v>11559467</v>
      </c>
      <c r="B638" t="s">
        <v>54</v>
      </c>
    </row>
    <row r="639" spans="1:2" x14ac:dyDescent="0.25">
      <c r="A639">
        <v>11223364</v>
      </c>
      <c r="B639" t="s">
        <v>237</v>
      </c>
    </row>
    <row r="640" spans="1:2" x14ac:dyDescent="0.25">
      <c r="A640">
        <v>11406027</v>
      </c>
      <c r="B640" t="s">
        <v>501</v>
      </c>
    </row>
    <row r="641" spans="1:2" x14ac:dyDescent="0.25">
      <c r="A641">
        <v>11623862</v>
      </c>
      <c r="B641" t="s">
        <v>86</v>
      </c>
    </row>
    <row r="642" spans="1:2" x14ac:dyDescent="0.25">
      <c r="A642">
        <v>11556796</v>
      </c>
      <c r="B642" t="s">
        <v>500</v>
      </c>
    </row>
    <row r="643" spans="1:2" x14ac:dyDescent="0.25">
      <c r="A643">
        <v>10621630</v>
      </c>
      <c r="B643" t="s">
        <v>124</v>
      </c>
    </row>
    <row r="644" spans="1:2" x14ac:dyDescent="0.25">
      <c r="A644">
        <v>11048291</v>
      </c>
      <c r="B644" t="s">
        <v>430</v>
      </c>
    </row>
    <row r="645" spans="1:2" x14ac:dyDescent="0.25">
      <c r="A645">
        <v>11707617</v>
      </c>
      <c r="B645" t="s">
        <v>88</v>
      </c>
    </row>
    <row r="646" spans="1:2" x14ac:dyDescent="0.25">
      <c r="A646">
        <v>11407763</v>
      </c>
      <c r="B646" t="s">
        <v>88</v>
      </c>
    </row>
    <row r="647" spans="1:2" x14ac:dyDescent="0.25">
      <c r="A647">
        <v>11905196</v>
      </c>
      <c r="B647" t="s">
        <v>167</v>
      </c>
    </row>
    <row r="648" spans="1:2" x14ac:dyDescent="0.25">
      <c r="A648">
        <v>11495335</v>
      </c>
      <c r="B648" t="s">
        <v>116</v>
      </c>
    </row>
    <row r="649" spans="1:2" x14ac:dyDescent="0.25">
      <c r="A649">
        <v>11390038</v>
      </c>
      <c r="B649" t="s">
        <v>499</v>
      </c>
    </row>
    <row r="650" spans="1:2" x14ac:dyDescent="0.25">
      <c r="A650">
        <v>10626499</v>
      </c>
      <c r="B650" t="s">
        <v>60</v>
      </c>
    </row>
    <row r="651" spans="1:2" x14ac:dyDescent="0.25">
      <c r="A651">
        <v>11608445</v>
      </c>
      <c r="B651" t="s">
        <v>86</v>
      </c>
    </row>
    <row r="652" spans="1:2" x14ac:dyDescent="0.25">
      <c r="A652">
        <v>10784228</v>
      </c>
      <c r="B652" t="s">
        <v>60</v>
      </c>
    </row>
    <row r="653" spans="1:2" x14ac:dyDescent="0.25">
      <c r="A653">
        <v>11607959</v>
      </c>
      <c r="B653" t="s">
        <v>498</v>
      </c>
    </row>
    <row r="654" spans="1:2" x14ac:dyDescent="0.25">
      <c r="A654">
        <v>11559552</v>
      </c>
      <c r="B654" t="s">
        <v>86</v>
      </c>
    </row>
    <row r="655" spans="1:2" x14ac:dyDescent="0.25">
      <c r="A655">
        <v>11607907</v>
      </c>
      <c r="B655" t="s">
        <v>369</v>
      </c>
    </row>
    <row r="656" spans="1:2" x14ac:dyDescent="0.25">
      <c r="A656">
        <v>10703869</v>
      </c>
      <c r="B656" t="s">
        <v>86</v>
      </c>
    </row>
    <row r="657" spans="1:2" x14ac:dyDescent="0.25">
      <c r="A657">
        <v>11891250</v>
      </c>
      <c r="B657" t="s">
        <v>60</v>
      </c>
    </row>
    <row r="658" spans="1:2" x14ac:dyDescent="0.25">
      <c r="A658">
        <v>11407295</v>
      </c>
      <c r="B658" t="s">
        <v>170</v>
      </c>
    </row>
    <row r="659" spans="1:2" x14ac:dyDescent="0.25">
      <c r="A659">
        <v>11022861</v>
      </c>
      <c r="B659" t="s">
        <v>170</v>
      </c>
    </row>
    <row r="660" spans="1:2" x14ac:dyDescent="0.25">
      <c r="A660">
        <v>11578188</v>
      </c>
      <c r="B660" t="s">
        <v>83</v>
      </c>
    </row>
    <row r="661" spans="1:2" x14ac:dyDescent="0.25">
      <c r="A661">
        <v>11783911</v>
      </c>
      <c r="B661" t="s">
        <v>83</v>
      </c>
    </row>
    <row r="662" spans="1:2" x14ac:dyDescent="0.25">
      <c r="A662">
        <v>11857166</v>
      </c>
      <c r="B662" t="s">
        <v>83</v>
      </c>
    </row>
    <row r="663" spans="1:2" x14ac:dyDescent="0.25">
      <c r="A663">
        <v>11026499</v>
      </c>
      <c r="B663" t="s">
        <v>83</v>
      </c>
    </row>
    <row r="664" spans="1:2" x14ac:dyDescent="0.25">
      <c r="A664">
        <v>10919744</v>
      </c>
      <c r="B664" t="s">
        <v>83</v>
      </c>
    </row>
    <row r="665" spans="1:2" x14ac:dyDescent="0.25">
      <c r="A665">
        <v>11423882</v>
      </c>
      <c r="B665" t="s">
        <v>54</v>
      </c>
    </row>
    <row r="666" spans="1:2" x14ac:dyDescent="0.25">
      <c r="A666">
        <v>11395337</v>
      </c>
      <c r="B666" t="s">
        <v>130</v>
      </c>
    </row>
    <row r="667" spans="1:2" x14ac:dyDescent="0.25">
      <c r="A667">
        <v>10578004</v>
      </c>
      <c r="B667" t="s">
        <v>497</v>
      </c>
    </row>
    <row r="668" spans="1:2" x14ac:dyDescent="0.25">
      <c r="A668">
        <v>11630545</v>
      </c>
      <c r="B668" t="s">
        <v>496</v>
      </c>
    </row>
    <row r="669" spans="1:2" x14ac:dyDescent="0.25">
      <c r="A669">
        <v>11348409</v>
      </c>
      <c r="B669" t="s">
        <v>170</v>
      </c>
    </row>
    <row r="670" spans="1:2" x14ac:dyDescent="0.25">
      <c r="A670">
        <v>10708462</v>
      </c>
      <c r="B670" t="s">
        <v>60</v>
      </c>
    </row>
    <row r="671" spans="1:2" x14ac:dyDescent="0.25">
      <c r="A671">
        <v>11606454</v>
      </c>
      <c r="B671" t="s">
        <v>83</v>
      </c>
    </row>
    <row r="672" spans="1:2" x14ac:dyDescent="0.25">
      <c r="A672">
        <v>11543100</v>
      </c>
      <c r="B672" t="s">
        <v>495</v>
      </c>
    </row>
    <row r="673" spans="1:2" x14ac:dyDescent="0.25">
      <c r="A673">
        <v>10876945</v>
      </c>
      <c r="B673" t="s">
        <v>176</v>
      </c>
    </row>
    <row r="674" spans="1:2" x14ac:dyDescent="0.25">
      <c r="A674">
        <v>11562526</v>
      </c>
      <c r="B674" t="s">
        <v>176</v>
      </c>
    </row>
    <row r="675" spans="1:2" x14ac:dyDescent="0.25">
      <c r="A675">
        <v>11552141</v>
      </c>
      <c r="B675" t="s">
        <v>194</v>
      </c>
    </row>
    <row r="676" spans="1:2" x14ac:dyDescent="0.25">
      <c r="A676">
        <v>11645999</v>
      </c>
      <c r="B676" t="s">
        <v>47</v>
      </c>
    </row>
    <row r="677" spans="1:2" x14ac:dyDescent="0.25">
      <c r="A677">
        <v>10809501</v>
      </c>
      <c r="B677" t="s">
        <v>227</v>
      </c>
    </row>
    <row r="678" spans="1:2" x14ac:dyDescent="0.25">
      <c r="A678">
        <v>11734676</v>
      </c>
      <c r="B678" t="s">
        <v>494</v>
      </c>
    </row>
    <row r="679" spans="1:2" x14ac:dyDescent="0.25">
      <c r="A679">
        <v>11667217</v>
      </c>
      <c r="B679" t="s">
        <v>47</v>
      </c>
    </row>
    <row r="680" spans="1:2" x14ac:dyDescent="0.25">
      <c r="A680">
        <v>11698452</v>
      </c>
      <c r="B680" t="s">
        <v>371</v>
      </c>
    </row>
    <row r="681" spans="1:2" x14ac:dyDescent="0.25">
      <c r="A681">
        <v>11104423</v>
      </c>
      <c r="B681" t="s">
        <v>46</v>
      </c>
    </row>
    <row r="682" spans="1:2" x14ac:dyDescent="0.25">
      <c r="A682">
        <v>11089774</v>
      </c>
      <c r="B682" t="s">
        <v>47</v>
      </c>
    </row>
    <row r="683" spans="1:2" x14ac:dyDescent="0.25">
      <c r="A683">
        <v>11772727</v>
      </c>
      <c r="B683" t="s">
        <v>493</v>
      </c>
    </row>
    <row r="684" spans="1:2" x14ac:dyDescent="0.25">
      <c r="A684">
        <v>11556630</v>
      </c>
      <c r="B684" t="s">
        <v>493</v>
      </c>
    </row>
    <row r="685" spans="1:2" x14ac:dyDescent="0.25">
      <c r="A685">
        <v>11630006</v>
      </c>
      <c r="B685" t="s">
        <v>46</v>
      </c>
    </row>
    <row r="686" spans="1:2" x14ac:dyDescent="0.25">
      <c r="A686">
        <v>11562403</v>
      </c>
      <c r="B686" t="s">
        <v>46</v>
      </c>
    </row>
    <row r="687" spans="1:2" x14ac:dyDescent="0.25">
      <c r="A687">
        <v>11621115</v>
      </c>
      <c r="B687" t="s">
        <v>46</v>
      </c>
    </row>
    <row r="688" spans="1:2" x14ac:dyDescent="0.25">
      <c r="A688">
        <v>11382055</v>
      </c>
      <c r="B688" t="s">
        <v>146</v>
      </c>
    </row>
    <row r="689" spans="1:2" x14ac:dyDescent="0.25">
      <c r="A689">
        <v>11664768</v>
      </c>
      <c r="B689" t="s">
        <v>492</v>
      </c>
    </row>
    <row r="690" spans="1:2" x14ac:dyDescent="0.25">
      <c r="A690">
        <v>11948685</v>
      </c>
      <c r="B690" t="s">
        <v>491</v>
      </c>
    </row>
    <row r="691" spans="1:2" x14ac:dyDescent="0.25">
      <c r="A691">
        <v>10937639</v>
      </c>
      <c r="B691" t="s">
        <v>490</v>
      </c>
    </row>
    <row r="692" spans="1:2" x14ac:dyDescent="0.25">
      <c r="A692">
        <v>10931004</v>
      </c>
      <c r="B692" t="s">
        <v>489</v>
      </c>
    </row>
    <row r="693" spans="1:2" x14ac:dyDescent="0.25">
      <c r="A693">
        <v>10838230</v>
      </c>
      <c r="B693" t="s">
        <v>488</v>
      </c>
    </row>
    <row r="694" spans="1:2" x14ac:dyDescent="0.25">
      <c r="A694">
        <v>11710571</v>
      </c>
      <c r="B694" t="s">
        <v>89</v>
      </c>
    </row>
    <row r="695" spans="1:2" x14ac:dyDescent="0.25">
      <c r="A695">
        <v>11403261</v>
      </c>
      <c r="B695" t="s">
        <v>89</v>
      </c>
    </row>
    <row r="696" spans="1:2" x14ac:dyDescent="0.25">
      <c r="A696">
        <v>11027262</v>
      </c>
      <c r="B696" t="s">
        <v>89</v>
      </c>
    </row>
    <row r="697" spans="1:2" x14ac:dyDescent="0.25">
      <c r="A697">
        <v>11812580</v>
      </c>
      <c r="B697" t="s">
        <v>60</v>
      </c>
    </row>
    <row r="698" spans="1:2" x14ac:dyDescent="0.25">
      <c r="A698">
        <v>11670357</v>
      </c>
      <c r="B698" t="s">
        <v>89</v>
      </c>
    </row>
    <row r="699" spans="1:2" x14ac:dyDescent="0.25">
      <c r="A699">
        <v>11456770</v>
      </c>
      <c r="B699" t="s">
        <v>70</v>
      </c>
    </row>
    <row r="700" spans="1:2" x14ac:dyDescent="0.25">
      <c r="A700">
        <v>11383213</v>
      </c>
      <c r="B700" t="s">
        <v>256</v>
      </c>
    </row>
    <row r="701" spans="1:2" x14ac:dyDescent="0.25">
      <c r="A701">
        <v>11593583</v>
      </c>
      <c r="B701" t="s">
        <v>89</v>
      </c>
    </row>
    <row r="702" spans="1:2" x14ac:dyDescent="0.25">
      <c r="A702">
        <v>10700664</v>
      </c>
      <c r="B702" t="s">
        <v>70</v>
      </c>
    </row>
    <row r="703" spans="1:2" x14ac:dyDescent="0.25">
      <c r="A703">
        <v>10835291</v>
      </c>
      <c r="B703" t="s">
        <v>62</v>
      </c>
    </row>
    <row r="704" spans="1:2" x14ac:dyDescent="0.25">
      <c r="A704">
        <v>10849171</v>
      </c>
      <c r="B704" t="s">
        <v>43</v>
      </c>
    </row>
    <row r="705" spans="1:2" x14ac:dyDescent="0.25">
      <c r="A705">
        <v>11310938</v>
      </c>
      <c r="B705" t="s">
        <v>43</v>
      </c>
    </row>
    <row r="706" spans="1:2" x14ac:dyDescent="0.25">
      <c r="A706">
        <v>10931540</v>
      </c>
      <c r="B706" t="s">
        <v>487</v>
      </c>
    </row>
    <row r="707" spans="1:2" x14ac:dyDescent="0.25">
      <c r="A707">
        <v>10940586</v>
      </c>
      <c r="B707" t="s">
        <v>486</v>
      </c>
    </row>
    <row r="708" spans="1:2" x14ac:dyDescent="0.25">
      <c r="A708">
        <v>10848765</v>
      </c>
      <c r="B708" t="s">
        <v>485</v>
      </c>
    </row>
    <row r="709" spans="1:2" x14ac:dyDescent="0.25">
      <c r="A709">
        <v>11942913</v>
      </c>
      <c r="B709" t="s">
        <v>484</v>
      </c>
    </row>
    <row r="710" spans="1:2" x14ac:dyDescent="0.25">
      <c r="A710">
        <v>11708412</v>
      </c>
      <c r="B710" t="s">
        <v>292</v>
      </c>
    </row>
    <row r="711" spans="1:2" x14ac:dyDescent="0.25">
      <c r="A711">
        <v>11407359</v>
      </c>
      <c r="B711" t="s">
        <v>483</v>
      </c>
    </row>
    <row r="712" spans="1:2" x14ac:dyDescent="0.25">
      <c r="A712">
        <v>10889329</v>
      </c>
      <c r="B712" t="s">
        <v>60</v>
      </c>
    </row>
    <row r="713" spans="1:2" x14ac:dyDescent="0.25">
      <c r="A713">
        <v>11725316</v>
      </c>
      <c r="B713" t="s">
        <v>68</v>
      </c>
    </row>
    <row r="714" spans="1:2" x14ac:dyDescent="0.25">
      <c r="A714">
        <v>11543633</v>
      </c>
      <c r="B714" t="s">
        <v>68</v>
      </c>
    </row>
    <row r="715" spans="1:2" x14ac:dyDescent="0.25">
      <c r="A715">
        <v>11405918</v>
      </c>
      <c r="B715" t="s">
        <v>68</v>
      </c>
    </row>
    <row r="716" spans="1:2" x14ac:dyDescent="0.25">
      <c r="A716">
        <v>10957865</v>
      </c>
      <c r="B716" t="s">
        <v>102</v>
      </c>
    </row>
    <row r="717" spans="1:2" x14ac:dyDescent="0.25">
      <c r="A717">
        <v>11543871</v>
      </c>
      <c r="B717" t="s">
        <v>266</v>
      </c>
    </row>
    <row r="718" spans="1:2" x14ac:dyDescent="0.25">
      <c r="A718">
        <v>11427456</v>
      </c>
      <c r="B718" t="s">
        <v>95</v>
      </c>
    </row>
    <row r="719" spans="1:2" x14ac:dyDescent="0.25">
      <c r="A719">
        <v>11300428</v>
      </c>
      <c r="B719" t="s">
        <v>70</v>
      </c>
    </row>
    <row r="720" spans="1:2" x14ac:dyDescent="0.25">
      <c r="A720">
        <v>11870485</v>
      </c>
      <c r="B720" t="s">
        <v>70</v>
      </c>
    </row>
    <row r="721" spans="1:2" x14ac:dyDescent="0.25">
      <c r="A721">
        <v>11828805</v>
      </c>
      <c r="B721" t="s">
        <v>482</v>
      </c>
    </row>
    <row r="722" spans="1:2" x14ac:dyDescent="0.25">
      <c r="A722">
        <v>11116799</v>
      </c>
      <c r="B722" t="s">
        <v>481</v>
      </c>
    </row>
    <row r="723" spans="1:2" x14ac:dyDescent="0.25">
      <c r="A723">
        <v>11593129</v>
      </c>
      <c r="B723" t="s">
        <v>70</v>
      </c>
    </row>
    <row r="724" spans="1:2" x14ac:dyDescent="0.25">
      <c r="A724">
        <v>11483746</v>
      </c>
      <c r="B724" t="s">
        <v>70</v>
      </c>
    </row>
    <row r="725" spans="1:2" x14ac:dyDescent="0.25">
      <c r="A725">
        <v>11037020</v>
      </c>
      <c r="B725" t="s">
        <v>70</v>
      </c>
    </row>
    <row r="726" spans="1:2" x14ac:dyDescent="0.25">
      <c r="A726">
        <v>11300155</v>
      </c>
      <c r="B726" t="s">
        <v>106</v>
      </c>
    </row>
    <row r="727" spans="1:2" x14ac:dyDescent="0.25">
      <c r="A727">
        <v>10817894</v>
      </c>
      <c r="B727" t="s">
        <v>70</v>
      </c>
    </row>
    <row r="728" spans="1:2" x14ac:dyDescent="0.25">
      <c r="A728">
        <v>11282287</v>
      </c>
      <c r="B728" t="s">
        <v>167</v>
      </c>
    </row>
    <row r="729" spans="1:2" x14ac:dyDescent="0.25">
      <c r="A729">
        <v>10964370</v>
      </c>
      <c r="B729" t="s">
        <v>167</v>
      </c>
    </row>
    <row r="730" spans="1:2" x14ac:dyDescent="0.25">
      <c r="A730">
        <v>11396005</v>
      </c>
      <c r="B730" t="s">
        <v>295</v>
      </c>
    </row>
    <row r="731" spans="1:2" x14ac:dyDescent="0.25">
      <c r="A731">
        <v>11397580</v>
      </c>
      <c r="B731" t="s">
        <v>70</v>
      </c>
    </row>
    <row r="732" spans="1:2" x14ac:dyDescent="0.25">
      <c r="A732">
        <v>11916493</v>
      </c>
      <c r="B732" t="s">
        <v>480</v>
      </c>
    </row>
    <row r="733" spans="1:2" x14ac:dyDescent="0.25">
      <c r="A733">
        <v>10619822</v>
      </c>
      <c r="B733" t="s">
        <v>70</v>
      </c>
    </row>
    <row r="734" spans="1:2" x14ac:dyDescent="0.25">
      <c r="A734">
        <v>10877427</v>
      </c>
      <c r="B734" t="s">
        <v>70</v>
      </c>
    </row>
    <row r="735" spans="1:2" x14ac:dyDescent="0.25">
      <c r="A735">
        <v>11262017</v>
      </c>
      <c r="B735" t="s">
        <v>70</v>
      </c>
    </row>
    <row r="736" spans="1:2" x14ac:dyDescent="0.25">
      <c r="A736">
        <v>11546153</v>
      </c>
      <c r="B736" t="s">
        <v>167</v>
      </c>
    </row>
    <row r="737" spans="1:2" x14ac:dyDescent="0.25">
      <c r="A737">
        <v>11890620</v>
      </c>
      <c r="B737" t="s">
        <v>116</v>
      </c>
    </row>
    <row r="738" spans="1:2" x14ac:dyDescent="0.25">
      <c r="A738">
        <v>11965527</v>
      </c>
      <c r="B738" t="s">
        <v>70</v>
      </c>
    </row>
    <row r="739" spans="1:2" x14ac:dyDescent="0.25">
      <c r="A739">
        <v>11242878</v>
      </c>
      <c r="B739" t="s">
        <v>479</v>
      </c>
    </row>
    <row r="740" spans="1:2" x14ac:dyDescent="0.25">
      <c r="A740">
        <v>11725616</v>
      </c>
      <c r="B740" t="s">
        <v>70</v>
      </c>
    </row>
    <row r="741" spans="1:2" x14ac:dyDescent="0.25">
      <c r="A741">
        <v>11858224</v>
      </c>
      <c r="B741" t="s">
        <v>478</v>
      </c>
    </row>
    <row r="742" spans="1:2" x14ac:dyDescent="0.25">
      <c r="A742">
        <v>10612933</v>
      </c>
      <c r="B742" t="s">
        <v>60</v>
      </c>
    </row>
    <row r="743" spans="1:2" x14ac:dyDescent="0.25">
      <c r="A743">
        <v>11790438</v>
      </c>
      <c r="B743" t="s">
        <v>44</v>
      </c>
    </row>
    <row r="744" spans="1:2" x14ac:dyDescent="0.25">
      <c r="A744">
        <v>11394935</v>
      </c>
      <c r="B744" t="s">
        <v>364</v>
      </c>
    </row>
    <row r="745" spans="1:2" x14ac:dyDescent="0.25">
      <c r="A745">
        <v>11981766</v>
      </c>
      <c r="B745" t="s">
        <v>44</v>
      </c>
    </row>
    <row r="746" spans="1:2" x14ac:dyDescent="0.25">
      <c r="A746">
        <v>11592970</v>
      </c>
      <c r="B746" t="s">
        <v>44</v>
      </c>
    </row>
    <row r="747" spans="1:2" x14ac:dyDescent="0.25">
      <c r="A747">
        <v>11124836</v>
      </c>
      <c r="B747" t="s">
        <v>44</v>
      </c>
    </row>
    <row r="748" spans="1:2" x14ac:dyDescent="0.25">
      <c r="A748">
        <v>10849481</v>
      </c>
      <c r="B748" t="s">
        <v>44</v>
      </c>
    </row>
    <row r="749" spans="1:2" x14ac:dyDescent="0.25">
      <c r="A749">
        <v>11667512</v>
      </c>
      <c r="B749" t="s">
        <v>276</v>
      </c>
    </row>
    <row r="750" spans="1:2" x14ac:dyDescent="0.25">
      <c r="A750">
        <v>10596772</v>
      </c>
      <c r="B750" t="s">
        <v>44</v>
      </c>
    </row>
    <row r="751" spans="1:2" x14ac:dyDescent="0.25">
      <c r="A751">
        <v>11001963</v>
      </c>
      <c r="B751" t="s">
        <v>67</v>
      </c>
    </row>
    <row r="752" spans="1:2" x14ac:dyDescent="0.25">
      <c r="A752">
        <v>11738374</v>
      </c>
      <c r="B752" t="s">
        <v>67</v>
      </c>
    </row>
    <row r="753" spans="1:2" x14ac:dyDescent="0.25">
      <c r="A753">
        <v>10633197</v>
      </c>
      <c r="B753" t="s">
        <v>44</v>
      </c>
    </row>
    <row r="754" spans="1:2" x14ac:dyDescent="0.25">
      <c r="A754">
        <v>11918945</v>
      </c>
      <c r="B754" t="s">
        <v>44</v>
      </c>
    </row>
    <row r="755" spans="1:2" x14ac:dyDescent="0.25">
      <c r="A755">
        <v>11936527</v>
      </c>
      <c r="B755" t="s">
        <v>189</v>
      </c>
    </row>
    <row r="756" spans="1:2" x14ac:dyDescent="0.25">
      <c r="A756">
        <v>11327939</v>
      </c>
      <c r="B756" t="s">
        <v>70</v>
      </c>
    </row>
    <row r="757" spans="1:2" x14ac:dyDescent="0.25">
      <c r="A757">
        <v>11737167</v>
      </c>
      <c r="B757" t="s">
        <v>70</v>
      </c>
    </row>
    <row r="758" spans="1:2" x14ac:dyDescent="0.25">
      <c r="A758">
        <v>11632926</v>
      </c>
      <c r="B758" t="s">
        <v>44</v>
      </c>
    </row>
    <row r="759" spans="1:2" x14ac:dyDescent="0.25">
      <c r="A759">
        <v>11941801</v>
      </c>
      <c r="B759" t="s">
        <v>47</v>
      </c>
    </row>
    <row r="760" spans="1:2" x14ac:dyDescent="0.25">
      <c r="A760">
        <v>11215699</v>
      </c>
      <c r="B760" t="s">
        <v>67</v>
      </c>
    </row>
    <row r="761" spans="1:2" x14ac:dyDescent="0.25">
      <c r="A761">
        <v>10816822</v>
      </c>
      <c r="B761" t="s">
        <v>208</v>
      </c>
    </row>
    <row r="762" spans="1:2" x14ac:dyDescent="0.25">
      <c r="A762">
        <v>10821010</v>
      </c>
      <c r="B762" t="s">
        <v>208</v>
      </c>
    </row>
    <row r="763" spans="1:2" x14ac:dyDescent="0.25">
      <c r="A763">
        <v>11037348</v>
      </c>
      <c r="B763" t="s">
        <v>44</v>
      </c>
    </row>
    <row r="764" spans="1:2" x14ac:dyDescent="0.25">
      <c r="A764">
        <v>10823699</v>
      </c>
      <c r="B764" t="s">
        <v>44</v>
      </c>
    </row>
    <row r="765" spans="1:2" x14ac:dyDescent="0.25">
      <c r="A765">
        <v>10852630</v>
      </c>
      <c r="B765" t="s">
        <v>44</v>
      </c>
    </row>
    <row r="766" spans="1:2" x14ac:dyDescent="0.25">
      <c r="A766">
        <v>10973177</v>
      </c>
      <c r="B766" t="s">
        <v>238</v>
      </c>
    </row>
    <row r="767" spans="1:2" x14ac:dyDescent="0.25">
      <c r="A767">
        <v>10638310</v>
      </c>
      <c r="B767" t="s">
        <v>477</v>
      </c>
    </row>
    <row r="768" spans="1:2" x14ac:dyDescent="0.25">
      <c r="A768">
        <v>11087312</v>
      </c>
      <c r="B768" t="s">
        <v>44</v>
      </c>
    </row>
    <row r="769" spans="1:2" x14ac:dyDescent="0.25">
      <c r="A769">
        <v>11307145</v>
      </c>
      <c r="B769" t="s">
        <v>217</v>
      </c>
    </row>
    <row r="770" spans="1:2" x14ac:dyDescent="0.25">
      <c r="A770">
        <v>11831700</v>
      </c>
      <c r="B770" t="s">
        <v>44</v>
      </c>
    </row>
    <row r="771" spans="1:2" x14ac:dyDescent="0.25">
      <c r="A771">
        <v>11983924</v>
      </c>
      <c r="B771" t="s">
        <v>44</v>
      </c>
    </row>
    <row r="772" spans="1:2" x14ac:dyDescent="0.25">
      <c r="A772">
        <v>11560028</v>
      </c>
      <c r="B772" t="s">
        <v>44</v>
      </c>
    </row>
    <row r="773" spans="1:2" x14ac:dyDescent="0.25">
      <c r="A773">
        <v>11676977</v>
      </c>
      <c r="B773" t="s">
        <v>238</v>
      </c>
    </row>
    <row r="774" spans="1:2" x14ac:dyDescent="0.25">
      <c r="A774">
        <v>11425569</v>
      </c>
      <c r="B774" t="s">
        <v>67</v>
      </c>
    </row>
    <row r="775" spans="1:2" x14ac:dyDescent="0.25">
      <c r="A775">
        <v>11719955</v>
      </c>
      <c r="B775" t="s">
        <v>44</v>
      </c>
    </row>
    <row r="776" spans="1:2" x14ac:dyDescent="0.25">
      <c r="A776">
        <v>11424802</v>
      </c>
      <c r="B776" t="s">
        <v>67</v>
      </c>
    </row>
    <row r="777" spans="1:2" x14ac:dyDescent="0.25">
      <c r="A777">
        <v>11340180</v>
      </c>
      <c r="B777" t="s">
        <v>47</v>
      </c>
    </row>
    <row r="778" spans="1:2" x14ac:dyDescent="0.25">
      <c r="A778">
        <v>11562993</v>
      </c>
      <c r="B778" t="s">
        <v>44</v>
      </c>
    </row>
    <row r="779" spans="1:2" x14ac:dyDescent="0.25">
      <c r="A779">
        <v>11557518</v>
      </c>
      <c r="B779" t="s">
        <v>44</v>
      </c>
    </row>
    <row r="780" spans="1:2" x14ac:dyDescent="0.25">
      <c r="A780">
        <v>10624287</v>
      </c>
      <c r="B780" t="s">
        <v>44</v>
      </c>
    </row>
    <row r="781" spans="1:2" x14ac:dyDescent="0.25">
      <c r="A781">
        <v>10630515</v>
      </c>
      <c r="B781" t="s">
        <v>47</v>
      </c>
    </row>
    <row r="782" spans="1:2" x14ac:dyDescent="0.25">
      <c r="A782">
        <v>10977553</v>
      </c>
      <c r="B782" t="s">
        <v>176</v>
      </c>
    </row>
    <row r="783" spans="1:2" x14ac:dyDescent="0.25">
      <c r="A783">
        <v>11996368</v>
      </c>
      <c r="B783" t="s">
        <v>44</v>
      </c>
    </row>
    <row r="784" spans="1:2" x14ac:dyDescent="0.25">
      <c r="A784">
        <v>11703261</v>
      </c>
      <c r="B784" t="s">
        <v>44</v>
      </c>
    </row>
    <row r="785" spans="1:2" x14ac:dyDescent="0.25">
      <c r="A785">
        <v>10757007</v>
      </c>
      <c r="B785" t="s">
        <v>95</v>
      </c>
    </row>
    <row r="786" spans="1:2" x14ac:dyDescent="0.25">
      <c r="A786">
        <v>11419493</v>
      </c>
      <c r="B786" t="s">
        <v>102</v>
      </c>
    </row>
    <row r="787" spans="1:2" x14ac:dyDescent="0.25">
      <c r="A787">
        <v>11426562</v>
      </c>
      <c r="B787" t="s">
        <v>162</v>
      </c>
    </row>
    <row r="788" spans="1:2" x14ac:dyDescent="0.25">
      <c r="A788">
        <v>11445400</v>
      </c>
      <c r="B788" t="s">
        <v>70</v>
      </c>
    </row>
    <row r="789" spans="1:2" x14ac:dyDescent="0.25">
      <c r="A789">
        <v>11602153</v>
      </c>
      <c r="B789" t="s">
        <v>476</v>
      </c>
    </row>
    <row r="790" spans="1:2" x14ac:dyDescent="0.25">
      <c r="A790">
        <v>11557701</v>
      </c>
      <c r="B790" t="s">
        <v>54</v>
      </c>
    </row>
    <row r="791" spans="1:2" x14ac:dyDescent="0.25">
      <c r="A791">
        <v>11283789</v>
      </c>
      <c r="B791" t="s">
        <v>475</v>
      </c>
    </row>
    <row r="792" spans="1:2" x14ac:dyDescent="0.25">
      <c r="A792">
        <v>11488783</v>
      </c>
      <c r="B792" t="s">
        <v>63</v>
      </c>
    </row>
    <row r="793" spans="1:2" x14ac:dyDescent="0.25">
      <c r="A793">
        <v>11698506</v>
      </c>
      <c r="B793" t="s">
        <v>467</v>
      </c>
    </row>
    <row r="794" spans="1:2" x14ac:dyDescent="0.25">
      <c r="A794">
        <v>11709366</v>
      </c>
      <c r="B794" t="s">
        <v>44</v>
      </c>
    </row>
    <row r="795" spans="1:2" x14ac:dyDescent="0.25">
      <c r="A795">
        <v>11212439</v>
      </c>
      <c r="B795" t="s">
        <v>474</v>
      </c>
    </row>
    <row r="796" spans="1:2" x14ac:dyDescent="0.25">
      <c r="A796">
        <v>11642661</v>
      </c>
      <c r="B796" t="s">
        <v>473</v>
      </c>
    </row>
    <row r="797" spans="1:2" x14ac:dyDescent="0.25">
      <c r="A797">
        <v>11743421</v>
      </c>
      <c r="B797" t="s">
        <v>47</v>
      </c>
    </row>
    <row r="798" spans="1:2" x14ac:dyDescent="0.25">
      <c r="A798">
        <v>11482056</v>
      </c>
      <c r="B798" t="s">
        <v>102</v>
      </c>
    </row>
    <row r="799" spans="1:2" x14ac:dyDescent="0.25">
      <c r="A799">
        <v>11561488</v>
      </c>
      <c r="B799" t="s">
        <v>95</v>
      </c>
    </row>
    <row r="800" spans="1:2" x14ac:dyDescent="0.25">
      <c r="A800">
        <v>11559549</v>
      </c>
      <c r="B800" t="s">
        <v>47</v>
      </c>
    </row>
    <row r="801" spans="1:2" x14ac:dyDescent="0.25">
      <c r="A801">
        <v>11557319</v>
      </c>
      <c r="B801" t="s">
        <v>46</v>
      </c>
    </row>
    <row r="802" spans="1:2" x14ac:dyDescent="0.25">
      <c r="A802">
        <v>11557408</v>
      </c>
      <c r="B802" t="s">
        <v>222</v>
      </c>
    </row>
    <row r="803" spans="1:2" x14ac:dyDescent="0.25">
      <c r="A803">
        <v>11865530</v>
      </c>
      <c r="B803" t="s">
        <v>235</v>
      </c>
    </row>
    <row r="804" spans="1:2" x14ac:dyDescent="0.25">
      <c r="A804">
        <v>11114472</v>
      </c>
      <c r="B804" t="s">
        <v>291</v>
      </c>
    </row>
    <row r="805" spans="1:2" x14ac:dyDescent="0.25">
      <c r="A805">
        <v>11469928</v>
      </c>
      <c r="B805" t="s">
        <v>70</v>
      </c>
    </row>
    <row r="806" spans="1:2" x14ac:dyDescent="0.25">
      <c r="A806">
        <v>10957709</v>
      </c>
      <c r="B806" t="s">
        <v>164</v>
      </c>
    </row>
    <row r="807" spans="1:2" x14ac:dyDescent="0.25">
      <c r="A807">
        <v>11387888</v>
      </c>
      <c r="B807" t="s">
        <v>472</v>
      </c>
    </row>
    <row r="808" spans="1:2" x14ac:dyDescent="0.25">
      <c r="A808">
        <v>11381518</v>
      </c>
      <c r="B808" t="s">
        <v>46</v>
      </c>
    </row>
    <row r="809" spans="1:2" x14ac:dyDescent="0.25">
      <c r="A809">
        <v>11787596</v>
      </c>
      <c r="B809" t="s">
        <v>54</v>
      </c>
    </row>
    <row r="810" spans="1:2" x14ac:dyDescent="0.25">
      <c r="A810">
        <v>11725595</v>
      </c>
      <c r="B810" t="s">
        <v>392</v>
      </c>
    </row>
    <row r="811" spans="1:2" x14ac:dyDescent="0.25">
      <c r="A811">
        <v>11881003</v>
      </c>
      <c r="B811" t="s">
        <v>471</v>
      </c>
    </row>
    <row r="812" spans="1:2" x14ac:dyDescent="0.25">
      <c r="A812">
        <v>11707025</v>
      </c>
      <c r="B812" t="s">
        <v>102</v>
      </c>
    </row>
    <row r="813" spans="1:2" x14ac:dyDescent="0.25">
      <c r="A813">
        <v>11404639</v>
      </c>
      <c r="B813" t="s">
        <v>404</v>
      </c>
    </row>
    <row r="814" spans="1:2" x14ac:dyDescent="0.25">
      <c r="A814">
        <v>11387718</v>
      </c>
      <c r="B814" t="s">
        <v>457</v>
      </c>
    </row>
    <row r="815" spans="1:2" x14ac:dyDescent="0.25">
      <c r="A815">
        <v>11357327</v>
      </c>
      <c r="B815" t="s">
        <v>66</v>
      </c>
    </row>
    <row r="816" spans="1:2" x14ac:dyDescent="0.25">
      <c r="A816">
        <v>11348504</v>
      </c>
      <c r="B816" t="s">
        <v>46</v>
      </c>
    </row>
    <row r="817" spans="1:2" x14ac:dyDescent="0.25">
      <c r="A817">
        <v>11406856</v>
      </c>
      <c r="B817" t="s">
        <v>47</v>
      </c>
    </row>
    <row r="818" spans="1:2" x14ac:dyDescent="0.25">
      <c r="A818">
        <v>11406089</v>
      </c>
      <c r="B818" t="s">
        <v>470</v>
      </c>
    </row>
    <row r="819" spans="1:2" x14ac:dyDescent="0.25">
      <c r="A819">
        <v>11697953</v>
      </c>
      <c r="B819" t="s">
        <v>54</v>
      </c>
    </row>
    <row r="820" spans="1:2" x14ac:dyDescent="0.25">
      <c r="A820">
        <v>11267627</v>
      </c>
      <c r="B820" t="s">
        <v>258</v>
      </c>
    </row>
    <row r="821" spans="1:2" x14ac:dyDescent="0.25">
      <c r="A821">
        <v>11299805</v>
      </c>
      <c r="B821" t="s">
        <v>68</v>
      </c>
    </row>
    <row r="822" spans="1:2" x14ac:dyDescent="0.25">
      <c r="A822">
        <v>11290394</v>
      </c>
      <c r="B822" t="s">
        <v>102</v>
      </c>
    </row>
    <row r="823" spans="1:2" x14ac:dyDescent="0.25">
      <c r="A823">
        <v>11659177</v>
      </c>
      <c r="B823" t="s">
        <v>131</v>
      </c>
    </row>
    <row r="824" spans="1:2" x14ac:dyDescent="0.25">
      <c r="A824">
        <v>11595858</v>
      </c>
      <c r="B824" t="s">
        <v>469</v>
      </c>
    </row>
    <row r="825" spans="1:2" x14ac:dyDescent="0.25">
      <c r="A825">
        <v>11939374</v>
      </c>
      <c r="B825" t="s">
        <v>47</v>
      </c>
    </row>
    <row r="826" spans="1:2" x14ac:dyDescent="0.25">
      <c r="A826">
        <v>11890180</v>
      </c>
      <c r="B826" t="s">
        <v>355</v>
      </c>
    </row>
    <row r="827" spans="1:2" x14ac:dyDescent="0.25">
      <c r="A827">
        <v>11933244</v>
      </c>
      <c r="B827" t="s">
        <v>468</v>
      </c>
    </row>
    <row r="828" spans="1:2" x14ac:dyDescent="0.25">
      <c r="A828">
        <v>11020867</v>
      </c>
      <c r="B828" t="s">
        <v>467</v>
      </c>
    </row>
    <row r="829" spans="1:2" x14ac:dyDescent="0.25">
      <c r="A829">
        <v>10983811</v>
      </c>
      <c r="B829" t="s">
        <v>466</v>
      </c>
    </row>
    <row r="830" spans="1:2" x14ac:dyDescent="0.25">
      <c r="A830">
        <v>11001895</v>
      </c>
      <c r="B830" t="s">
        <v>465</v>
      </c>
    </row>
    <row r="831" spans="1:2" x14ac:dyDescent="0.25">
      <c r="A831">
        <v>11001917</v>
      </c>
      <c r="B831" t="s">
        <v>465</v>
      </c>
    </row>
    <row r="832" spans="1:2" x14ac:dyDescent="0.25">
      <c r="A832">
        <v>11345811</v>
      </c>
      <c r="B832" t="s">
        <v>44</v>
      </c>
    </row>
    <row r="833" spans="1:2" x14ac:dyDescent="0.25">
      <c r="A833">
        <v>11348445</v>
      </c>
      <c r="B833" t="s">
        <v>258</v>
      </c>
    </row>
    <row r="834" spans="1:2" x14ac:dyDescent="0.25">
      <c r="A834">
        <v>11272040</v>
      </c>
      <c r="B834" t="s">
        <v>88</v>
      </c>
    </row>
    <row r="835" spans="1:2" x14ac:dyDescent="0.25">
      <c r="A835">
        <v>11263319</v>
      </c>
      <c r="B835" t="s">
        <v>47</v>
      </c>
    </row>
    <row r="836" spans="1:2" x14ac:dyDescent="0.25">
      <c r="A836">
        <v>11434164</v>
      </c>
      <c r="B836" t="s">
        <v>47</v>
      </c>
    </row>
    <row r="837" spans="1:2" x14ac:dyDescent="0.25">
      <c r="A837">
        <v>11443744</v>
      </c>
      <c r="B837" t="s">
        <v>70</v>
      </c>
    </row>
    <row r="838" spans="1:2" x14ac:dyDescent="0.25">
      <c r="A838">
        <v>11391560</v>
      </c>
      <c r="B838" t="s">
        <v>186</v>
      </c>
    </row>
    <row r="839" spans="1:2" x14ac:dyDescent="0.25">
      <c r="A839">
        <v>11561463</v>
      </c>
      <c r="B839" t="s">
        <v>47</v>
      </c>
    </row>
    <row r="840" spans="1:2" x14ac:dyDescent="0.25">
      <c r="A840">
        <v>11569316</v>
      </c>
      <c r="B840" t="s">
        <v>464</v>
      </c>
    </row>
    <row r="841" spans="1:2" x14ac:dyDescent="0.25">
      <c r="A841">
        <v>11570077</v>
      </c>
      <c r="B841" t="s">
        <v>275</v>
      </c>
    </row>
    <row r="842" spans="1:2" x14ac:dyDescent="0.25">
      <c r="A842">
        <v>11571867</v>
      </c>
      <c r="B842" t="s">
        <v>66</v>
      </c>
    </row>
    <row r="843" spans="1:2" x14ac:dyDescent="0.25">
      <c r="A843">
        <v>11563069</v>
      </c>
      <c r="B843" t="s">
        <v>207</v>
      </c>
    </row>
    <row r="844" spans="1:2" x14ac:dyDescent="0.25">
      <c r="A844">
        <v>11345572</v>
      </c>
      <c r="B844" t="s">
        <v>54</v>
      </c>
    </row>
    <row r="845" spans="1:2" x14ac:dyDescent="0.25">
      <c r="A845">
        <v>11446953</v>
      </c>
      <c r="B845" t="s">
        <v>47</v>
      </c>
    </row>
    <row r="846" spans="1:2" x14ac:dyDescent="0.25">
      <c r="A846">
        <v>11631896</v>
      </c>
      <c r="B846" t="s">
        <v>227</v>
      </c>
    </row>
    <row r="847" spans="1:2" x14ac:dyDescent="0.25">
      <c r="A847">
        <v>10701390</v>
      </c>
      <c r="B847" t="s">
        <v>411</v>
      </c>
    </row>
    <row r="848" spans="1:2" x14ac:dyDescent="0.25">
      <c r="A848">
        <v>11578041</v>
      </c>
      <c r="B848" t="s">
        <v>463</v>
      </c>
    </row>
    <row r="849" spans="1:2" x14ac:dyDescent="0.25">
      <c r="A849">
        <v>11557827</v>
      </c>
      <c r="B849" t="s">
        <v>47</v>
      </c>
    </row>
    <row r="850" spans="1:2" x14ac:dyDescent="0.25">
      <c r="A850">
        <v>11406061</v>
      </c>
      <c r="B850" t="s">
        <v>47</v>
      </c>
    </row>
    <row r="851" spans="1:2" x14ac:dyDescent="0.25">
      <c r="A851">
        <v>12003726</v>
      </c>
      <c r="B851" t="s">
        <v>46</v>
      </c>
    </row>
    <row r="852" spans="1:2" x14ac:dyDescent="0.25">
      <c r="A852">
        <v>11915277</v>
      </c>
      <c r="B852" t="s">
        <v>276</v>
      </c>
    </row>
    <row r="853" spans="1:2" x14ac:dyDescent="0.25">
      <c r="A853">
        <v>11927936</v>
      </c>
      <c r="B853" t="s">
        <v>462</v>
      </c>
    </row>
    <row r="854" spans="1:2" x14ac:dyDescent="0.25">
      <c r="A854">
        <v>11722345</v>
      </c>
      <c r="B854" t="s">
        <v>60</v>
      </c>
    </row>
    <row r="855" spans="1:2" x14ac:dyDescent="0.25">
      <c r="A855">
        <v>11118407</v>
      </c>
      <c r="B855" t="s">
        <v>70</v>
      </c>
    </row>
    <row r="856" spans="1:2" x14ac:dyDescent="0.25">
      <c r="A856">
        <v>11546605</v>
      </c>
      <c r="B856" t="s">
        <v>461</v>
      </c>
    </row>
    <row r="857" spans="1:2" x14ac:dyDescent="0.25">
      <c r="A857">
        <v>11556974</v>
      </c>
      <c r="B857" t="s">
        <v>460</v>
      </c>
    </row>
    <row r="858" spans="1:2" x14ac:dyDescent="0.25">
      <c r="A858">
        <v>11551951</v>
      </c>
      <c r="B858" t="s">
        <v>398</v>
      </c>
    </row>
    <row r="859" spans="1:2" x14ac:dyDescent="0.25">
      <c r="A859">
        <v>11607906</v>
      </c>
      <c r="B859" t="s">
        <v>46</v>
      </c>
    </row>
    <row r="860" spans="1:2" x14ac:dyDescent="0.25">
      <c r="A860">
        <v>11555511</v>
      </c>
      <c r="B860" t="s">
        <v>168</v>
      </c>
    </row>
    <row r="861" spans="1:2" x14ac:dyDescent="0.25">
      <c r="A861">
        <v>11406696</v>
      </c>
      <c r="B861" t="s">
        <v>459</v>
      </c>
    </row>
    <row r="862" spans="1:2" x14ac:dyDescent="0.25">
      <c r="A862">
        <v>11611688</v>
      </c>
      <c r="B862" t="s">
        <v>268</v>
      </c>
    </row>
    <row r="863" spans="1:2" x14ac:dyDescent="0.25">
      <c r="A863">
        <v>10803906</v>
      </c>
      <c r="B863" t="s">
        <v>102</v>
      </c>
    </row>
    <row r="864" spans="1:2" x14ac:dyDescent="0.25">
      <c r="A864">
        <v>11578096</v>
      </c>
      <c r="B864" t="s">
        <v>458</v>
      </c>
    </row>
    <row r="865" spans="1:2" x14ac:dyDescent="0.25">
      <c r="A865">
        <v>11397768</v>
      </c>
      <c r="B865" t="s">
        <v>102</v>
      </c>
    </row>
    <row r="866" spans="1:2" x14ac:dyDescent="0.25">
      <c r="A866">
        <v>11577519</v>
      </c>
      <c r="B866" t="s">
        <v>457</v>
      </c>
    </row>
    <row r="867" spans="1:2" x14ac:dyDescent="0.25">
      <c r="A867">
        <v>11543483</v>
      </c>
      <c r="B867" t="s">
        <v>456</v>
      </c>
    </row>
    <row r="868" spans="1:2" x14ac:dyDescent="0.25">
      <c r="A868">
        <v>11543243</v>
      </c>
      <c r="B868" t="s">
        <v>455</v>
      </c>
    </row>
    <row r="869" spans="1:2" x14ac:dyDescent="0.25">
      <c r="A869">
        <v>11410871</v>
      </c>
      <c r="B869" t="s">
        <v>454</v>
      </c>
    </row>
    <row r="870" spans="1:2" x14ac:dyDescent="0.25">
      <c r="A870">
        <v>11438527</v>
      </c>
      <c r="B870" t="s">
        <v>96</v>
      </c>
    </row>
    <row r="871" spans="1:2" x14ac:dyDescent="0.25">
      <c r="A871">
        <v>11912313</v>
      </c>
      <c r="B871" t="s">
        <v>96</v>
      </c>
    </row>
    <row r="872" spans="1:2" x14ac:dyDescent="0.25">
      <c r="A872">
        <v>11450954</v>
      </c>
      <c r="B872" t="s">
        <v>96</v>
      </c>
    </row>
    <row r="873" spans="1:2" x14ac:dyDescent="0.25">
      <c r="A873">
        <v>11983393</v>
      </c>
      <c r="B873" t="s">
        <v>96</v>
      </c>
    </row>
    <row r="874" spans="1:2" x14ac:dyDescent="0.25">
      <c r="A874">
        <v>10848825</v>
      </c>
      <c r="B874" t="s">
        <v>272</v>
      </c>
    </row>
    <row r="875" spans="1:2" x14ac:dyDescent="0.25">
      <c r="A875">
        <v>10945780</v>
      </c>
      <c r="B875" t="s">
        <v>453</v>
      </c>
    </row>
    <row r="876" spans="1:2" x14ac:dyDescent="0.25">
      <c r="A876">
        <v>11557930</v>
      </c>
      <c r="B876" t="s">
        <v>47</v>
      </c>
    </row>
    <row r="877" spans="1:2" x14ac:dyDescent="0.25">
      <c r="A877">
        <v>11537969</v>
      </c>
      <c r="B877" t="s">
        <v>47</v>
      </c>
    </row>
    <row r="878" spans="1:2" x14ac:dyDescent="0.25">
      <c r="A878">
        <v>11363349</v>
      </c>
      <c r="B878" t="s">
        <v>54</v>
      </c>
    </row>
    <row r="879" spans="1:2" x14ac:dyDescent="0.25">
      <c r="A879">
        <v>11266152</v>
      </c>
      <c r="B879" t="s">
        <v>66</v>
      </c>
    </row>
    <row r="880" spans="1:2" x14ac:dyDescent="0.25">
      <c r="A880">
        <v>11299097</v>
      </c>
      <c r="B880" t="s">
        <v>452</v>
      </c>
    </row>
    <row r="881" spans="1:2" x14ac:dyDescent="0.25">
      <c r="A881">
        <v>10965606</v>
      </c>
      <c r="B881" t="s">
        <v>451</v>
      </c>
    </row>
    <row r="882" spans="1:2" x14ac:dyDescent="0.25">
      <c r="A882">
        <v>10923624</v>
      </c>
      <c r="B882" t="s">
        <v>285</v>
      </c>
    </row>
    <row r="883" spans="1:2" x14ac:dyDescent="0.25">
      <c r="A883">
        <v>10935352</v>
      </c>
      <c r="B883" t="s">
        <v>60</v>
      </c>
    </row>
    <row r="884" spans="1:2" x14ac:dyDescent="0.25">
      <c r="A884">
        <v>10948184</v>
      </c>
      <c r="B884" t="s">
        <v>60</v>
      </c>
    </row>
    <row r="885" spans="1:2" x14ac:dyDescent="0.25">
      <c r="A885">
        <v>10724396</v>
      </c>
      <c r="B885" t="s">
        <v>121</v>
      </c>
    </row>
    <row r="886" spans="1:2" x14ac:dyDescent="0.25">
      <c r="A886">
        <v>10748632</v>
      </c>
      <c r="B886" t="s">
        <v>450</v>
      </c>
    </row>
    <row r="887" spans="1:2" x14ac:dyDescent="0.25">
      <c r="A887">
        <v>10892112</v>
      </c>
      <c r="B887" t="s">
        <v>449</v>
      </c>
    </row>
    <row r="888" spans="1:2" x14ac:dyDescent="0.25">
      <c r="A888">
        <v>10878619</v>
      </c>
      <c r="B888" t="s">
        <v>46</v>
      </c>
    </row>
    <row r="889" spans="1:2" x14ac:dyDescent="0.25">
      <c r="A889">
        <v>10804208</v>
      </c>
      <c r="B889" t="s">
        <v>54</v>
      </c>
    </row>
    <row r="890" spans="1:2" x14ac:dyDescent="0.25">
      <c r="A890">
        <v>10818064</v>
      </c>
      <c r="B890" t="s">
        <v>448</v>
      </c>
    </row>
    <row r="891" spans="1:2" x14ac:dyDescent="0.25">
      <c r="A891">
        <v>10835424</v>
      </c>
      <c r="B891" t="s">
        <v>184</v>
      </c>
    </row>
    <row r="892" spans="1:2" x14ac:dyDescent="0.25">
      <c r="A892">
        <v>10731532</v>
      </c>
      <c r="B892" t="s">
        <v>447</v>
      </c>
    </row>
    <row r="893" spans="1:2" x14ac:dyDescent="0.25">
      <c r="A893">
        <v>11890015</v>
      </c>
      <c r="B893" t="s">
        <v>116</v>
      </c>
    </row>
    <row r="894" spans="1:2" x14ac:dyDescent="0.25">
      <c r="A894">
        <v>11715288</v>
      </c>
      <c r="B894" t="s">
        <v>47</v>
      </c>
    </row>
    <row r="895" spans="1:2" x14ac:dyDescent="0.25">
      <c r="A895">
        <v>11723147</v>
      </c>
      <c r="B895" t="s">
        <v>164</v>
      </c>
    </row>
    <row r="896" spans="1:2" x14ac:dyDescent="0.25">
      <c r="A896">
        <v>11711387</v>
      </c>
      <c r="B896" t="s">
        <v>446</v>
      </c>
    </row>
    <row r="897" spans="1:2" x14ac:dyDescent="0.25">
      <c r="A897">
        <v>11611514</v>
      </c>
      <c r="B897" t="s">
        <v>92</v>
      </c>
    </row>
    <row r="898" spans="1:2" x14ac:dyDescent="0.25">
      <c r="A898">
        <v>11508898</v>
      </c>
      <c r="B898" t="s">
        <v>67</v>
      </c>
    </row>
    <row r="899" spans="1:2" x14ac:dyDescent="0.25">
      <c r="A899">
        <v>11274543</v>
      </c>
      <c r="B899" t="s">
        <v>82</v>
      </c>
    </row>
    <row r="900" spans="1:2" x14ac:dyDescent="0.25">
      <c r="A900">
        <v>11298995</v>
      </c>
      <c r="B900" t="s">
        <v>47</v>
      </c>
    </row>
    <row r="901" spans="1:2" x14ac:dyDescent="0.25">
      <c r="A901">
        <v>11325600</v>
      </c>
      <c r="B901" t="s">
        <v>68</v>
      </c>
    </row>
    <row r="902" spans="1:2" x14ac:dyDescent="0.25">
      <c r="A902">
        <v>11008042</v>
      </c>
      <c r="B902" t="s">
        <v>445</v>
      </c>
    </row>
    <row r="903" spans="1:2" x14ac:dyDescent="0.25">
      <c r="A903">
        <v>11035343</v>
      </c>
      <c r="B903" t="s">
        <v>52</v>
      </c>
    </row>
    <row r="904" spans="1:2" x14ac:dyDescent="0.25">
      <c r="A904">
        <v>11036625</v>
      </c>
      <c r="B904" t="s">
        <v>70</v>
      </c>
    </row>
    <row r="905" spans="1:2" x14ac:dyDescent="0.25">
      <c r="A905">
        <v>10802698</v>
      </c>
      <c r="B905" t="s">
        <v>45</v>
      </c>
    </row>
    <row r="906" spans="1:2" x14ac:dyDescent="0.25">
      <c r="A906">
        <v>10763288</v>
      </c>
      <c r="B906" t="s">
        <v>66</v>
      </c>
    </row>
    <row r="907" spans="1:2" x14ac:dyDescent="0.25">
      <c r="A907">
        <v>10767538</v>
      </c>
      <c r="B907" t="s">
        <v>173</v>
      </c>
    </row>
    <row r="908" spans="1:2" x14ac:dyDescent="0.25">
      <c r="A908">
        <v>11591609</v>
      </c>
      <c r="B908" t="s">
        <v>102</v>
      </c>
    </row>
    <row r="909" spans="1:2" x14ac:dyDescent="0.25">
      <c r="A909">
        <v>11348297</v>
      </c>
      <c r="B909" t="s">
        <v>102</v>
      </c>
    </row>
    <row r="910" spans="1:2" x14ac:dyDescent="0.25">
      <c r="A910">
        <v>11944614</v>
      </c>
      <c r="B910" t="s">
        <v>102</v>
      </c>
    </row>
    <row r="911" spans="1:2" x14ac:dyDescent="0.25">
      <c r="A911">
        <v>11711379</v>
      </c>
      <c r="B911" t="s">
        <v>102</v>
      </c>
    </row>
    <row r="912" spans="1:2" x14ac:dyDescent="0.25">
      <c r="A912">
        <v>10955275</v>
      </c>
      <c r="B912" t="s">
        <v>415</v>
      </c>
    </row>
    <row r="913" spans="1:2" x14ac:dyDescent="0.25">
      <c r="A913">
        <v>11712731</v>
      </c>
      <c r="B913" t="s">
        <v>102</v>
      </c>
    </row>
    <row r="914" spans="1:2" x14ac:dyDescent="0.25">
      <c r="A914">
        <v>11590342</v>
      </c>
      <c r="B914" t="s">
        <v>102</v>
      </c>
    </row>
    <row r="915" spans="1:2" x14ac:dyDescent="0.25">
      <c r="A915">
        <v>11348238</v>
      </c>
      <c r="B915" t="s">
        <v>45</v>
      </c>
    </row>
    <row r="916" spans="1:2" x14ac:dyDescent="0.25">
      <c r="A916">
        <v>11622938</v>
      </c>
      <c r="B916" t="s">
        <v>45</v>
      </c>
    </row>
    <row r="917" spans="1:2" x14ac:dyDescent="0.25">
      <c r="A917">
        <v>10573098</v>
      </c>
      <c r="B917" t="s">
        <v>45</v>
      </c>
    </row>
    <row r="918" spans="1:2" x14ac:dyDescent="0.25">
      <c r="A918">
        <v>10698755</v>
      </c>
      <c r="B918" t="s">
        <v>45</v>
      </c>
    </row>
    <row r="919" spans="1:2" x14ac:dyDescent="0.25">
      <c r="A919">
        <v>10737181</v>
      </c>
      <c r="B919" t="s">
        <v>444</v>
      </c>
    </row>
    <row r="920" spans="1:2" x14ac:dyDescent="0.25">
      <c r="A920">
        <v>11600848</v>
      </c>
      <c r="B920" t="s">
        <v>45</v>
      </c>
    </row>
    <row r="921" spans="1:2" x14ac:dyDescent="0.25">
      <c r="A921">
        <v>10572729</v>
      </c>
      <c r="B921" t="s">
        <v>127</v>
      </c>
    </row>
    <row r="922" spans="1:2" x14ac:dyDescent="0.25">
      <c r="A922">
        <v>11654968</v>
      </c>
      <c r="B922" t="s">
        <v>45</v>
      </c>
    </row>
    <row r="923" spans="1:2" x14ac:dyDescent="0.25">
      <c r="A923">
        <v>11634952</v>
      </c>
      <c r="B923" t="s">
        <v>45</v>
      </c>
    </row>
    <row r="924" spans="1:2" x14ac:dyDescent="0.25">
      <c r="A924">
        <v>10620187</v>
      </c>
      <c r="B924" t="s">
        <v>110</v>
      </c>
    </row>
    <row r="925" spans="1:2" x14ac:dyDescent="0.25">
      <c r="A925">
        <v>11345506</v>
      </c>
      <c r="B925" t="s">
        <v>389</v>
      </c>
    </row>
    <row r="926" spans="1:2" x14ac:dyDescent="0.25">
      <c r="A926">
        <v>11498317</v>
      </c>
      <c r="B926" t="s">
        <v>54</v>
      </c>
    </row>
    <row r="927" spans="1:2" x14ac:dyDescent="0.25">
      <c r="A927">
        <v>11021786</v>
      </c>
      <c r="B927" t="s">
        <v>54</v>
      </c>
    </row>
    <row r="928" spans="1:2" x14ac:dyDescent="0.25">
      <c r="A928">
        <v>11690662</v>
      </c>
      <c r="B928" t="s">
        <v>54</v>
      </c>
    </row>
    <row r="929" spans="1:2" x14ac:dyDescent="0.25">
      <c r="A929">
        <v>10956450</v>
      </c>
      <c r="B929" t="s">
        <v>54</v>
      </c>
    </row>
    <row r="930" spans="1:2" x14ac:dyDescent="0.25">
      <c r="A930">
        <v>11041689</v>
      </c>
      <c r="B930" t="s">
        <v>54</v>
      </c>
    </row>
    <row r="931" spans="1:2" x14ac:dyDescent="0.25">
      <c r="A931">
        <v>12005155</v>
      </c>
      <c r="B931" t="s">
        <v>54</v>
      </c>
    </row>
    <row r="932" spans="1:2" x14ac:dyDescent="0.25">
      <c r="A932">
        <v>11593000</v>
      </c>
      <c r="B932" t="s">
        <v>443</v>
      </c>
    </row>
    <row r="933" spans="1:2" x14ac:dyDescent="0.25">
      <c r="A933">
        <v>11381522</v>
      </c>
      <c r="B933" t="s">
        <v>442</v>
      </c>
    </row>
    <row r="934" spans="1:2" x14ac:dyDescent="0.25">
      <c r="A934">
        <v>10677014</v>
      </c>
      <c r="B934" t="s">
        <v>441</v>
      </c>
    </row>
    <row r="935" spans="1:2" x14ac:dyDescent="0.25">
      <c r="A935">
        <v>11028387</v>
      </c>
      <c r="B935" t="s">
        <v>102</v>
      </c>
    </row>
    <row r="936" spans="1:2" x14ac:dyDescent="0.25">
      <c r="A936">
        <v>11042212</v>
      </c>
      <c r="B936" t="s">
        <v>44</v>
      </c>
    </row>
    <row r="937" spans="1:2" x14ac:dyDescent="0.25">
      <c r="A937">
        <v>10704999</v>
      </c>
      <c r="B937" t="s">
        <v>227</v>
      </c>
    </row>
    <row r="938" spans="1:2" x14ac:dyDescent="0.25">
      <c r="A938">
        <v>11253841</v>
      </c>
      <c r="B938" t="s">
        <v>89</v>
      </c>
    </row>
    <row r="939" spans="1:2" x14ac:dyDescent="0.25">
      <c r="A939">
        <v>11294430</v>
      </c>
      <c r="B939" t="s">
        <v>440</v>
      </c>
    </row>
    <row r="940" spans="1:2" x14ac:dyDescent="0.25">
      <c r="A940">
        <v>11122779</v>
      </c>
      <c r="B940" t="s">
        <v>72</v>
      </c>
    </row>
    <row r="941" spans="1:2" x14ac:dyDescent="0.25">
      <c r="A941">
        <v>11093398</v>
      </c>
      <c r="B941" t="s">
        <v>439</v>
      </c>
    </row>
    <row r="942" spans="1:2" x14ac:dyDescent="0.25">
      <c r="A942">
        <v>11617289</v>
      </c>
      <c r="B942" t="s">
        <v>438</v>
      </c>
    </row>
    <row r="943" spans="1:2" x14ac:dyDescent="0.25">
      <c r="A943">
        <v>11591977</v>
      </c>
      <c r="B943" t="s">
        <v>437</v>
      </c>
    </row>
    <row r="944" spans="1:2" x14ac:dyDescent="0.25">
      <c r="A944">
        <v>11592484</v>
      </c>
      <c r="B944" t="s">
        <v>245</v>
      </c>
    </row>
    <row r="945" spans="1:2" x14ac:dyDescent="0.25">
      <c r="A945">
        <v>11370765</v>
      </c>
      <c r="B945" t="s">
        <v>82</v>
      </c>
    </row>
    <row r="946" spans="1:2" x14ac:dyDescent="0.25">
      <c r="A946">
        <v>11391578</v>
      </c>
      <c r="B946" t="s">
        <v>336</v>
      </c>
    </row>
    <row r="947" spans="1:2" x14ac:dyDescent="0.25">
      <c r="A947">
        <v>11557377</v>
      </c>
      <c r="B947" t="s">
        <v>173</v>
      </c>
    </row>
    <row r="948" spans="1:2" x14ac:dyDescent="0.25">
      <c r="A948">
        <v>11448244</v>
      </c>
      <c r="B948" t="s">
        <v>336</v>
      </c>
    </row>
    <row r="949" spans="1:2" x14ac:dyDescent="0.25">
      <c r="A949">
        <v>11449441</v>
      </c>
      <c r="B949" t="s">
        <v>436</v>
      </c>
    </row>
    <row r="950" spans="1:2" x14ac:dyDescent="0.25">
      <c r="A950">
        <v>11450712</v>
      </c>
      <c r="B950" t="s">
        <v>47</v>
      </c>
    </row>
    <row r="951" spans="1:2" x14ac:dyDescent="0.25">
      <c r="A951">
        <v>11854161</v>
      </c>
      <c r="B951" t="s">
        <v>83</v>
      </c>
    </row>
    <row r="952" spans="1:2" x14ac:dyDescent="0.25">
      <c r="A952">
        <v>11754482</v>
      </c>
      <c r="B952" t="s">
        <v>435</v>
      </c>
    </row>
    <row r="953" spans="1:2" x14ac:dyDescent="0.25">
      <c r="A953">
        <v>11433582</v>
      </c>
      <c r="B953" t="s">
        <v>186</v>
      </c>
    </row>
    <row r="954" spans="1:2" x14ac:dyDescent="0.25">
      <c r="A954">
        <v>11284013</v>
      </c>
      <c r="B954" t="s">
        <v>167</v>
      </c>
    </row>
    <row r="955" spans="1:2" x14ac:dyDescent="0.25">
      <c r="A955">
        <v>11117786</v>
      </c>
      <c r="B955" t="s">
        <v>62</v>
      </c>
    </row>
    <row r="956" spans="1:2" x14ac:dyDescent="0.25">
      <c r="A956">
        <v>11498068</v>
      </c>
      <c r="B956" t="s">
        <v>434</v>
      </c>
    </row>
    <row r="957" spans="1:2" x14ac:dyDescent="0.25">
      <c r="A957">
        <v>11630930</v>
      </c>
      <c r="B957" t="s">
        <v>433</v>
      </c>
    </row>
    <row r="958" spans="1:2" x14ac:dyDescent="0.25">
      <c r="A958">
        <v>11633028</v>
      </c>
      <c r="B958" t="s">
        <v>425</v>
      </c>
    </row>
    <row r="959" spans="1:2" x14ac:dyDescent="0.25">
      <c r="A959">
        <v>11481392</v>
      </c>
      <c r="B959" t="s">
        <v>44</v>
      </c>
    </row>
    <row r="960" spans="1:2" x14ac:dyDescent="0.25">
      <c r="A960">
        <v>11425987</v>
      </c>
      <c r="B960" t="s">
        <v>148</v>
      </c>
    </row>
    <row r="961" spans="1:2" x14ac:dyDescent="0.25">
      <c r="A961">
        <v>11406835</v>
      </c>
      <c r="B961" t="s">
        <v>432</v>
      </c>
    </row>
    <row r="962" spans="1:2" x14ac:dyDescent="0.25">
      <c r="A962">
        <v>11306154</v>
      </c>
      <c r="B962" t="s">
        <v>47</v>
      </c>
    </row>
    <row r="963" spans="1:2" x14ac:dyDescent="0.25">
      <c r="A963">
        <v>12003787</v>
      </c>
      <c r="B963" t="s">
        <v>431</v>
      </c>
    </row>
    <row r="964" spans="1:2" x14ac:dyDescent="0.25">
      <c r="A964">
        <v>11344789</v>
      </c>
      <c r="B964" t="s">
        <v>167</v>
      </c>
    </row>
    <row r="965" spans="1:2" x14ac:dyDescent="0.25">
      <c r="A965">
        <v>11787134</v>
      </c>
      <c r="B965" t="s">
        <v>430</v>
      </c>
    </row>
    <row r="966" spans="1:2" x14ac:dyDescent="0.25">
      <c r="A966">
        <v>11347884</v>
      </c>
      <c r="B966" t="s">
        <v>429</v>
      </c>
    </row>
    <row r="967" spans="1:2" x14ac:dyDescent="0.25">
      <c r="A967">
        <v>11405326</v>
      </c>
      <c r="B967" t="s">
        <v>44</v>
      </c>
    </row>
    <row r="968" spans="1:2" x14ac:dyDescent="0.25">
      <c r="A968">
        <v>11409096</v>
      </c>
      <c r="B968" t="s">
        <v>186</v>
      </c>
    </row>
    <row r="969" spans="1:2" x14ac:dyDescent="0.25">
      <c r="A969">
        <v>11409166</v>
      </c>
      <c r="B969" t="s">
        <v>47</v>
      </c>
    </row>
    <row r="970" spans="1:2" x14ac:dyDescent="0.25">
      <c r="A970">
        <v>11409459</v>
      </c>
      <c r="B970" t="s">
        <v>116</v>
      </c>
    </row>
    <row r="971" spans="1:2" x14ac:dyDescent="0.25">
      <c r="A971">
        <v>11410921</v>
      </c>
      <c r="B971" t="s">
        <v>428</v>
      </c>
    </row>
    <row r="972" spans="1:2" x14ac:dyDescent="0.25">
      <c r="A972">
        <v>11624828</v>
      </c>
      <c r="B972" t="s">
        <v>47</v>
      </c>
    </row>
    <row r="973" spans="1:2" x14ac:dyDescent="0.25">
      <c r="A973">
        <v>11640357</v>
      </c>
      <c r="B973" t="s">
        <v>96</v>
      </c>
    </row>
    <row r="974" spans="1:2" x14ac:dyDescent="0.25">
      <c r="A974">
        <v>12018248</v>
      </c>
      <c r="B974" t="s">
        <v>57</v>
      </c>
    </row>
    <row r="975" spans="1:2" x14ac:dyDescent="0.25">
      <c r="A975">
        <v>11664759</v>
      </c>
      <c r="B975" t="s">
        <v>427</v>
      </c>
    </row>
    <row r="976" spans="1:2" x14ac:dyDescent="0.25">
      <c r="A976">
        <v>11633138</v>
      </c>
      <c r="B976" t="s">
        <v>176</v>
      </c>
    </row>
    <row r="977" spans="1:2" x14ac:dyDescent="0.25">
      <c r="A977">
        <v>11425589</v>
      </c>
      <c r="B977" t="s">
        <v>47</v>
      </c>
    </row>
    <row r="978" spans="1:2" x14ac:dyDescent="0.25">
      <c r="A978">
        <v>11110876</v>
      </c>
      <c r="B978" t="s">
        <v>426</v>
      </c>
    </row>
    <row r="979" spans="1:2" x14ac:dyDescent="0.25">
      <c r="A979">
        <v>11416642</v>
      </c>
      <c r="B979" t="s">
        <v>47</v>
      </c>
    </row>
    <row r="980" spans="1:2" x14ac:dyDescent="0.25">
      <c r="A980">
        <v>11416887</v>
      </c>
      <c r="B980" t="s">
        <v>47</v>
      </c>
    </row>
    <row r="981" spans="1:2" x14ac:dyDescent="0.25">
      <c r="A981">
        <v>11707246</v>
      </c>
      <c r="B981" t="s">
        <v>102</v>
      </c>
    </row>
    <row r="982" spans="1:2" x14ac:dyDescent="0.25">
      <c r="A982">
        <v>11290835</v>
      </c>
      <c r="B982" t="s">
        <v>46</v>
      </c>
    </row>
    <row r="983" spans="1:2" x14ac:dyDescent="0.25">
      <c r="A983">
        <v>11348116</v>
      </c>
      <c r="B983" t="s">
        <v>124</v>
      </c>
    </row>
    <row r="984" spans="1:2" x14ac:dyDescent="0.25">
      <c r="A984">
        <v>11876309</v>
      </c>
      <c r="B984" t="s">
        <v>60</v>
      </c>
    </row>
    <row r="985" spans="1:2" x14ac:dyDescent="0.25">
      <c r="A985">
        <v>11362338</v>
      </c>
      <c r="B985" t="s">
        <v>262</v>
      </c>
    </row>
    <row r="986" spans="1:2" x14ac:dyDescent="0.25">
      <c r="A986">
        <v>11362514</v>
      </c>
      <c r="B986" t="s">
        <v>86</v>
      </c>
    </row>
    <row r="987" spans="1:2" x14ac:dyDescent="0.25">
      <c r="A987">
        <v>11387699</v>
      </c>
      <c r="B987" t="s">
        <v>66</v>
      </c>
    </row>
    <row r="988" spans="1:2" x14ac:dyDescent="0.25">
      <c r="A988">
        <v>11371674</v>
      </c>
      <c r="B988" t="s">
        <v>127</v>
      </c>
    </row>
    <row r="989" spans="1:2" x14ac:dyDescent="0.25">
      <c r="A989">
        <v>11376681</v>
      </c>
      <c r="B989" t="s">
        <v>86</v>
      </c>
    </row>
    <row r="990" spans="1:2" x14ac:dyDescent="0.25">
      <c r="A990">
        <v>11400629</v>
      </c>
      <c r="B990" t="s">
        <v>70</v>
      </c>
    </row>
    <row r="991" spans="1:2" x14ac:dyDescent="0.25">
      <c r="A991">
        <v>11442364</v>
      </c>
      <c r="B991" t="s">
        <v>43</v>
      </c>
    </row>
    <row r="992" spans="1:2" x14ac:dyDescent="0.25">
      <c r="A992">
        <v>11440195</v>
      </c>
      <c r="B992" t="s">
        <v>47</v>
      </c>
    </row>
    <row r="993" spans="1:2" x14ac:dyDescent="0.25">
      <c r="A993">
        <v>11435335</v>
      </c>
      <c r="B993" t="s">
        <v>189</v>
      </c>
    </row>
    <row r="994" spans="1:2" x14ac:dyDescent="0.25">
      <c r="A994">
        <v>11407907</v>
      </c>
      <c r="B994" t="s">
        <v>54</v>
      </c>
    </row>
    <row r="995" spans="1:2" x14ac:dyDescent="0.25">
      <c r="A995">
        <v>11409021</v>
      </c>
      <c r="B995" t="s">
        <v>47</v>
      </c>
    </row>
    <row r="996" spans="1:2" x14ac:dyDescent="0.25">
      <c r="A996">
        <v>11407130</v>
      </c>
      <c r="B996" t="s">
        <v>44</v>
      </c>
    </row>
    <row r="997" spans="1:2" x14ac:dyDescent="0.25">
      <c r="A997">
        <v>11559065</v>
      </c>
      <c r="B997" t="s">
        <v>43</v>
      </c>
    </row>
    <row r="998" spans="1:2" x14ac:dyDescent="0.25">
      <c r="A998">
        <v>11558061</v>
      </c>
      <c r="B998" t="s">
        <v>156</v>
      </c>
    </row>
    <row r="999" spans="1:2" x14ac:dyDescent="0.25">
      <c r="A999">
        <v>11639160</v>
      </c>
      <c r="B999" t="s">
        <v>60</v>
      </c>
    </row>
    <row r="1000" spans="1:2" x14ac:dyDescent="0.25">
      <c r="A1000">
        <v>11834524</v>
      </c>
      <c r="B1000" t="s">
        <v>319</v>
      </c>
    </row>
    <row r="1001" spans="1:2" x14ac:dyDescent="0.25">
      <c r="A1001">
        <v>11028847</v>
      </c>
      <c r="B1001" t="s">
        <v>70</v>
      </c>
    </row>
    <row r="1002" spans="1:2" x14ac:dyDescent="0.25">
      <c r="A1002">
        <v>11454466</v>
      </c>
      <c r="B1002" t="s">
        <v>47</v>
      </c>
    </row>
    <row r="1003" spans="1:2" x14ac:dyDescent="0.25">
      <c r="A1003">
        <v>11552000</v>
      </c>
      <c r="B1003" t="s">
        <v>425</v>
      </c>
    </row>
    <row r="1004" spans="1:2" x14ac:dyDescent="0.25">
      <c r="A1004">
        <v>11557557</v>
      </c>
      <c r="B1004" t="s">
        <v>156</v>
      </c>
    </row>
    <row r="1005" spans="1:2" x14ac:dyDescent="0.25">
      <c r="A1005">
        <v>11559883</v>
      </c>
      <c r="B1005" t="s">
        <v>424</v>
      </c>
    </row>
    <row r="1006" spans="1:2" x14ac:dyDescent="0.25">
      <c r="A1006">
        <v>11559976</v>
      </c>
      <c r="B1006" t="s">
        <v>164</v>
      </c>
    </row>
    <row r="1007" spans="1:2" x14ac:dyDescent="0.25">
      <c r="A1007">
        <v>11561221</v>
      </c>
      <c r="B1007" t="s">
        <v>112</v>
      </c>
    </row>
    <row r="1008" spans="1:2" x14ac:dyDescent="0.25">
      <c r="A1008">
        <v>11561234</v>
      </c>
      <c r="B1008" t="s">
        <v>46</v>
      </c>
    </row>
    <row r="1009" spans="1:2" x14ac:dyDescent="0.25">
      <c r="A1009">
        <v>11597889</v>
      </c>
      <c r="B1009" t="s">
        <v>265</v>
      </c>
    </row>
    <row r="1010" spans="1:2" x14ac:dyDescent="0.25">
      <c r="A1010">
        <v>11559130</v>
      </c>
      <c r="B1010" t="s">
        <v>47</v>
      </c>
    </row>
    <row r="1011" spans="1:2" x14ac:dyDescent="0.25">
      <c r="A1011">
        <v>11562133</v>
      </c>
      <c r="B1011" t="s">
        <v>423</v>
      </c>
    </row>
    <row r="1012" spans="1:2" x14ac:dyDescent="0.25">
      <c r="A1012">
        <v>11561833</v>
      </c>
      <c r="B1012" t="s">
        <v>102</v>
      </c>
    </row>
    <row r="1013" spans="1:2" x14ac:dyDescent="0.25">
      <c r="A1013">
        <v>11561470</v>
      </c>
      <c r="B1013" t="s">
        <v>422</v>
      </c>
    </row>
    <row r="1014" spans="1:2" x14ac:dyDescent="0.25">
      <c r="A1014">
        <v>11561520</v>
      </c>
      <c r="B1014" t="s">
        <v>225</v>
      </c>
    </row>
    <row r="1015" spans="1:2" x14ac:dyDescent="0.25">
      <c r="A1015">
        <v>11562604</v>
      </c>
      <c r="B1015" t="s">
        <v>421</v>
      </c>
    </row>
    <row r="1016" spans="1:2" x14ac:dyDescent="0.25">
      <c r="A1016">
        <v>11574977</v>
      </c>
      <c r="B1016" t="s">
        <v>420</v>
      </c>
    </row>
    <row r="1017" spans="1:2" x14ac:dyDescent="0.25">
      <c r="A1017">
        <v>11577189</v>
      </c>
      <c r="B1017" t="s">
        <v>43</v>
      </c>
    </row>
    <row r="1018" spans="1:2" x14ac:dyDescent="0.25">
      <c r="A1018">
        <v>11585905</v>
      </c>
      <c r="B1018" t="s">
        <v>170</v>
      </c>
    </row>
    <row r="1019" spans="1:2" x14ac:dyDescent="0.25">
      <c r="A1019">
        <v>11592409</v>
      </c>
      <c r="B1019" t="s">
        <v>419</v>
      </c>
    </row>
    <row r="1020" spans="1:2" x14ac:dyDescent="0.25">
      <c r="A1020">
        <v>11592602</v>
      </c>
      <c r="B1020" t="s">
        <v>418</v>
      </c>
    </row>
    <row r="1021" spans="1:2" x14ac:dyDescent="0.25">
      <c r="A1021">
        <v>11591321</v>
      </c>
      <c r="B1021" t="s">
        <v>417</v>
      </c>
    </row>
    <row r="1022" spans="1:2" x14ac:dyDescent="0.25">
      <c r="A1022">
        <v>11346354</v>
      </c>
      <c r="B1022" t="s">
        <v>416</v>
      </c>
    </row>
    <row r="1023" spans="1:2" x14ac:dyDescent="0.25">
      <c r="A1023">
        <v>10808428</v>
      </c>
      <c r="B1023" t="s">
        <v>173</v>
      </c>
    </row>
    <row r="1024" spans="1:2" x14ac:dyDescent="0.25">
      <c r="A1024">
        <v>11445403</v>
      </c>
      <c r="B1024" t="s">
        <v>102</v>
      </c>
    </row>
    <row r="1025" spans="1:2" x14ac:dyDescent="0.25">
      <c r="A1025">
        <v>11484593</v>
      </c>
      <c r="B1025" t="s">
        <v>60</v>
      </c>
    </row>
    <row r="1026" spans="1:2" x14ac:dyDescent="0.25">
      <c r="A1026">
        <v>11483930</v>
      </c>
      <c r="B1026" t="s">
        <v>47</v>
      </c>
    </row>
    <row r="1027" spans="1:2" x14ac:dyDescent="0.25">
      <c r="A1027">
        <v>11350395</v>
      </c>
      <c r="B1027" t="s">
        <v>116</v>
      </c>
    </row>
    <row r="1028" spans="1:2" x14ac:dyDescent="0.25">
      <c r="A1028">
        <v>11627287</v>
      </c>
      <c r="B1028" t="s">
        <v>95</v>
      </c>
    </row>
    <row r="1029" spans="1:2" x14ac:dyDescent="0.25">
      <c r="A1029">
        <v>11616011</v>
      </c>
      <c r="B1029" t="s">
        <v>54</v>
      </c>
    </row>
    <row r="1030" spans="1:2" x14ac:dyDescent="0.25">
      <c r="A1030">
        <v>11616419</v>
      </c>
      <c r="B1030" t="s">
        <v>415</v>
      </c>
    </row>
    <row r="1031" spans="1:2" x14ac:dyDescent="0.25">
      <c r="A1031">
        <v>11543242</v>
      </c>
      <c r="B1031" t="s">
        <v>398</v>
      </c>
    </row>
    <row r="1032" spans="1:2" x14ac:dyDescent="0.25">
      <c r="A1032">
        <v>11632226</v>
      </c>
      <c r="B1032" t="s">
        <v>414</v>
      </c>
    </row>
    <row r="1033" spans="1:2" x14ac:dyDescent="0.25">
      <c r="A1033">
        <v>11556016</v>
      </c>
      <c r="B1033" t="s">
        <v>142</v>
      </c>
    </row>
    <row r="1034" spans="1:2" x14ac:dyDescent="0.25">
      <c r="A1034">
        <v>11557330</v>
      </c>
      <c r="B1034" t="s">
        <v>102</v>
      </c>
    </row>
    <row r="1035" spans="1:2" x14ac:dyDescent="0.25">
      <c r="A1035">
        <v>11543702</v>
      </c>
      <c r="B1035" t="s">
        <v>156</v>
      </c>
    </row>
    <row r="1036" spans="1:2" x14ac:dyDescent="0.25">
      <c r="A1036">
        <v>11583680</v>
      </c>
      <c r="B1036" t="s">
        <v>54</v>
      </c>
    </row>
    <row r="1037" spans="1:2" x14ac:dyDescent="0.25">
      <c r="A1037">
        <v>11599721</v>
      </c>
      <c r="B1037" t="s">
        <v>413</v>
      </c>
    </row>
    <row r="1038" spans="1:2" x14ac:dyDescent="0.25">
      <c r="A1038">
        <v>11644585</v>
      </c>
      <c r="B1038" t="s">
        <v>60</v>
      </c>
    </row>
    <row r="1039" spans="1:2" x14ac:dyDescent="0.25">
      <c r="A1039">
        <v>11877247</v>
      </c>
      <c r="B1039" t="s">
        <v>60</v>
      </c>
    </row>
    <row r="1040" spans="1:2" x14ac:dyDescent="0.25">
      <c r="A1040">
        <v>11817113</v>
      </c>
      <c r="B1040" t="s">
        <v>235</v>
      </c>
    </row>
    <row r="1041" spans="1:2" x14ac:dyDescent="0.25">
      <c r="A1041">
        <v>11837963</v>
      </c>
      <c r="B1041" t="s">
        <v>60</v>
      </c>
    </row>
    <row r="1042" spans="1:2" x14ac:dyDescent="0.25">
      <c r="A1042">
        <v>11709596</v>
      </c>
      <c r="B1042" t="s">
        <v>44</v>
      </c>
    </row>
    <row r="1043" spans="1:2" x14ac:dyDescent="0.25">
      <c r="A1043">
        <v>11856720</v>
      </c>
      <c r="B1043" t="s">
        <v>47</v>
      </c>
    </row>
    <row r="1044" spans="1:2" x14ac:dyDescent="0.25">
      <c r="A1044">
        <v>11857826</v>
      </c>
      <c r="B1044" t="s">
        <v>47</v>
      </c>
    </row>
    <row r="1045" spans="1:2" x14ac:dyDescent="0.25">
      <c r="A1045">
        <v>11592678</v>
      </c>
      <c r="B1045" t="s">
        <v>83</v>
      </c>
    </row>
    <row r="1046" spans="1:2" x14ac:dyDescent="0.25">
      <c r="A1046">
        <v>11454080</v>
      </c>
      <c r="B1046" t="s">
        <v>47</v>
      </c>
    </row>
    <row r="1047" spans="1:2" x14ac:dyDescent="0.25">
      <c r="A1047">
        <v>11376455</v>
      </c>
      <c r="B1047" t="s">
        <v>44</v>
      </c>
    </row>
    <row r="1048" spans="1:2" x14ac:dyDescent="0.25">
      <c r="A1048">
        <v>11347934</v>
      </c>
      <c r="B1048" t="s">
        <v>107</v>
      </c>
    </row>
    <row r="1049" spans="1:2" x14ac:dyDescent="0.25">
      <c r="A1049">
        <v>11358173</v>
      </c>
      <c r="B1049" t="s">
        <v>47</v>
      </c>
    </row>
    <row r="1050" spans="1:2" x14ac:dyDescent="0.25">
      <c r="A1050">
        <v>11358673</v>
      </c>
      <c r="B1050" t="s">
        <v>412</v>
      </c>
    </row>
    <row r="1051" spans="1:2" x14ac:dyDescent="0.25">
      <c r="A1051">
        <v>11706401</v>
      </c>
      <c r="B1051" t="s">
        <v>411</v>
      </c>
    </row>
    <row r="1052" spans="1:2" x14ac:dyDescent="0.25">
      <c r="A1052">
        <v>11707666</v>
      </c>
      <c r="B1052" t="s">
        <v>47</v>
      </c>
    </row>
    <row r="1053" spans="1:2" x14ac:dyDescent="0.25">
      <c r="A1053">
        <v>11790219</v>
      </c>
      <c r="B1053" t="s">
        <v>54</v>
      </c>
    </row>
    <row r="1054" spans="1:2" x14ac:dyDescent="0.25">
      <c r="A1054">
        <v>11918613</v>
      </c>
      <c r="B1054" t="s">
        <v>73</v>
      </c>
    </row>
    <row r="1055" spans="1:2" x14ac:dyDescent="0.25">
      <c r="A1055">
        <v>11863526</v>
      </c>
      <c r="B1055" t="s">
        <v>410</v>
      </c>
    </row>
    <row r="1056" spans="1:2" x14ac:dyDescent="0.25">
      <c r="A1056">
        <v>12020465</v>
      </c>
      <c r="B1056" t="s">
        <v>47</v>
      </c>
    </row>
    <row r="1057" spans="1:2" x14ac:dyDescent="0.25">
      <c r="A1057">
        <v>11980456</v>
      </c>
      <c r="B1057" t="s">
        <v>86</v>
      </c>
    </row>
    <row r="1058" spans="1:2" x14ac:dyDescent="0.25">
      <c r="A1058">
        <v>11895664</v>
      </c>
      <c r="B1058" t="s">
        <v>47</v>
      </c>
    </row>
    <row r="1059" spans="1:2" x14ac:dyDescent="0.25">
      <c r="A1059">
        <v>11839986</v>
      </c>
      <c r="B1059" t="s">
        <v>44</v>
      </c>
    </row>
    <row r="1060" spans="1:2" x14ac:dyDescent="0.25">
      <c r="A1060">
        <v>11927472</v>
      </c>
      <c r="B1060" t="s">
        <v>409</v>
      </c>
    </row>
    <row r="1061" spans="1:2" x14ac:dyDescent="0.25">
      <c r="A1061">
        <v>10704646</v>
      </c>
      <c r="B1061" t="s">
        <v>408</v>
      </c>
    </row>
    <row r="1062" spans="1:2" x14ac:dyDescent="0.25">
      <c r="A1062">
        <v>11663060</v>
      </c>
      <c r="B1062" t="s">
        <v>90</v>
      </c>
    </row>
    <row r="1063" spans="1:2" x14ac:dyDescent="0.25">
      <c r="A1063">
        <v>11048284</v>
      </c>
      <c r="B1063" t="s">
        <v>407</v>
      </c>
    </row>
    <row r="1064" spans="1:2" x14ac:dyDescent="0.25">
      <c r="A1064">
        <v>10814399</v>
      </c>
      <c r="B1064" t="s">
        <v>406</v>
      </c>
    </row>
    <row r="1065" spans="1:2" x14ac:dyDescent="0.25">
      <c r="A1065">
        <v>10825536</v>
      </c>
      <c r="B1065" t="s">
        <v>47</v>
      </c>
    </row>
    <row r="1066" spans="1:2" x14ac:dyDescent="0.25">
      <c r="A1066">
        <v>10737786</v>
      </c>
      <c r="B1066" t="s">
        <v>47</v>
      </c>
    </row>
    <row r="1067" spans="1:2" x14ac:dyDescent="0.25">
      <c r="A1067">
        <v>10760531</v>
      </c>
      <c r="B1067" t="s">
        <v>54</v>
      </c>
    </row>
    <row r="1068" spans="1:2" x14ac:dyDescent="0.25">
      <c r="A1068">
        <v>11346460</v>
      </c>
      <c r="B1068" t="s">
        <v>225</v>
      </c>
    </row>
    <row r="1069" spans="1:2" x14ac:dyDescent="0.25">
      <c r="A1069">
        <v>11607950</v>
      </c>
      <c r="B1069" t="s">
        <v>173</v>
      </c>
    </row>
    <row r="1070" spans="1:2" x14ac:dyDescent="0.25">
      <c r="A1070">
        <v>11607171</v>
      </c>
      <c r="B1070" t="s">
        <v>72</v>
      </c>
    </row>
    <row r="1071" spans="1:2" x14ac:dyDescent="0.25">
      <c r="A1071">
        <v>11543099</v>
      </c>
      <c r="B1071" t="s">
        <v>405</v>
      </c>
    </row>
    <row r="1072" spans="1:2" x14ac:dyDescent="0.25">
      <c r="A1072">
        <v>11543202</v>
      </c>
      <c r="B1072" t="s">
        <v>137</v>
      </c>
    </row>
    <row r="1073" spans="1:2" x14ac:dyDescent="0.25">
      <c r="A1073">
        <v>11543494</v>
      </c>
      <c r="B1073" t="s">
        <v>120</v>
      </c>
    </row>
    <row r="1074" spans="1:2" x14ac:dyDescent="0.25">
      <c r="A1074">
        <v>11543421</v>
      </c>
      <c r="B1074" t="s">
        <v>404</v>
      </c>
    </row>
    <row r="1075" spans="1:2" x14ac:dyDescent="0.25">
      <c r="A1075">
        <v>11886550</v>
      </c>
      <c r="B1075" t="s">
        <v>403</v>
      </c>
    </row>
    <row r="1076" spans="1:2" x14ac:dyDescent="0.25">
      <c r="A1076">
        <v>11369194</v>
      </c>
      <c r="B1076" t="s">
        <v>402</v>
      </c>
    </row>
    <row r="1077" spans="1:2" x14ac:dyDescent="0.25">
      <c r="A1077">
        <v>11559466</v>
      </c>
      <c r="B1077" t="s">
        <v>95</v>
      </c>
    </row>
    <row r="1078" spans="1:2" x14ac:dyDescent="0.25">
      <c r="A1078">
        <v>11419700</v>
      </c>
      <c r="B1078" t="s">
        <v>401</v>
      </c>
    </row>
    <row r="1079" spans="1:2" x14ac:dyDescent="0.25">
      <c r="A1079">
        <v>11598318</v>
      </c>
      <c r="B1079" t="s">
        <v>44</v>
      </c>
    </row>
    <row r="1080" spans="1:2" x14ac:dyDescent="0.25">
      <c r="A1080">
        <v>11585147</v>
      </c>
      <c r="B1080" t="s">
        <v>47</v>
      </c>
    </row>
    <row r="1081" spans="1:2" x14ac:dyDescent="0.25">
      <c r="A1081">
        <v>11063460</v>
      </c>
      <c r="B1081" t="s">
        <v>400</v>
      </c>
    </row>
    <row r="1082" spans="1:2" x14ac:dyDescent="0.25">
      <c r="A1082">
        <v>11068571</v>
      </c>
      <c r="B1082" t="s">
        <v>399</v>
      </c>
    </row>
    <row r="1083" spans="1:2" x14ac:dyDescent="0.25">
      <c r="A1083">
        <v>10911551</v>
      </c>
      <c r="B1083" t="s">
        <v>47</v>
      </c>
    </row>
    <row r="1084" spans="1:2" x14ac:dyDescent="0.25">
      <c r="A1084">
        <v>10703809</v>
      </c>
      <c r="B1084" t="s">
        <v>258</v>
      </c>
    </row>
    <row r="1085" spans="1:2" x14ac:dyDescent="0.25">
      <c r="A1085">
        <v>11386976</v>
      </c>
      <c r="B1085" t="s">
        <v>94</v>
      </c>
    </row>
    <row r="1086" spans="1:2" x14ac:dyDescent="0.25">
      <c r="A1086">
        <v>11418511</v>
      </c>
      <c r="B1086" t="s">
        <v>112</v>
      </c>
    </row>
    <row r="1087" spans="1:2" x14ac:dyDescent="0.25">
      <c r="A1087">
        <v>11419237</v>
      </c>
      <c r="B1087" t="s">
        <v>46</v>
      </c>
    </row>
    <row r="1088" spans="1:2" x14ac:dyDescent="0.25">
      <c r="A1088">
        <v>11427900</v>
      </c>
      <c r="B1088" t="s">
        <v>46</v>
      </c>
    </row>
    <row r="1089" spans="1:2" x14ac:dyDescent="0.25">
      <c r="A1089">
        <v>11374073</v>
      </c>
      <c r="B1089" t="s">
        <v>54</v>
      </c>
    </row>
    <row r="1090" spans="1:2" x14ac:dyDescent="0.25">
      <c r="A1090">
        <v>11814984</v>
      </c>
      <c r="B1090" t="s">
        <v>47</v>
      </c>
    </row>
    <row r="1091" spans="1:2" x14ac:dyDescent="0.25">
      <c r="A1091">
        <v>11451801</v>
      </c>
      <c r="B1091" t="s">
        <v>90</v>
      </c>
    </row>
    <row r="1092" spans="1:2" x14ac:dyDescent="0.25">
      <c r="A1092">
        <v>11462993</v>
      </c>
      <c r="B1092" t="s">
        <v>54</v>
      </c>
    </row>
    <row r="1093" spans="1:2" x14ac:dyDescent="0.25">
      <c r="A1093">
        <v>11332040</v>
      </c>
      <c r="B1093" t="s">
        <v>47</v>
      </c>
    </row>
    <row r="1094" spans="1:2" x14ac:dyDescent="0.25">
      <c r="A1094">
        <v>11346358</v>
      </c>
      <c r="B1094" t="s">
        <v>112</v>
      </c>
    </row>
    <row r="1095" spans="1:2" x14ac:dyDescent="0.25">
      <c r="A1095">
        <v>11344207</v>
      </c>
      <c r="B1095" t="s">
        <v>187</v>
      </c>
    </row>
    <row r="1096" spans="1:2" x14ac:dyDescent="0.25">
      <c r="A1096">
        <v>11344215</v>
      </c>
      <c r="B1096" t="s">
        <v>44</v>
      </c>
    </row>
    <row r="1097" spans="1:2" x14ac:dyDescent="0.25">
      <c r="A1097">
        <v>11586072</v>
      </c>
      <c r="B1097" t="s">
        <v>248</v>
      </c>
    </row>
    <row r="1098" spans="1:2" x14ac:dyDescent="0.25">
      <c r="A1098">
        <v>11577508</v>
      </c>
      <c r="B1098" t="s">
        <v>57</v>
      </c>
    </row>
    <row r="1099" spans="1:2" x14ac:dyDescent="0.25">
      <c r="A1099">
        <v>11581437</v>
      </c>
      <c r="B1099" t="s">
        <v>70</v>
      </c>
    </row>
    <row r="1100" spans="1:2" x14ac:dyDescent="0.25">
      <c r="A1100">
        <v>11577831</v>
      </c>
      <c r="B1100" t="s">
        <v>124</v>
      </c>
    </row>
    <row r="1101" spans="1:2" x14ac:dyDescent="0.25">
      <c r="A1101">
        <v>11566267</v>
      </c>
      <c r="B1101" t="s">
        <v>47</v>
      </c>
    </row>
    <row r="1102" spans="1:2" x14ac:dyDescent="0.25">
      <c r="A1102">
        <v>11561652</v>
      </c>
      <c r="B1102" t="s">
        <v>193</v>
      </c>
    </row>
    <row r="1103" spans="1:2" x14ac:dyDescent="0.25">
      <c r="A1103">
        <v>11561430</v>
      </c>
      <c r="B1103" t="s">
        <v>44</v>
      </c>
    </row>
    <row r="1104" spans="1:2" x14ac:dyDescent="0.25">
      <c r="A1104">
        <v>11561436</v>
      </c>
      <c r="B1104" t="s">
        <v>173</v>
      </c>
    </row>
    <row r="1105" spans="1:2" x14ac:dyDescent="0.25">
      <c r="A1105">
        <v>11560014</v>
      </c>
      <c r="B1105" t="s">
        <v>43</v>
      </c>
    </row>
    <row r="1106" spans="1:2" x14ac:dyDescent="0.25">
      <c r="A1106">
        <v>11560375</v>
      </c>
      <c r="B1106" t="s">
        <v>46</v>
      </c>
    </row>
    <row r="1107" spans="1:2" x14ac:dyDescent="0.25">
      <c r="A1107">
        <v>11560431</v>
      </c>
      <c r="B1107" t="s">
        <v>47</v>
      </c>
    </row>
    <row r="1108" spans="1:2" x14ac:dyDescent="0.25">
      <c r="A1108">
        <v>11560540</v>
      </c>
      <c r="B1108" t="s">
        <v>260</v>
      </c>
    </row>
    <row r="1109" spans="1:2" x14ac:dyDescent="0.25">
      <c r="A1109">
        <v>11560855</v>
      </c>
      <c r="B1109" t="s">
        <v>90</v>
      </c>
    </row>
    <row r="1110" spans="1:2" x14ac:dyDescent="0.25">
      <c r="A1110">
        <v>11560887</v>
      </c>
      <c r="B1110" t="s">
        <v>164</v>
      </c>
    </row>
    <row r="1111" spans="1:2" x14ac:dyDescent="0.25">
      <c r="A1111">
        <v>11560948</v>
      </c>
      <c r="B1111" t="s">
        <v>398</v>
      </c>
    </row>
    <row r="1112" spans="1:2" x14ac:dyDescent="0.25">
      <c r="A1112">
        <v>11558264</v>
      </c>
      <c r="B1112" t="s">
        <v>70</v>
      </c>
    </row>
    <row r="1113" spans="1:2" x14ac:dyDescent="0.25">
      <c r="A1113">
        <v>11803128</v>
      </c>
      <c r="B1113" t="s">
        <v>60</v>
      </c>
    </row>
    <row r="1114" spans="1:2" x14ac:dyDescent="0.25">
      <c r="A1114">
        <v>11593092</v>
      </c>
      <c r="B1114" t="s">
        <v>54</v>
      </c>
    </row>
    <row r="1115" spans="1:2" x14ac:dyDescent="0.25">
      <c r="A1115">
        <v>11632263</v>
      </c>
      <c r="B1115" t="s">
        <v>144</v>
      </c>
    </row>
    <row r="1116" spans="1:2" x14ac:dyDescent="0.25">
      <c r="A1116">
        <v>11866255</v>
      </c>
      <c r="B1116" t="s">
        <v>60</v>
      </c>
    </row>
    <row r="1117" spans="1:2" x14ac:dyDescent="0.25">
      <c r="A1117">
        <v>11839645</v>
      </c>
      <c r="B1117" t="s">
        <v>44</v>
      </c>
    </row>
    <row r="1118" spans="1:2" x14ac:dyDescent="0.25">
      <c r="A1118">
        <v>11842675</v>
      </c>
      <c r="B1118" t="s">
        <v>89</v>
      </c>
    </row>
    <row r="1119" spans="1:2" x14ac:dyDescent="0.25">
      <c r="A1119">
        <v>10870803</v>
      </c>
      <c r="B1119" t="s">
        <v>47</v>
      </c>
    </row>
    <row r="1120" spans="1:2" x14ac:dyDescent="0.25">
      <c r="A1120">
        <v>10866771</v>
      </c>
      <c r="B1120" t="s">
        <v>47</v>
      </c>
    </row>
    <row r="1121" spans="1:2" x14ac:dyDescent="0.25">
      <c r="A1121">
        <v>10902298</v>
      </c>
      <c r="B1121" t="s">
        <v>397</v>
      </c>
    </row>
    <row r="1122" spans="1:2" x14ac:dyDescent="0.25">
      <c r="A1122">
        <v>10892640</v>
      </c>
      <c r="B1122" t="s">
        <v>396</v>
      </c>
    </row>
    <row r="1123" spans="1:2" x14ac:dyDescent="0.25">
      <c r="A1123">
        <v>10808074</v>
      </c>
      <c r="B1123" t="s">
        <v>184</v>
      </c>
    </row>
    <row r="1124" spans="1:2" x14ac:dyDescent="0.25">
      <c r="A1124">
        <v>11038369</v>
      </c>
      <c r="B1124" t="s">
        <v>395</v>
      </c>
    </row>
    <row r="1125" spans="1:2" x14ac:dyDescent="0.25">
      <c r="A1125">
        <v>10714452</v>
      </c>
      <c r="B1125" t="s">
        <v>60</v>
      </c>
    </row>
    <row r="1126" spans="1:2" x14ac:dyDescent="0.25">
      <c r="A1126">
        <v>10674677</v>
      </c>
      <c r="B1126" t="s">
        <v>394</v>
      </c>
    </row>
    <row r="1127" spans="1:2" x14ac:dyDescent="0.25">
      <c r="A1127">
        <v>11063443</v>
      </c>
      <c r="B1127" t="s">
        <v>393</v>
      </c>
    </row>
    <row r="1128" spans="1:2" x14ac:dyDescent="0.25">
      <c r="A1128">
        <v>11589508</v>
      </c>
      <c r="B1128" t="s">
        <v>392</v>
      </c>
    </row>
    <row r="1129" spans="1:2" x14ac:dyDescent="0.25">
      <c r="A1129">
        <v>11714379</v>
      </c>
      <c r="B1129" t="s">
        <v>60</v>
      </c>
    </row>
    <row r="1130" spans="1:2" x14ac:dyDescent="0.25">
      <c r="A1130">
        <v>11055708</v>
      </c>
      <c r="B1130" t="s">
        <v>112</v>
      </c>
    </row>
    <row r="1131" spans="1:2" x14ac:dyDescent="0.25">
      <c r="A1131">
        <v>10980020</v>
      </c>
      <c r="B1131" t="s">
        <v>47</v>
      </c>
    </row>
    <row r="1132" spans="1:2" x14ac:dyDescent="0.25">
      <c r="A1132">
        <v>11423451</v>
      </c>
      <c r="B1132" t="s">
        <v>235</v>
      </c>
    </row>
    <row r="1133" spans="1:2" x14ac:dyDescent="0.25">
      <c r="A1133">
        <v>11407769</v>
      </c>
      <c r="B1133" t="s">
        <v>96</v>
      </c>
    </row>
    <row r="1134" spans="1:2" x14ac:dyDescent="0.25">
      <c r="A1134">
        <v>11397158</v>
      </c>
      <c r="B1134" t="s">
        <v>60</v>
      </c>
    </row>
    <row r="1135" spans="1:2" x14ac:dyDescent="0.25">
      <c r="A1135">
        <v>11380905</v>
      </c>
      <c r="B1135" t="s">
        <v>358</v>
      </c>
    </row>
    <row r="1136" spans="1:2" x14ac:dyDescent="0.25">
      <c r="A1136">
        <v>11317324</v>
      </c>
      <c r="B1136" t="s">
        <v>164</v>
      </c>
    </row>
    <row r="1137" spans="1:2" x14ac:dyDescent="0.25">
      <c r="A1137">
        <v>11548967</v>
      </c>
      <c r="B1137" t="s">
        <v>391</v>
      </c>
    </row>
    <row r="1138" spans="1:2" x14ac:dyDescent="0.25">
      <c r="A1138">
        <v>10919516</v>
      </c>
      <c r="B1138" t="s">
        <v>102</v>
      </c>
    </row>
    <row r="1139" spans="1:2" x14ac:dyDescent="0.25">
      <c r="A1139">
        <v>11406938</v>
      </c>
      <c r="B1139" t="s">
        <v>47</v>
      </c>
    </row>
    <row r="1140" spans="1:2" x14ac:dyDescent="0.25">
      <c r="A1140">
        <v>10666026</v>
      </c>
      <c r="B1140" t="s">
        <v>102</v>
      </c>
    </row>
    <row r="1141" spans="1:2" x14ac:dyDescent="0.25">
      <c r="A1141">
        <v>10666094</v>
      </c>
      <c r="B1141" t="s">
        <v>46</v>
      </c>
    </row>
    <row r="1142" spans="1:2" x14ac:dyDescent="0.25">
      <c r="A1142">
        <v>10761673</v>
      </c>
      <c r="B1142" t="s">
        <v>227</v>
      </c>
    </row>
    <row r="1143" spans="1:2" x14ac:dyDescent="0.25">
      <c r="A1143">
        <v>11370962</v>
      </c>
      <c r="B1143" t="s">
        <v>45</v>
      </c>
    </row>
    <row r="1144" spans="1:2" x14ac:dyDescent="0.25">
      <c r="A1144">
        <v>11364557</v>
      </c>
      <c r="B1144" t="s">
        <v>47</v>
      </c>
    </row>
    <row r="1145" spans="1:2" x14ac:dyDescent="0.25">
      <c r="A1145">
        <v>11365608</v>
      </c>
      <c r="B1145" t="s">
        <v>390</v>
      </c>
    </row>
    <row r="1146" spans="1:2" x14ac:dyDescent="0.25">
      <c r="A1146">
        <v>11372285</v>
      </c>
      <c r="B1146" t="s">
        <v>389</v>
      </c>
    </row>
    <row r="1147" spans="1:2" x14ac:dyDescent="0.25">
      <c r="A1147">
        <v>11966001</v>
      </c>
      <c r="B1147" t="s">
        <v>173</v>
      </c>
    </row>
    <row r="1148" spans="1:2" x14ac:dyDescent="0.25">
      <c r="A1148">
        <v>11602385</v>
      </c>
      <c r="B1148" t="s">
        <v>44</v>
      </c>
    </row>
    <row r="1149" spans="1:2" x14ac:dyDescent="0.25">
      <c r="A1149">
        <v>11631665</v>
      </c>
      <c r="B1149" t="s">
        <v>388</v>
      </c>
    </row>
    <row r="1150" spans="1:2" x14ac:dyDescent="0.25">
      <c r="A1150">
        <v>11634432</v>
      </c>
      <c r="B1150" t="s">
        <v>45</v>
      </c>
    </row>
    <row r="1151" spans="1:2" x14ac:dyDescent="0.25">
      <c r="A1151">
        <v>11584967</v>
      </c>
      <c r="B1151" t="s">
        <v>47</v>
      </c>
    </row>
    <row r="1152" spans="1:2" x14ac:dyDescent="0.25">
      <c r="A1152">
        <v>11532929</v>
      </c>
      <c r="B1152" t="s">
        <v>46</v>
      </c>
    </row>
    <row r="1153" spans="1:2" x14ac:dyDescent="0.25">
      <c r="A1153">
        <v>11371194</v>
      </c>
      <c r="B1153" t="s">
        <v>83</v>
      </c>
    </row>
    <row r="1154" spans="1:2" x14ac:dyDescent="0.25">
      <c r="A1154">
        <v>11374054</v>
      </c>
      <c r="B1154" t="s">
        <v>47</v>
      </c>
    </row>
    <row r="1155" spans="1:2" x14ac:dyDescent="0.25">
      <c r="A1155">
        <v>11280510</v>
      </c>
      <c r="B1155" t="s">
        <v>193</v>
      </c>
    </row>
    <row r="1156" spans="1:2" x14ac:dyDescent="0.25">
      <c r="A1156">
        <v>11266691</v>
      </c>
      <c r="B1156" t="s">
        <v>193</v>
      </c>
    </row>
    <row r="1157" spans="1:2" x14ac:dyDescent="0.25">
      <c r="A1157">
        <v>10781923</v>
      </c>
      <c r="B1157" t="s">
        <v>387</v>
      </c>
    </row>
    <row r="1158" spans="1:2" x14ac:dyDescent="0.25">
      <c r="A1158">
        <v>10802554</v>
      </c>
      <c r="B1158" t="s">
        <v>206</v>
      </c>
    </row>
    <row r="1159" spans="1:2" x14ac:dyDescent="0.25">
      <c r="A1159">
        <v>10860208</v>
      </c>
      <c r="B1159" t="s">
        <v>386</v>
      </c>
    </row>
    <row r="1160" spans="1:2" x14ac:dyDescent="0.25">
      <c r="A1160">
        <v>10868752</v>
      </c>
      <c r="B1160" t="s">
        <v>44</v>
      </c>
    </row>
    <row r="1161" spans="1:2" x14ac:dyDescent="0.25">
      <c r="A1161">
        <v>10929665</v>
      </c>
      <c r="B1161" t="s">
        <v>44</v>
      </c>
    </row>
    <row r="1162" spans="1:2" x14ac:dyDescent="0.25">
      <c r="A1162">
        <v>10714150</v>
      </c>
      <c r="B1162" t="s">
        <v>47</v>
      </c>
    </row>
    <row r="1163" spans="1:2" x14ac:dyDescent="0.25">
      <c r="A1163">
        <v>10680002</v>
      </c>
      <c r="B1163" t="s">
        <v>140</v>
      </c>
    </row>
    <row r="1164" spans="1:2" x14ac:dyDescent="0.25">
      <c r="A1164">
        <v>10680115</v>
      </c>
      <c r="B1164" t="s">
        <v>140</v>
      </c>
    </row>
    <row r="1165" spans="1:2" x14ac:dyDescent="0.25">
      <c r="A1165">
        <v>11863999</v>
      </c>
      <c r="B1165" t="s">
        <v>47</v>
      </c>
    </row>
    <row r="1166" spans="1:2" x14ac:dyDescent="0.25">
      <c r="A1166">
        <v>11876754</v>
      </c>
      <c r="B1166" t="s">
        <v>69</v>
      </c>
    </row>
    <row r="1167" spans="1:2" x14ac:dyDescent="0.25">
      <c r="A1167">
        <v>11386795</v>
      </c>
      <c r="B1167" t="s">
        <v>47</v>
      </c>
    </row>
    <row r="1168" spans="1:2" x14ac:dyDescent="0.25">
      <c r="A1168">
        <v>11523849</v>
      </c>
      <c r="B1168" t="s">
        <v>187</v>
      </c>
    </row>
    <row r="1169" spans="1:2" x14ac:dyDescent="0.25">
      <c r="A1169">
        <v>11450806</v>
      </c>
      <c r="B1169" t="s">
        <v>385</v>
      </c>
    </row>
    <row r="1170" spans="1:2" x14ac:dyDescent="0.25">
      <c r="A1170">
        <v>11001197</v>
      </c>
      <c r="B1170" t="s">
        <v>238</v>
      </c>
    </row>
    <row r="1171" spans="1:2" x14ac:dyDescent="0.25">
      <c r="A1171">
        <v>11213616</v>
      </c>
      <c r="B1171" t="s">
        <v>54</v>
      </c>
    </row>
    <row r="1172" spans="1:2" x14ac:dyDescent="0.25">
      <c r="A1172">
        <v>10853754</v>
      </c>
      <c r="B1172" t="s">
        <v>63</v>
      </c>
    </row>
    <row r="1173" spans="1:2" x14ac:dyDescent="0.25">
      <c r="A1173">
        <v>10794410</v>
      </c>
      <c r="B1173" t="s">
        <v>47</v>
      </c>
    </row>
    <row r="1174" spans="1:2" x14ac:dyDescent="0.25">
      <c r="A1174">
        <v>10777788</v>
      </c>
      <c r="B1174" t="s">
        <v>275</v>
      </c>
    </row>
    <row r="1175" spans="1:2" x14ac:dyDescent="0.25">
      <c r="A1175">
        <v>11746277</v>
      </c>
      <c r="B1175" t="s">
        <v>311</v>
      </c>
    </row>
    <row r="1176" spans="1:2" x14ac:dyDescent="0.25">
      <c r="A1176">
        <v>11746703</v>
      </c>
      <c r="B1176" t="s">
        <v>46</v>
      </c>
    </row>
    <row r="1177" spans="1:2" x14ac:dyDescent="0.25">
      <c r="A1177">
        <v>11708222</v>
      </c>
      <c r="B1177" t="s">
        <v>44</v>
      </c>
    </row>
    <row r="1178" spans="1:2" x14ac:dyDescent="0.25">
      <c r="A1178">
        <v>11823878</v>
      </c>
      <c r="B1178" t="s">
        <v>384</v>
      </c>
    </row>
    <row r="1179" spans="1:2" x14ac:dyDescent="0.25">
      <c r="A1179">
        <v>11825217</v>
      </c>
      <c r="B1179" t="s">
        <v>44</v>
      </c>
    </row>
    <row r="1180" spans="1:2" x14ac:dyDescent="0.25">
      <c r="A1180">
        <v>11644925</v>
      </c>
      <c r="B1180" t="s">
        <v>383</v>
      </c>
    </row>
    <row r="1181" spans="1:2" x14ac:dyDescent="0.25">
      <c r="A1181">
        <v>11658815</v>
      </c>
      <c r="B1181" t="s">
        <v>60</v>
      </c>
    </row>
    <row r="1182" spans="1:2" x14ac:dyDescent="0.25">
      <c r="A1182">
        <v>11516321</v>
      </c>
      <c r="B1182" t="s">
        <v>60</v>
      </c>
    </row>
    <row r="1183" spans="1:2" x14ac:dyDescent="0.25">
      <c r="A1183">
        <v>11948603</v>
      </c>
      <c r="B1183" t="s">
        <v>235</v>
      </c>
    </row>
    <row r="1184" spans="1:2" x14ac:dyDescent="0.25">
      <c r="A1184">
        <v>11953784</v>
      </c>
      <c r="B1184" t="s">
        <v>235</v>
      </c>
    </row>
    <row r="1185" spans="1:2" x14ac:dyDescent="0.25">
      <c r="A1185">
        <v>11772314</v>
      </c>
      <c r="B1185" t="s">
        <v>60</v>
      </c>
    </row>
    <row r="1186" spans="1:2" x14ac:dyDescent="0.25">
      <c r="A1186">
        <v>11742873</v>
      </c>
      <c r="B1186" t="s">
        <v>319</v>
      </c>
    </row>
    <row r="1187" spans="1:2" x14ac:dyDescent="0.25">
      <c r="A1187">
        <v>11700307</v>
      </c>
      <c r="B1187" t="s">
        <v>70</v>
      </c>
    </row>
    <row r="1188" spans="1:2" x14ac:dyDescent="0.25">
      <c r="A1188">
        <v>11709120</v>
      </c>
      <c r="B1188" t="s">
        <v>208</v>
      </c>
    </row>
    <row r="1189" spans="1:2" x14ac:dyDescent="0.25">
      <c r="A1189">
        <v>11709795</v>
      </c>
      <c r="B1189" t="s">
        <v>382</v>
      </c>
    </row>
    <row r="1190" spans="1:2" x14ac:dyDescent="0.25">
      <c r="A1190">
        <v>11395137</v>
      </c>
      <c r="B1190" t="s">
        <v>44</v>
      </c>
    </row>
    <row r="1191" spans="1:2" x14ac:dyDescent="0.25">
      <c r="A1191">
        <v>11395185</v>
      </c>
      <c r="B1191" t="s">
        <v>144</v>
      </c>
    </row>
    <row r="1192" spans="1:2" x14ac:dyDescent="0.25">
      <c r="A1192">
        <v>11398767</v>
      </c>
      <c r="B1192" t="s">
        <v>47</v>
      </c>
    </row>
    <row r="1193" spans="1:2" x14ac:dyDescent="0.25">
      <c r="A1193">
        <v>11399132</v>
      </c>
      <c r="B1193" t="s">
        <v>70</v>
      </c>
    </row>
    <row r="1194" spans="1:2" x14ac:dyDescent="0.25">
      <c r="A1194">
        <v>11396122</v>
      </c>
      <c r="B1194" t="s">
        <v>86</v>
      </c>
    </row>
    <row r="1195" spans="1:2" x14ac:dyDescent="0.25">
      <c r="A1195">
        <v>11394238</v>
      </c>
      <c r="B1195" t="s">
        <v>47</v>
      </c>
    </row>
    <row r="1196" spans="1:2" x14ac:dyDescent="0.25">
      <c r="A1196">
        <v>11382898</v>
      </c>
      <c r="B1196" t="s">
        <v>109</v>
      </c>
    </row>
    <row r="1197" spans="1:2" x14ac:dyDescent="0.25">
      <c r="A1197">
        <v>11382846</v>
      </c>
      <c r="B1197" t="s">
        <v>112</v>
      </c>
    </row>
    <row r="1198" spans="1:2" x14ac:dyDescent="0.25">
      <c r="A1198">
        <v>11378858</v>
      </c>
      <c r="B1198" t="s">
        <v>381</v>
      </c>
    </row>
    <row r="1199" spans="1:2" x14ac:dyDescent="0.25">
      <c r="A1199">
        <v>11382113</v>
      </c>
      <c r="B1199" t="s">
        <v>227</v>
      </c>
    </row>
    <row r="1200" spans="1:2" x14ac:dyDescent="0.25">
      <c r="A1200">
        <v>11382242</v>
      </c>
      <c r="B1200" t="s">
        <v>380</v>
      </c>
    </row>
    <row r="1201" spans="1:2" x14ac:dyDescent="0.25">
      <c r="A1201">
        <v>11359909</v>
      </c>
      <c r="B1201" t="s">
        <v>225</v>
      </c>
    </row>
    <row r="1202" spans="1:2" x14ac:dyDescent="0.25">
      <c r="A1202">
        <v>11358113</v>
      </c>
      <c r="B1202" t="s">
        <v>375</v>
      </c>
    </row>
    <row r="1203" spans="1:2" x14ac:dyDescent="0.25">
      <c r="A1203">
        <v>11347949</v>
      </c>
      <c r="B1203" t="s">
        <v>379</v>
      </c>
    </row>
    <row r="1204" spans="1:2" x14ac:dyDescent="0.25">
      <c r="A1204">
        <v>11348439</v>
      </c>
      <c r="B1204" t="s">
        <v>107</v>
      </c>
    </row>
    <row r="1205" spans="1:2" x14ac:dyDescent="0.25">
      <c r="A1205">
        <v>11375162</v>
      </c>
      <c r="B1205" t="s">
        <v>116</v>
      </c>
    </row>
    <row r="1206" spans="1:2" x14ac:dyDescent="0.25">
      <c r="A1206">
        <v>11371200</v>
      </c>
      <c r="B1206" t="s">
        <v>186</v>
      </c>
    </row>
    <row r="1207" spans="1:2" x14ac:dyDescent="0.25">
      <c r="A1207">
        <v>11371220</v>
      </c>
      <c r="B1207" t="s">
        <v>44</v>
      </c>
    </row>
    <row r="1208" spans="1:2" x14ac:dyDescent="0.25">
      <c r="A1208">
        <v>11371133</v>
      </c>
      <c r="B1208" t="s">
        <v>116</v>
      </c>
    </row>
    <row r="1209" spans="1:2" x14ac:dyDescent="0.25">
      <c r="A1209">
        <v>11370871</v>
      </c>
      <c r="B1209" t="s">
        <v>57</v>
      </c>
    </row>
    <row r="1210" spans="1:2" x14ac:dyDescent="0.25">
      <c r="A1210">
        <v>11941024</v>
      </c>
      <c r="B1210" t="s">
        <v>225</v>
      </c>
    </row>
    <row r="1211" spans="1:2" x14ac:dyDescent="0.25">
      <c r="A1211">
        <v>11577236</v>
      </c>
      <c r="B1211" t="s">
        <v>378</v>
      </c>
    </row>
    <row r="1212" spans="1:2" x14ac:dyDescent="0.25">
      <c r="A1212">
        <v>11578205</v>
      </c>
      <c r="B1212" t="s">
        <v>49</v>
      </c>
    </row>
    <row r="1213" spans="1:2" x14ac:dyDescent="0.25">
      <c r="A1213">
        <v>11657292</v>
      </c>
      <c r="B1213" t="s">
        <v>60</v>
      </c>
    </row>
    <row r="1214" spans="1:2" x14ac:dyDescent="0.25">
      <c r="A1214">
        <v>11826426</v>
      </c>
      <c r="B1214" t="s">
        <v>60</v>
      </c>
    </row>
    <row r="1215" spans="1:2" x14ac:dyDescent="0.25">
      <c r="A1215">
        <v>11543455</v>
      </c>
      <c r="B1215" t="s">
        <v>68</v>
      </c>
    </row>
    <row r="1216" spans="1:2" x14ac:dyDescent="0.25">
      <c r="A1216">
        <v>11407479</v>
      </c>
      <c r="B1216" t="s">
        <v>296</v>
      </c>
    </row>
    <row r="1217" spans="1:2" x14ac:dyDescent="0.25">
      <c r="A1217">
        <v>11550494</v>
      </c>
      <c r="B1217" t="s">
        <v>83</v>
      </c>
    </row>
    <row r="1218" spans="1:2" x14ac:dyDescent="0.25">
      <c r="A1218">
        <v>11544084</v>
      </c>
      <c r="B1218" t="s">
        <v>45</v>
      </c>
    </row>
    <row r="1219" spans="1:2" x14ac:dyDescent="0.25">
      <c r="A1219">
        <v>11982710</v>
      </c>
      <c r="B1219" t="s">
        <v>343</v>
      </c>
    </row>
    <row r="1220" spans="1:2" x14ac:dyDescent="0.25">
      <c r="A1220">
        <v>11976488</v>
      </c>
      <c r="B1220" t="s">
        <v>44</v>
      </c>
    </row>
    <row r="1221" spans="1:2" x14ac:dyDescent="0.25">
      <c r="A1221">
        <v>11931087</v>
      </c>
      <c r="B1221" t="s">
        <v>44</v>
      </c>
    </row>
    <row r="1222" spans="1:2" x14ac:dyDescent="0.25">
      <c r="A1222">
        <v>12004346</v>
      </c>
      <c r="B1222" t="s">
        <v>44</v>
      </c>
    </row>
    <row r="1223" spans="1:2" x14ac:dyDescent="0.25">
      <c r="A1223">
        <v>12018137</v>
      </c>
      <c r="B1223" t="s">
        <v>47</v>
      </c>
    </row>
    <row r="1224" spans="1:2" x14ac:dyDescent="0.25">
      <c r="A1224">
        <v>12018983</v>
      </c>
      <c r="B1224" t="s">
        <v>156</v>
      </c>
    </row>
    <row r="1225" spans="1:2" x14ac:dyDescent="0.25">
      <c r="A1225">
        <v>12020431</v>
      </c>
      <c r="B1225" t="s">
        <v>377</v>
      </c>
    </row>
    <row r="1226" spans="1:2" x14ac:dyDescent="0.25">
      <c r="A1226">
        <v>11881041</v>
      </c>
      <c r="B1226" t="s">
        <v>47</v>
      </c>
    </row>
    <row r="1227" spans="1:2" x14ac:dyDescent="0.25">
      <c r="A1227">
        <v>11871687</v>
      </c>
      <c r="B1227" t="s">
        <v>67</v>
      </c>
    </row>
    <row r="1228" spans="1:2" x14ac:dyDescent="0.25">
      <c r="A1228">
        <v>11875334</v>
      </c>
      <c r="B1228" t="s">
        <v>376</v>
      </c>
    </row>
    <row r="1229" spans="1:2" x14ac:dyDescent="0.25">
      <c r="A1229">
        <v>11867063</v>
      </c>
      <c r="B1229" t="s">
        <v>375</v>
      </c>
    </row>
    <row r="1230" spans="1:2" x14ac:dyDescent="0.25">
      <c r="A1230">
        <v>11856564</v>
      </c>
      <c r="B1230" t="s">
        <v>187</v>
      </c>
    </row>
    <row r="1231" spans="1:2" x14ac:dyDescent="0.25">
      <c r="A1231">
        <v>11854163</v>
      </c>
      <c r="B1231" t="s">
        <v>156</v>
      </c>
    </row>
    <row r="1232" spans="1:2" x14ac:dyDescent="0.25">
      <c r="A1232">
        <v>11855844</v>
      </c>
      <c r="B1232" t="s">
        <v>374</v>
      </c>
    </row>
    <row r="1233" spans="1:2" x14ac:dyDescent="0.25">
      <c r="A1233">
        <v>11847974</v>
      </c>
      <c r="B1233" t="s">
        <v>70</v>
      </c>
    </row>
    <row r="1234" spans="1:2" x14ac:dyDescent="0.25">
      <c r="A1234">
        <v>11858379</v>
      </c>
      <c r="B1234" t="s">
        <v>68</v>
      </c>
    </row>
    <row r="1235" spans="1:2" x14ac:dyDescent="0.25">
      <c r="A1235">
        <v>11859733</v>
      </c>
      <c r="B1235" t="s">
        <v>44</v>
      </c>
    </row>
    <row r="1236" spans="1:2" x14ac:dyDescent="0.25">
      <c r="A1236">
        <v>11860061</v>
      </c>
      <c r="B1236" t="s">
        <v>193</v>
      </c>
    </row>
    <row r="1237" spans="1:2" x14ac:dyDescent="0.25">
      <c r="A1237">
        <v>11940984</v>
      </c>
      <c r="B1237" t="s">
        <v>156</v>
      </c>
    </row>
    <row r="1238" spans="1:2" x14ac:dyDescent="0.25">
      <c r="A1238">
        <v>11969014</v>
      </c>
      <c r="B1238" t="s">
        <v>103</v>
      </c>
    </row>
    <row r="1239" spans="1:2" x14ac:dyDescent="0.25">
      <c r="A1239">
        <v>11935021</v>
      </c>
      <c r="B1239" t="s">
        <v>373</v>
      </c>
    </row>
    <row r="1240" spans="1:2" x14ac:dyDescent="0.25">
      <c r="A1240">
        <v>11890485</v>
      </c>
      <c r="B1240" t="s">
        <v>217</v>
      </c>
    </row>
    <row r="1241" spans="1:2" x14ac:dyDescent="0.25">
      <c r="A1241">
        <v>11896728</v>
      </c>
      <c r="B1241" t="s">
        <v>70</v>
      </c>
    </row>
    <row r="1242" spans="1:2" x14ac:dyDescent="0.25">
      <c r="A1242">
        <v>10622111</v>
      </c>
      <c r="B1242" t="s">
        <v>47</v>
      </c>
    </row>
    <row r="1243" spans="1:2" x14ac:dyDescent="0.25">
      <c r="A1243">
        <v>10622978</v>
      </c>
      <c r="B1243" t="s">
        <v>111</v>
      </c>
    </row>
    <row r="1244" spans="1:2" x14ac:dyDescent="0.25">
      <c r="A1244">
        <v>11278889</v>
      </c>
      <c r="B1244" t="s">
        <v>371</v>
      </c>
    </row>
    <row r="1245" spans="1:2" x14ac:dyDescent="0.25">
      <c r="A1245">
        <v>10624293</v>
      </c>
      <c r="B1245" t="s">
        <v>83</v>
      </c>
    </row>
    <row r="1246" spans="1:2" x14ac:dyDescent="0.25">
      <c r="A1246">
        <v>10784165</v>
      </c>
      <c r="B1246" t="s">
        <v>372</v>
      </c>
    </row>
    <row r="1247" spans="1:2" x14ac:dyDescent="0.25">
      <c r="A1247">
        <v>10826344</v>
      </c>
      <c r="B1247" t="s">
        <v>371</v>
      </c>
    </row>
    <row r="1248" spans="1:2" x14ac:dyDescent="0.25">
      <c r="A1248">
        <v>10891671</v>
      </c>
      <c r="B1248" t="s">
        <v>319</v>
      </c>
    </row>
    <row r="1249" spans="1:2" x14ac:dyDescent="0.25">
      <c r="A1249">
        <v>10771717</v>
      </c>
      <c r="B1249" t="s">
        <v>60</v>
      </c>
    </row>
    <row r="1250" spans="1:2" x14ac:dyDescent="0.25">
      <c r="A1250">
        <v>10856961</v>
      </c>
      <c r="B1250" t="s">
        <v>272</v>
      </c>
    </row>
    <row r="1251" spans="1:2" x14ac:dyDescent="0.25">
      <c r="A1251">
        <v>10809399</v>
      </c>
      <c r="B1251" t="s">
        <v>60</v>
      </c>
    </row>
    <row r="1252" spans="1:2" x14ac:dyDescent="0.25">
      <c r="A1252">
        <v>10930570</v>
      </c>
      <c r="B1252" t="s">
        <v>54</v>
      </c>
    </row>
    <row r="1253" spans="1:2" x14ac:dyDescent="0.25">
      <c r="A1253">
        <v>11330058</v>
      </c>
      <c r="B1253" t="s">
        <v>238</v>
      </c>
    </row>
    <row r="1254" spans="1:2" x14ac:dyDescent="0.25">
      <c r="A1254">
        <v>11335476</v>
      </c>
      <c r="B1254" t="s">
        <v>45</v>
      </c>
    </row>
    <row r="1255" spans="1:2" x14ac:dyDescent="0.25">
      <c r="A1255">
        <v>10858064</v>
      </c>
      <c r="B1255" t="s">
        <v>46</v>
      </c>
    </row>
    <row r="1256" spans="1:2" x14ac:dyDescent="0.25">
      <c r="A1256">
        <v>10589068</v>
      </c>
      <c r="B1256" t="s">
        <v>47</v>
      </c>
    </row>
    <row r="1257" spans="1:2" x14ac:dyDescent="0.25">
      <c r="A1257">
        <v>10911101</v>
      </c>
      <c r="B1257" t="s">
        <v>102</v>
      </c>
    </row>
    <row r="1258" spans="1:2" x14ac:dyDescent="0.25">
      <c r="A1258">
        <v>10580104</v>
      </c>
      <c r="B1258" t="s">
        <v>370</v>
      </c>
    </row>
    <row r="1259" spans="1:2" x14ac:dyDescent="0.25">
      <c r="A1259">
        <v>10814812</v>
      </c>
      <c r="B1259" t="s">
        <v>369</v>
      </c>
    </row>
    <row r="1260" spans="1:2" x14ac:dyDescent="0.25">
      <c r="A1260">
        <v>11574752</v>
      </c>
      <c r="B1260" t="s">
        <v>54</v>
      </c>
    </row>
    <row r="1261" spans="1:2" x14ac:dyDescent="0.25">
      <c r="A1261">
        <v>11559500</v>
      </c>
      <c r="B1261" t="s">
        <v>225</v>
      </c>
    </row>
    <row r="1262" spans="1:2" x14ac:dyDescent="0.25">
      <c r="A1262">
        <v>10751276</v>
      </c>
      <c r="B1262" t="s">
        <v>368</v>
      </c>
    </row>
    <row r="1263" spans="1:2" x14ac:dyDescent="0.25">
      <c r="A1263">
        <v>10752917</v>
      </c>
      <c r="B1263" t="s">
        <v>367</v>
      </c>
    </row>
    <row r="1264" spans="1:2" x14ac:dyDescent="0.25">
      <c r="A1264">
        <v>10757947</v>
      </c>
      <c r="B1264" t="s">
        <v>67</v>
      </c>
    </row>
    <row r="1265" spans="1:2" x14ac:dyDescent="0.25">
      <c r="A1265">
        <v>10781274</v>
      </c>
      <c r="B1265" t="s">
        <v>366</v>
      </c>
    </row>
    <row r="1266" spans="1:2" x14ac:dyDescent="0.25">
      <c r="A1266">
        <v>10781643</v>
      </c>
      <c r="B1266" t="s">
        <v>365</v>
      </c>
    </row>
    <row r="1267" spans="1:2" x14ac:dyDescent="0.25">
      <c r="A1267">
        <v>10782861</v>
      </c>
      <c r="B1267" t="s">
        <v>44</v>
      </c>
    </row>
    <row r="1268" spans="1:2" x14ac:dyDescent="0.25">
      <c r="A1268">
        <v>10786926</v>
      </c>
      <c r="B1268" t="s">
        <v>364</v>
      </c>
    </row>
    <row r="1269" spans="1:2" x14ac:dyDescent="0.25">
      <c r="A1269">
        <v>10722252</v>
      </c>
      <c r="B1269" t="s">
        <v>273</v>
      </c>
    </row>
    <row r="1270" spans="1:2" x14ac:dyDescent="0.25">
      <c r="A1270">
        <v>10723815</v>
      </c>
      <c r="B1270" t="s">
        <v>88</v>
      </c>
    </row>
    <row r="1271" spans="1:2" x14ac:dyDescent="0.25">
      <c r="A1271">
        <v>10719809</v>
      </c>
      <c r="B1271" t="s">
        <v>90</v>
      </c>
    </row>
    <row r="1272" spans="1:2" x14ac:dyDescent="0.25">
      <c r="A1272">
        <v>12019900</v>
      </c>
      <c r="B1272" t="s">
        <v>87</v>
      </c>
    </row>
    <row r="1273" spans="1:2" x14ac:dyDescent="0.25">
      <c r="A1273">
        <v>11960138</v>
      </c>
      <c r="B1273" t="s">
        <v>363</v>
      </c>
    </row>
    <row r="1274" spans="1:2" x14ac:dyDescent="0.25">
      <c r="A1274">
        <v>10732335</v>
      </c>
      <c r="B1274" t="s">
        <v>58</v>
      </c>
    </row>
    <row r="1275" spans="1:2" x14ac:dyDescent="0.25">
      <c r="A1275">
        <v>10737764</v>
      </c>
      <c r="B1275" t="s">
        <v>103</v>
      </c>
    </row>
    <row r="1276" spans="1:2" x14ac:dyDescent="0.25">
      <c r="A1276">
        <v>10676307</v>
      </c>
      <c r="B1276" t="s">
        <v>70</v>
      </c>
    </row>
    <row r="1277" spans="1:2" x14ac:dyDescent="0.25">
      <c r="A1277">
        <v>10695587</v>
      </c>
      <c r="B1277" t="s">
        <v>362</v>
      </c>
    </row>
    <row r="1278" spans="1:2" x14ac:dyDescent="0.25">
      <c r="A1278">
        <v>10700912</v>
      </c>
      <c r="B1278" t="s">
        <v>54</v>
      </c>
    </row>
    <row r="1279" spans="1:2" x14ac:dyDescent="0.25">
      <c r="A1279">
        <v>10676861</v>
      </c>
      <c r="B1279" t="s">
        <v>227</v>
      </c>
    </row>
    <row r="1280" spans="1:2" x14ac:dyDescent="0.25">
      <c r="A1280">
        <v>10847743</v>
      </c>
      <c r="B1280" t="s">
        <v>224</v>
      </c>
    </row>
    <row r="1281" spans="1:2" x14ac:dyDescent="0.25">
      <c r="A1281">
        <v>10853573</v>
      </c>
      <c r="B1281" t="s">
        <v>68</v>
      </c>
    </row>
    <row r="1282" spans="1:2" x14ac:dyDescent="0.25">
      <c r="A1282">
        <v>10875908</v>
      </c>
      <c r="B1282" t="s">
        <v>82</v>
      </c>
    </row>
    <row r="1283" spans="1:2" x14ac:dyDescent="0.25">
      <c r="A1283">
        <v>10869984</v>
      </c>
      <c r="B1283" t="s">
        <v>116</v>
      </c>
    </row>
    <row r="1284" spans="1:2" x14ac:dyDescent="0.25">
      <c r="A1284">
        <v>10867135</v>
      </c>
      <c r="B1284" t="s">
        <v>361</v>
      </c>
    </row>
    <row r="1285" spans="1:2" x14ac:dyDescent="0.25">
      <c r="A1285">
        <v>10869376</v>
      </c>
      <c r="B1285" t="s">
        <v>66</v>
      </c>
    </row>
    <row r="1286" spans="1:2" x14ac:dyDescent="0.25">
      <c r="A1286">
        <v>10900229</v>
      </c>
      <c r="B1286" t="s">
        <v>360</v>
      </c>
    </row>
    <row r="1287" spans="1:2" x14ac:dyDescent="0.25">
      <c r="A1287">
        <v>10902238</v>
      </c>
      <c r="B1287" t="s">
        <v>359</v>
      </c>
    </row>
    <row r="1288" spans="1:2" x14ac:dyDescent="0.25">
      <c r="A1288">
        <v>10919312</v>
      </c>
      <c r="B1288" t="s">
        <v>225</v>
      </c>
    </row>
    <row r="1289" spans="1:2" x14ac:dyDescent="0.25">
      <c r="A1289">
        <v>10919700</v>
      </c>
      <c r="B1289" t="s">
        <v>47</v>
      </c>
    </row>
    <row r="1290" spans="1:2" x14ac:dyDescent="0.25">
      <c r="A1290">
        <v>10904393</v>
      </c>
      <c r="B1290" t="s">
        <v>45</v>
      </c>
    </row>
    <row r="1291" spans="1:2" x14ac:dyDescent="0.25">
      <c r="A1291">
        <v>10906514</v>
      </c>
      <c r="B1291" t="s">
        <v>83</v>
      </c>
    </row>
    <row r="1292" spans="1:2" x14ac:dyDescent="0.25">
      <c r="A1292">
        <v>10907124</v>
      </c>
      <c r="B1292" t="s">
        <v>116</v>
      </c>
    </row>
    <row r="1293" spans="1:2" x14ac:dyDescent="0.25">
      <c r="A1293">
        <v>10892348</v>
      </c>
      <c r="B1293" t="s">
        <v>60</v>
      </c>
    </row>
    <row r="1294" spans="1:2" x14ac:dyDescent="0.25">
      <c r="A1294">
        <v>10881125</v>
      </c>
      <c r="B1294" t="s">
        <v>109</v>
      </c>
    </row>
    <row r="1295" spans="1:2" x14ac:dyDescent="0.25">
      <c r="A1295">
        <v>10881272</v>
      </c>
      <c r="B1295" t="s">
        <v>170</v>
      </c>
    </row>
    <row r="1296" spans="1:2" x14ac:dyDescent="0.25">
      <c r="A1296">
        <v>10881477</v>
      </c>
      <c r="B1296" t="s">
        <v>94</v>
      </c>
    </row>
    <row r="1297" spans="1:2" x14ac:dyDescent="0.25">
      <c r="A1297">
        <v>10890788</v>
      </c>
      <c r="B1297" t="s">
        <v>46</v>
      </c>
    </row>
    <row r="1298" spans="1:2" x14ac:dyDescent="0.25">
      <c r="A1298">
        <v>10891217</v>
      </c>
      <c r="B1298" t="s">
        <v>358</v>
      </c>
    </row>
    <row r="1299" spans="1:2" x14ac:dyDescent="0.25">
      <c r="A1299">
        <v>10818889</v>
      </c>
      <c r="B1299" t="s">
        <v>357</v>
      </c>
    </row>
    <row r="1300" spans="1:2" x14ac:dyDescent="0.25">
      <c r="A1300">
        <v>10819264</v>
      </c>
      <c r="B1300" t="s">
        <v>112</v>
      </c>
    </row>
    <row r="1301" spans="1:2" x14ac:dyDescent="0.25">
      <c r="A1301">
        <v>10835018</v>
      </c>
      <c r="B1301" t="s">
        <v>196</v>
      </c>
    </row>
    <row r="1302" spans="1:2" x14ac:dyDescent="0.25">
      <c r="A1302">
        <v>10835272</v>
      </c>
      <c r="B1302" t="s">
        <v>47</v>
      </c>
    </row>
    <row r="1303" spans="1:2" x14ac:dyDescent="0.25">
      <c r="A1303">
        <v>10843941</v>
      </c>
      <c r="B1303" t="s">
        <v>356</v>
      </c>
    </row>
    <row r="1304" spans="1:2" x14ac:dyDescent="0.25">
      <c r="A1304">
        <v>10804250</v>
      </c>
      <c r="B1304" t="s">
        <v>46</v>
      </c>
    </row>
    <row r="1305" spans="1:2" x14ac:dyDescent="0.25">
      <c r="A1305">
        <v>11277930</v>
      </c>
      <c r="B1305" t="s">
        <v>60</v>
      </c>
    </row>
    <row r="1306" spans="1:2" x14ac:dyDescent="0.25">
      <c r="A1306">
        <v>11363733</v>
      </c>
      <c r="B1306" t="s">
        <v>70</v>
      </c>
    </row>
    <row r="1307" spans="1:2" x14ac:dyDescent="0.25">
      <c r="A1307">
        <v>11378708</v>
      </c>
      <c r="B1307" t="s">
        <v>86</v>
      </c>
    </row>
    <row r="1308" spans="1:2" x14ac:dyDescent="0.25">
      <c r="A1308">
        <v>11381737</v>
      </c>
      <c r="B1308" t="s">
        <v>111</v>
      </c>
    </row>
    <row r="1309" spans="1:2" x14ac:dyDescent="0.25">
      <c r="A1309">
        <v>11386198</v>
      </c>
      <c r="B1309" t="s">
        <v>156</v>
      </c>
    </row>
    <row r="1310" spans="1:2" x14ac:dyDescent="0.25">
      <c r="A1310">
        <v>11386957</v>
      </c>
      <c r="B1310" t="s">
        <v>355</v>
      </c>
    </row>
    <row r="1311" spans="1:2" x14ac:dyDescent="0.25">
      <c r="A1311">
        <v>11393433</v>
      </c>
      <c r="B1311" t="s">
        <v>53</v>
      </c>
    </row>
    <row r="1312" spans="1:2" x14ac:dyDescent="0.25">
      <c r="A1312">
        <v>11394670</v>
      </c>
      <c r="B1312" t="s">
        <v>45</v>
      </c>
    </row>
    <row r="1313" spans="1:2" x14ac:dyDescent="0.25">
      <c r="A1313">
        <v>11707158</v>
      </c>
      <c r="B1313" t="s">
        <v>208</v>
      </c>
    </row>
    <row r="1314" spans="1:2" x14ac:dyDescent="0.25">
      <c r="A1314">
        <v>11774152</v>
      </c>
      <c r="B1314" t="s">
        <v>131</v>
      </c>
    </row>
    <row r="1315" spans="1:2" x14ac:dyDescent="0.25">
      <c r="A1315">
        <v>11782560</v>
      </c>
      <c r="B1315" t="s">
        <v>83</v>
      </c>
    </row>
    <row r="1316" spans="1:2" x14ac:dyDescent="0.25">
      <c r="A1316">
        <v>11743832</v>
      </c>
      <c r="B1316" t="s">
        <v>354</v>
      </c>
    </row>
    <row r="1317" spans="1:2" x14ac:dyDescent="0.25">
      <c r="A1317">
        <v>11769641</v>
      </c>
      <c r="B1317" t="s">
        <v>183</v>
      </c>
    </row>
    <row r="1318" spans="1:2" x14ac:dyDescent="0.25">
      <c r="A1318">
        <v>11751698</v>
      </c>
      <c r="B1318" t="s">
        <v>44</v>
      </c>
    </row>
    <row r="1319" spans="1:2" x14ac:dyDescent="0.25">
      <c r="A1319">
        <v>11790582</v>
      </c>
      <c r="B1319" t="s">
        <v>44</v>
      </c>
    </row>
    <row r="1320" spans="1:2" x14ac:dyDescent="0.25">
      <c r="A1320">
        <v>11791566</v>
      </c>
      <c r="B1320" t="s">
        <v>353</v>
      </c>
    </row>
    <row r="1321" spans="1:2" x14ac:dyDescent="0.25">
      <c r="A1321">
        <v>11808710</v>
      </c>
      <c r="B1321" t="s">
        <v>266</v>
      </c>
    </row>
    <row r="1322" spans="1:2" x14ac:dyDescent="0.25">
      <c r="A1322">
        <v>11724691</v>
      </c>
      <c r="B1322" t="s">
        <v>173</v>
      </c>
    </row>
    <row r="1323" spans="1:2" x14ac:dyDescent="0.25">
      <c r="A1323">
        <v>11731181</v>
      </c>
      <c r="B1323" t="s">
        <v>68</v>
      </c>
    </row>
    <row r="1324" spans="1:2" x14ac:dyDescent="0.25">
      <c r="A1324">
        <v>11733769</v>
      </c>
      <c r="B1324" t="s">
        <v>352</v>
      </c>
    </row>
    <row r="1325" spans="1:2" x14ac:dyDescent="0.25">
      <c r="A1325">
        <v>11891688</v>
      </c>
      <c r="B1325" t="s">
        <v>44</v>
      </c>
    </row>
    <row r="1326" spans="1:2" x14ac:dyDescent="0.25">
      <c r="A1326">
        <v>11595124</v>
      </c>
      <c r="B1326" t="s">
        <v>47</v>
      </c>
    </row>
    <row r="1327" spans="1:2" x14ac:dyDescent="0.25">
      <c r="A1327">
        <v>11591965</v>
      </c>
      <c r="B1327" t="s">
        <v>47</v>
      </c>
    </row>
    <row r="1328" spans="1:2" x14ac:dyDescent="0.25">
      <c r="A1328">
        <v>11709317</v>
      </c>
      <c r="B1328" t="s">
        <v>122</v>
      </c>
    </row>
    <row r="1329" spans="1:2" x14ac:dyDescent="0.25">
      <c r="A1329">
        <v>11679154</v>
      </c>
      <c r="B1329" t="s">
        <v>90</v>
      </c>
    </row>
    <row r="1330" spans="1:2" x14ac:dyDescent="0.25">
      <c r="A1330">
        <v>11846530</v>
      </c>
      <c r="B1330" t="s">
        <v>351</v>
      </c>
    </row>
    <row r="1331" spans="1:2" x14ac:dyDescent="0.25">
      <c r="A1331">
        <v>11897685</v>
      </c>
      <c r="B1331" t="s">
        <v>116</v>
      </c>
    </row>
    <row r="1332" spans="1:2" x14ac:dyDescent="0.25">
      <c r="A1332">
        <v>11902488</v>
      </c>
      <c r="B1332" t="s">
        <v>47</v>
      </c>
    </row>
    <row r="1333" spans="1:2" x14ac:dyDescent="0.25">
      <c r="A1333">
        <v>11927761</v>
      </c>
      <c r="B1333" t="s">
        <v>193</v>
      </c>
    </row>
    <row r="1334" spans="1:2" x14ac:dyDescent="0.25">
      <c r="A1334">
        <v>11925799</v>
      </c>
      <c r="B1334" t="s">
        <v>156</v>
      </c>
    </row>
    <row r="1335" spans="1:2" x14ac:dyDescent="0.25">
      <c r="A1335">
        <v>11600105</v>
      </c>
      <c r="B1335" t="s">
        <v>47</v>
      </c>
    </row>
    <row r="1336" spans="1:2" x14ac:dyDescent="0.25">
      <c r="A1336">
        <v>11600363</v>
      </c>
      <c r="B1336" t="s">
        <v>68</v>
      </c>
    </row>
    <row r="1337" spans="1:2" x14ac:dyDescent="0.25">
      <c r="A1337">
        <v>11593118</v>
      </c>
      <c r="B1337" t="s">
        <v>193</v>
      </c>
    </row>
    <row r="1338" spans="1:2" x14ac:dyDescent="0.25">
      <c r="A1338">
        <v>11543721</v>
      </c>
      <c r="B1338" t="s">
        <v>90</v>
      </c>
    </row>
    <row r="1339" spans="1:2" x14ac:dyDescent="0.25">
      <c r="A1339">
        <v>11543815</v>
      </c>
      <c r="B1339" t="s">
        <v>156</v>
      </c>
    </row>
    <row r="1340" spans="1:2" x14ac:dyDescent="0.25">
      <c r="A1340">
        <v>11543517</v>
      </c>
      <c r="B1340" t="s">
        <v>83</v>
      </c>
    </row>
    <row r="1341" spans="1:2" x14ac:dyDescent="0.25">
      <c r="A1341">
        <v>11543679</v>
      </c>
      <c r="B1341" t="s">
        <v>350</v>
      </c>
    </row>
    <row r="1342" spans="1:2" x14ac:dyDescent="0.25">
      <c r="A1342">
        <v>11548811</v>
      </c>
      <c r="B1342" t="s">
        <v>248</v>
      </c>
    </row>
    <row r="1343" spans="1:2" x14ac:dyDescent="0.25">
      <c r="A1343">
        <v>11551054</v>
      </c>
      <c r="B1343" t="s">
        <v>208</v>
      </c>
    </row>
    <row r="1344" spans="1:2" x14ac:dyDescent="0.25">
      <c r="A1344">
        <v>11554257</v>
      </c>
      <c r="B1344" t="s">
        <v>273</v>
      </c>
    </row>
    <row r="1345" spans="1:2" x14ac:dyDescent="0.25">
      <c r="A1345">
        <v>11555555</v>
      </c>
      <c r="B1345" t="s">
        <v>44</v>
      </c>
    </row>
    <row r="1346" spans="1:2" x14ac:dyDescent="0.25">
      <c r="A1346">
        <v>11556695</v>
      </c>
      <c r="B1346" t="s">
        <v>74</v>
      </c>
    </row>
    <row r="1347" spans="1:2" x14ac:dyDescent="0.25">
      <c r="A1347">
        <v>11557008</v>
      </c>
      <c r="B1347" t="s">
        <v>139</v>
      </c>
    </row>
    <row r="1348" spans="1:2" x14ac:dyDescent="0.25">
      <c r="A1348">
        <v>11612198</v>
      </c>
      <c r="B1348" t="s">
        <v>173</v>
      </c>
    </row>
    <row r="1349" spans="1:2" x14ac:dyDescent="0.25">
      <c r="A1349">
        <v>11613069</v>
      </c>
      <c r="B1349" t="s">
        <v>349</v>
      </c>
    </row>
    <row r="1350" spans="1:2" x14ac:dyDescent="0.25">
      <c r="A1350">
        <v>11616837</v>
      </c>
      <c r="B1350" t="s">
        <v>47</v>
      </c>
    </row>
    <row r="1351" spans="1:2" x14ac:dyDescent="0.25">
      <c r="A1351">
        <v>11616890</v>
      </c>
      <c r="B1351" t="s">
        <v>47</v>
      </c>
    </row>
    <row r="1352" spans="1:2" x14ac:dyDescent="0.25">
      <c r="A1352">
        <v>11622611</v>
      </c>
      <c r="B1352" t="s">
        <v>44</v>
      </c>
    </row>
    <row r="1353" spans="1:2" x14ac:dyDescent="0.25">
      <c r="A1353">
        <v>11627170</v>
      </c>
      <c r="B1353" t="s">
        <v>44</v>
      </c>
    </row>
    <row r="1354" spans="1:2" x14ac:dyDescent="0.25">
      <c r="A1354">
        <v>11630049</v>
      </c>
      <c r="B1354" t="s">
        <v>286</v>
      </c>
    </row>
    <row r="1355" spans="1:2" x14ac:dyDescent="0.25">
      <c r="A1355">
        <v>11631525</v>
      </c>
      <c r="B1355" t="s">
        <v>44</v>
      </c>
    </row>
    <row r="1356" spans="1:2" x14ac:dyDescent="0.25">
      <c r="A1356">
        <v>11681229</v>
      </c>
      <c r="B1356" t="s">
        <v>68</v>
      </c>
    </row>
    <row r="1357" spans="1:2" x14ac:dyDescent="0.25">
      <c r="A1357">
        <v>11683887</v>
      </c>
      <c r="B1357" t="s">
        <v>68</v>
      </c>
    </row>
    <row r="1358" spans="1:2" x14ac:dyDescent="0.25">
      <c r="A1358">
        <v>11967038</v>
      </c>
      <c r="B1358" t="s">
        <v>348</v>
      </c>
    </row>
    <row r="1359" spans="1:2" x14ac:dyDescent="0.25">
      <c r="A1359">
        <v>11891246</v>
      </c>
      <c r="B1359" t="s">
        <v>280</v>
      </c>
    </row>
    <row r="1360" spans="1:2" x14ac:dyDescent="0.25">
      <c r="A1360">
        <v>11218881</v>
      </c>
      <c r="B1360" t="s">
        <v>44</v>
      </c>
    </row>
    <row r="1361" spans="1:2" x14ac:dyDescent="0.25">
      <c r="A1361">
        <v>11048263</v>
      </c>
      <c r="B1361" t="s">
        <v>72</v>
      </c>
    </row>
    <row r="1362" spans="1:2" x14ac:dyDescent="0.25">
      <c r="A1362">
        <v>11047039</v>
      </c>
      <c r="B1362" t="s">
        <v>102</v>
      </c>
    </row>
    <row r="1363" spans="1:2" x14ac:dyDescent="0.25">
      <c r="A1363">
        <v>11406886</v>
      </c>
      <c r="B1363" t="s">
        <v>90</v>
      </c>
    </row>
    <row r="1364" spans="1:2" x14ac:dyDescent="0.25">
      <c r="A1364">
        <v>10667200</v>
      </c>
      <c r="B1364" t="s">
        <v>225</v>
      </c>
    </row>
    <row r="1365" spans="1:2" x14ac:dyDescent="0.25">
      <c r="A1365">
        <v>11911048</v>
      </c>
      <c r="B1365" t="s">
        <v>47</v>
      </c>
    </row>
    <row r="1366" spans="1:2" x14ac:dyDescent="0.25">
      <c r="A1366">
        <v>11853229</v>
      </c>
      <c r="B1366" t="s">
        <v>347</v>
      </c>
    </row>
    <row r="1367" spans="1:2" x14ac:dyDescent="0.25">
      <c r="A1367">
        <v>11856405</v>
      </c>
      <c r="B1367" t="s">
        <v>88</v>
      </c>
    </row>
    <row r="1368" spans="1:2" x14ac:dyDescent="0.25">
      <c r="A1368">
        <v>11858399</v>
      </c>
      <c r="B1368" t="s">
        <v>44</v>
      </c>
    </row>
    <row r="1369" spans="1:2" x14ac:dyDescent="0.25">
      <c r="A1369">
        <v>11858400</v>
      </c>
      <c r="B1369" t="s">
        <v>44</v>
      </c>
    </row>
    <row r="1370" spans="1:2" x14ac:dyDescent="0.25">
      <c r="A1370">
        <v>11858510</v>
      </c>
      <c r="B1370" t="s">
        <v>346</v>
      </c>
    </row>
    <row r="1371" spans="1:2" x14ac:dyDescent="0.25">
      <c r="A1371">
        <v>11858333</v>
      </c>
      <c r="B1371" t="s">
        <v>345</v>
      </c>
    </row>
    <row r="1372" spans="1:2" x14ac:dyDescent="0.25">
      <c r="A1372">
        <v>11860891</v>
      </c>
      <c r="B1372" t="s">
        <v>344</v>
      </c>
    </row>
    <row r="1373" spans="1:2" x14ac:dyDescent="0.25">
      <c r="A1373">
        <v>11861264</v>
      </c>
      <c r="B1373" t="s">
        <v>57</v>
      </c>
    </row>
    <row r="1374" spans="1:2" x14ac:dyDescent="0.25">
      <c r="A1374">
        <v>11864208</v>
      </c>
      <c r="B1374" t="s">
        <v>168</v>
      </c>
    </row>
    <row r="1375" spans="1:2" x14ac:dyDescent="0.25">
      <c r="A1375">
        <v>11869281</v>
      </c>
      <c r="B1375" t="s">
        <v>121</v>
      </c>
    </row>
    <row r="1376" spans="1:2" x14ac:dyDescent="0.25">
      <c r="A1376">
        <v>11873177</v>
      </c>
      <c r="B1376" t="s">
        <v>88</v>
      </c>
    </row>
    <row r="1377" spans="1:2" x14ac:dyDescent="0.25">
      <c r="A1377">
        <v>11873320</v>
      </c>
      <c r="B1377" t="s">
        <v>195</v>
      </c>
    </row>
    <row r="1378" spans="1:2" x14ac:dyDescent="0.25">
      <c r="A1378">
        <v>11829866</v>
      </c>
      <c r="B1378" t="s">
        <v>47</v>
      </c>
    </row>
    <row r="1379" spans="1:2" x14ac:dyDescent="0.25">
      <c r="A1379">
        <v>12024396</v>
      </c>
      <c r="B1379" t="s">
        <v>102</v>
      </c>
    </row>
    <row r="1380" spans="1:2" x14ac:dyDescent="0.25">
      <c r="A1380">
        <v>12025481</v>
      </c>
      <c r="B1380" t="s">
        <v>343</v>
      </c>
    </row>
    <row r="1381" spans="1:2" x14ac:dyDescent="0.25">
      <c r="A1381">
        <v>12021721</v>
      </c>
      <c r="B1381" t="s">
        <v>250</v>
      </c>
    </row>
    <row r="1382" spans="1:2" x14ac:dyDescent="0.25">
      <c r="A1382">
        <v>12020242</v>
      </c>
      <c r="B1382" t="s">
        <v>102</v>
      </c>
    </row>
    <row r="1383" spans="1:2" x14ac:dyDescent="0.25">
      <c r="A1383">
        <v>12019279</v>
      </c>
      <c r="B1383" t="s">
        <v>227</v>
      </c>
    </row>
    <row r="1384" spans="1:2" x14ac:dyDescent="0.25">
      <c r="A1384">
        <v>12022000</v>
      </c>
      <c r="B1384" t="s">
        <v>227</v>
      </c>
    </row>
    <row r="1385" spans="1:2" x14ac:dyDescent="0.25">
      <c r="A1385">
        <v>12022134</v>
      </c>
      <c r="B1385" t="s">
        <v>342</v>
      </c>
    </row>
    <row r="1386" spans="1:2" x14ac:dyDescent="0.25">
      <c r="A1386">
        <v>12022332</v>
      </c>
      <c r="B1386" t="s">
        <v>95</v>
      </c>
    </row>
    <row r="1387" spans="1:2" x14ac:dyDescent="0.25">
      <c r="A1387">
        <v>12022510</v>
      </c>
      <c r="B1387" t="s">
        <v>45</v>
      </c>
    </row>
    <row r="1388" spans="1:2" x14ac:dyDescent="0.25">
      <c r="A1388">
        <v>12023201</v>
      </c>
      <c r="B1388" t="s">
        <v>44</v>
      </c>
    </row>
    <row r="1389" spans="1:2" x14ac:dyDescent="0.25">
      <c r="A1389">
        <v>11890561</v>
      </c>
      <c r="B1389" t="s">
        <v>44</v>
      </c>
    </row>
    <row r="1390" spans="1:2" x14ac:dyDescent="0.25">
      <c r="A1390">
        <v>11995589</v>
      </c>
      <c r="B1390" t="s">
        <v>68</v>
      </c>
    </row>
    <row r="1391" spans="1:2" x14ac:dyDescent="0.25">
      <c r="A1391">
        <v>11941048</v>
      </c>
      <c r="B1391" t="s">
        <v>47</v>
      </c>
    </row>
    <row r="1392" spans="1:2" x14ac:dyDescent="0.25">
      <c r="A1392">
        <v>12007708</v>
      </c>
      <c r="B1392" t="s">
        <v>341</v>
      </c>
    </row>
    <row r="1393" spans="1:2" x14ac:dyDescent="0.25">
      <c r="A1393">
        <v>12008251</v>
      </c>
      <c r="B1393" t="s">
        <v>47</v>
      </c>
    </row>
    <row r="1394" spans="1:2" x14ac:dyDescent="0.25">
      <c r="A1394">
        <v>12008872</v>
      </c>
      <c r="B1394" t="s">
        <v>90</v>
      </c>
    </row>
    <row r="1395" spans="1:2" x14ac:dyDescent="0.25">
      <c r="A1395">
        <v>11933359</v>
      </c>
      <c r="B1395" t="s">
        <v>340</v>
      </c>
    </row>
    <row r="1396" spans="1:2" x14ac:dyDescent="0.25">
      <c r="A1396">
        <v>11971676</v>
      </c>
      <c r="B1396" t="s">
        <v>184</v>
      </c>
    </row>
    <row r="1397" spans="1:2" x14ac:dyDescent="0.25">
      <c r="A1397">
        <v>11967846</v>
      </c>
      <c r="B1397" t="s">
        <v>339</v>
      </c>
    </row>
    <row r="1398" spans="1:2" x14ac:dyDescent="0.25">
      <c r="A1398">
        <v>11969025</v>
      </c>
      <c r="B1398" t="s">
        <v>44</v>
      </c>
    </row>
    <row r="1399" spans="1:2" x14ac:dyDescent="0.25">
      <c r="A1399">
        <v>11953055</v>
      </c>
      <c r="B1399" t="s">
        <v>338</v>
      </c>
    </row>
    <row r="1400" spans="1:2" x14ac:dyDescent="0.25">
      <c r="A1400">
        <v>11644204</v>
      </c>
      <c r="B1400" t="s">
        <v>90</v>
      </c>
    </row>
    <row r="1401" spans="1:2" x14ac:dyDescent="0.25">
      <c r="A1401">
        <v>11552801</v>
      </c>
      <c r="B1401" t="s">
        <v>112</v>
      </c>
    </row>
    <row r="1402" spans="1:2" x14ac:dyDescent="0.25">
      <c r="A1402">
        <v>11553834</v>
      </c>
      <c r="B1402" t="s">
        <v>60</v>
      </c>
    </row>
    <row r="1403" spans="1:2" x14ac:dyDescent="0.25">
      <c r="A1403">
        <v>11560796</v>
      </c>
      <c r="B1403" t="s">
        <v>276</v>
      </c>
    </row>
    <row r="1404" spans="1:2" x14ac:dyDescent="0.25">
      <c r="A1404">
        <v>11570699</v>
      </c>
      <c r="B1404" t="s">
        <v>174</v>
      </c>
    </row>
    <row r="1405" spans="1:2" x14ac:dyDescent="0.25">
      <c r="A1405">
        <v>11570745</v>
      </c>
      <c r="B1405" t="s">
        <v>83</v>
      </c>
    </row>
    <row r="1406" spans="1:2" x14ac:dyDescent="0.25">
      <c r="A1406">
        <v>11591073</v>
      </c>
      <c r="B1406" t="s">
        <v>82</v>
      </c>
    </row>
    <row r="1407" spans="1:2" x14ac:dyDescent="0.25">
      <c r="A1407">
        <v>11592268</v>
      </c>
      <c r="B1407" t="s">
        <v>337</v>
      </c>
    </row>
    <row r="1408" spans="1:2" x14ac:dyDescent="0.25">
      <c r="A1408">
        <v>11592429</v>
      </c>
      <c r="B1408" t="s">
        <v>70</v>
      </c>
    </row>
    <row r="1409" spans="1:2" x14ac:dyDescent="0.25">
      <c r="A1409">
        <v>11592898</v>
      </c>
      <c r="B1409" t="s">
        <v>336</v>
      </c>
    </row>
    <row r="1410" spans="1:2" x14ac:dyDescent="0.25">
      <c r="A1410">
        <v>11598519</v>
      </c>
      <c r="B1410" t="s">
        <v>70</v>
      </c>
    </row>
    <row r="1411" spans="1:2" x14ac:dyDescent="0.25">
      <c r="A1411">
        <v>11663071</v>
      </c>
      <c r="B1411" t="s">
        <v>58</v>
      </c>
    </row>
    <row r="1412" spans="1:2" x14ac:dyDescent="0.25">
      <c r="A1412">
        <v>11663580</v>
      </c>
      <c r="B1412" t="s">
        <v>70</v>
      </c>
    </row>
    <row r="1413" spans="1:2" x14ac:dyDescent="0.25">
      <c r="A1413">
        <v>11666828</v>
      </c>
      <c r="B1413" t="s">
        <v>47</v>
      </c>
    </row>
    <row r="1414" spans="1:2" x14ac:dyDescent="0.25">
      <c r="A1414">
        <v>10954443</v>
      </c>
      <c r="B1414" t="s">
        <v>57</v>
      </c>
    </row>
    <row r="1415" spans="1:2" x14ac:dyDescent="0.25">
      <c r="A1415">
        <v>11860332</v>
      </c>
      <c r="B1415" t="s">
        <v>47</v>
      </c>
    </row>
    <row r="1416" spans="1:2" x14ac:dyDescent="0.25">
      <c r="A1416">
        <v>11865775</v>
      </c>
      <c r="B1416" t="s">
        <v>335</v>
      </c>
    </row>
    <row r="1417" spans="1:2" x14ac:dyDescent="0.25">
      <c r="A1417">
        <v>11892084</v>
      </c>
      <c r="B1417" t="s">
        <v>44</v>
      </c>
    </row>
    <row r="1418" spans="1:2" x14ac:dyDescent="0.25">
      <c r="A1418">
        <v>11939049</v>
      </c>
      <c r="B1418" t="s">
        <v>68</v>
      </c>
    </row>
    <row r="1419" spans="1:2" x14ac:dyDescent="0.25">
      <c r="A1419">
        <v>11806457</v>
      </c>
      <c r="B1419" t="s">
        <v>60</v>
      </c>
    </row>
    <row r="1420" spans="1:2" x14ac:dyDescent="0.25">
      <c r="A1420">
        <v>11616387</v>
      </c>
      <c r="B1420" t="s">
        <v>334</v>
      </c>
    </row>
    <row r="1421" spans="1:2" x14ac:dyDescent="0.25">
      <c r="A1421">
        <v>11623516</v>
      </c>
      <c r="B1421" t="s">
        <v>170</v>
      </c>
    </row>
    <row r="1422" spans="1:2" x14ac:dyDescent="0.25">
      <c r="A1422">
        <v>11736808</v>
      </c>
      <c r="B1422" t="s">
        <v>208</v>
      </c>
    </row>
    <row r="1423" spans="1:2" x14ac:dyDescent="0.25">
      <c r="A1423">
        <v>11707790</v>
      </c>
      <c r="B1423" t="s">
        <v>333</v>
      </c>
    </row>
    <row r="1424" spans="1:2" x14ac:dyDescent="0.25">
      <c r="A1424">
        <v>11756567</v>
      </c>
      <c r="B1424" t="s">
        <v>68</v>
      </c>
    </row>
    <row r="1425" spans="1:2" x14ac:dyDescent="0.25">
      <c r="A1425">
        <v>10940074</v>
      </c>
      <c r="B1425" t="s">
        <v>332</v>
      </c>
    </row>
    <row r="1426" spans="1:2" x14ac:dyDescent="0.25">
      <c r="A1426">
        <v>11787509</v>
      </c>
      <c r="B1426" t="s">
        <v>47</v>
      </c>
    </row>
    <row r="1427" spans="1:2" x14ac:dyDescent="0.25">
      <c r="A1427">
        <v>11787607</v>
      </c>
      <c r="B1427" t="s">
        <v>55</v>
      </c>
    </row>
    <row r="1428" spans="1:2" x14ac:dyDescent="0.25">
      <c r="A1428">
        <v>11788827</v>
      </c>
      <c r="B1428" t="s">
        <v>68</v>
      </c>
    </row>
    <row r="1429" spans="1:2" x14ac:dyDescent="0.25">
      <c r="A1429">
        <v>11058513</v>
      </c>
      <c r="B1429" t="s">
        <v>47</v>
      </c>
    </row>
    <row r="1430" spans="1:2" x14ac:dyDescent="0.25">
      <c r="A1430">
        <v>11058003</v>
      </c>
      <c r="B1430" t="s">
        <v>44</v>
      </c>
    </row>
    <row r="1431" spans="1:2" x14ac:dyDescent="0.25">
      <c r="A1431">
        <v>11046834</v>
      </c>
      <c r="B1431" t="s">
        <v>86</v>
      </c>
    </row>
    <row r="1432" spans="1:2" x14ac:dyDescent="0.25">
      <c r="A1432">
        <v>11047063</v>
      </c>
      <c r="B1432" t="s">
        <v>331</v>
      </c>
    </row>
    <row r="1433" spans="1:2" x14ac:dyDescent="0.25">
      <c r="A1433">
        <v>11007414</v>
      </c>
      <c r="B1433" t="s">
        <v>58</v>
      </c>
    </row>
    <row r="1434" spans="1:2" x14ac:dyDescent="0.25">
      <c r="A1434">
        <v>11007850</v>
      </c>
      <c r="B1434" t="s">
        <v>330</v>
      </c>
    </row>
    <row r="1435" spans="1:2" x14ac:dyDescent="0.25">
      <c r="A1435">
        <v>11028212</v>
      </c>
      <c r="B1435" t="s">
        <v>44</v>
      </c>
    </row>
    <row r="1436" spans="1:2" x14ac:dyDescent="0.25">
      <c r="A1436">
        <v>11028705</v>
      </c>
      <c r="B1436" t="s">
        <v>329</v>
      </c>
    </row>
    <row r="1437" spans="1:2" x14ac:dyDescent="0.25">
      <c r="A1437">
        <v>10981395</v>
      </c>
      <c r="B1437" t="s">
        <v>67</v>
      </c>
    </row>
    <row r="1438" spans="1:2" x14ac:dyDescent="0.25">
      <c r="A1438">
        <v>10981593</v>
      </c>
      <c r="B1438" t="s">
        <v>67</v>
      </c>
    </row>
    <row r="1439" spans="1:2" x14ac:dyDescent="0.25">
      <c r="A1439">
        <v>10961649</v>
      </c>
      <c r="B1439" t="s">
        <v>328</v>
      </c>
    </row>
    <row r="1440" spans="1:2" x14ac:dyDescent="0.25">
      <c r="A1440">
        <v>10992161</v>
      </c>
      <c r="B1440" t="s">
        <v>95</v>
      </c>
    </row>
    <row r="1441" spans="1:2" x14ac:dyDescent="0.25">
      <c r="A1441">
        <v>10992174</v>
      </c>
      <c r="B1441" t="s">
        <v>181</v>
      </c>
    </row>
    <row r="1442" spans="1:2" x14ac:dyDescent="0.25">
      <c r="A1442">
        <v>11003012</v>
      </c>
      <c r="B1442" t="s">
        <v>187</v>
      </c>
    </row>
    <row r="1443" spans="1:2" x14ac:dyDescent="0.25">
      <c r="A1443">
        <v>11007926</v>
      </c>
      <c r="B1443" t="s">
        <v>327</v>
      </c>
    </row>
    <row r="1444" spans="1:2" x14ac:dyDescent="0.25">
      <c r="A1444">
        <v>11008930</v>
      </c>
      <c r="B1444" t="s">
        <v>326</v>
      </c>
    </row>
    <row r="1445" spans="1:2" x14ac:dyDescent="0.25">
      <c r="A1445">
        <v>10934164</v>
      </c>
      <c r="B1445" t="s">
        <v>186</v>
      </c>
    </row>
    <row r="1446" spans="1:2" x14ac:dyDescent="0.25">
      <c r="A1446">
        <v>10934175</v>
      </c>
      <c r="B1446" t="s">
        <v>186</v>
      </c>
    </row>
    <row r="1447" spans="1:2" x14ac:dyDescent="0.25">
      <c r="A1447">
        <v>10934885</v>
      </c>
      <c r="B1447" t="s">
        <v>156</v>
      </c>
    </row>
    <row r="1448" spans="1:2" x14ac:dyDescent="0.25">
      <c r="A1448">
        <v>10935826</v>
      </c>
      <c r="B1448" t="s">
        <v>134</v>
      </c>
    </row>
    <row r="1449" spans="1:2" x14ac:dyDescent="0.25">
      <c r="A1449">
        <v>10920794</v>
      </c>
      <c r="B1449" t="s">
        <v>280</v>
      </c>
    </row>
    <row r="1450" spans="1:2" x14ac:dyDescent="0.25">
      <c r="A1450">
        <v>10920847</v>
      </c>
      <c r="B1450" t="s">
        <v>325</v>
      </c>
    </row>
    <row r="1451" spans="1:2" x14ac:dyDescent="0.25">
      <c r="A1451">
        <v>10920931</v>
      </c>
      <c r="B1451" t="s">
        <v>224</v>
      </c>
    </row>
    <row r="1452" spans="1:2" x14ac:dyDescent="0.25">
      <c r="A1452">
        <v>10921537</v>
      </c>
      <c r="B1452" t="s">
        <v>324</v>
      </c>
    </row>
    <row r="1453" spans="1:2" x14ac:dyDescent="0.25">
      <c r="A1453">
        <v>10922017</v>
      </c>
      <c r="B1453" t="s">
        <v>206</v>
      </c>
    </row>
    <row r="1454" spans="1:2" x14ac:dyDescent="0.25">
      <c r="A1454">
        <v>10922129</v>
      </c>
      <c r="B1454" t="s">
        <v>323</v>
      </c>
    </row>
    <row r="1455" spans="1:2" x14ac:dyDescent="0.25">
      <c r="A1455">
        <v>10922222</v>
      </c>
      <c r="B1455" t="s">
        <v>170</v>
      </c>
    </row>
    <row r="1456" spans="1:2" x14ac:dyDescent="0.25">
      <c r="A1456">
        <v>10923561</v>
      </c>
      <c r="B1456" t="s">
        <v>46</v>
      </c>
    </row>
    <row r="1457" spans="1:2" x14ac:dyDescent="0.25">
      <c r="A1457">
        <v>10924032</v>
      </c>
      <c r="B1457" t="s">
        <v>322</v>
      </c>
    </row>
    <row r="1458" spans="1:2" x14ac:dyDescent="0.25">
      <c r="A1458">
        <v>10925401</v>
      </c>
      <c r="B1458" t="s">
        <v>321</v>
      </c>
    </row>
    <row r="1459" spans="1:2" x14ac:dyDescent="0.25">
      <c r="A1459">
        <v>11739168</v>
      </c>
      <c r="B1459" t="s">
        <v>320</v>
      </c>
    </row>
    <row r="1460" spans="1:2" x14ac:dyDescent="0.25">
      <c r="A1460">
        <v>11729594</v>
      </c>
      <c r="B1460" t="s">
        <v>258</v>
      </c>
    </row>
    <row r="1461" spans="1:2" x14ac:dyDescent="0.25">
      <c r="A1461">
        <v>11730136</v>
      </c>
      <c r="B1461" t="s">
        <v>47</v>
      </c>
    </row>
    <row r="1462" spans="1:2" x14ac:dyDescent="0.25">
      <c r="A1462">
        <v>11543162</v>
      </c>
      <c r="B1462" t="s">
        <v>54</v>
      </c>
    </row>
    <row r="1463" spans="1:2" x14ac:dyDescent="0.25">
      <c r="A1463">
        <v>11946313</v>
      </c>
      <c r="B1463" t="s">
        <v>54</v>
      </c>
    </row>
    <row r="1464" spans="1:2" x14ac:dyDescent="0.25">
      <c r="A1464">
        <v>11667087</v>
      </c>
      <c r="B1464" t="s">
        <v>319</v>
      </c>
    </row>
    <row r="1465" spans="1:2" x14ac:dyDescent="0.25">
      <c r="A1465">
        <v>11577546</v>
      </c>
      <c r="B1465" t="s">
        <v>318</v>
      </c>
    </row>
    <row r="1466" spans="1:2" x14ac:dyDescent="0.25">
      <c r="A1466">
        <v>11562515</v>
      </c>
      <c r="B1466" t="s">
        <v>170</v>
      </c>
    </row>
    <row r="1467" spans="1:2" x14ac:dyDescent="0.25">
      <c r="A1467">
        <v>11569480</v>
      </c>
      <c r="B1467" t="s">
        <v>317</v>
      </c>
    </row>
    <row r="1468" spans="1:2" x14ac:dyDescent="0.25">
      <c r="A1468">
        <v>11562083</v>
      </c>
      <c r="B1468" t="s">
        <v>82</v>
      </c>
    </row>
    <row r="1469" spans="1:2" x14ac:dyDescent="0.25">
      <c r="A1469">
        <v>11562391</v>
      </c>
      <c r="B1469" t="s">
        <v>102</v>
      </c>
    </row>
    <row r="1470" spans="1:2" x14ac:dyDescent="0.25">
      <c r="A1470">
        <v>11557651</v>
      </c>
      <c r="B1470" t="s">
        <v>170</v>
      </c>
    </row>
    <row r="1471" spans="1:2" x14ac:dyDescent="0.25">
      <c r="A1471">
        <v>11557901</v>
      </c>
      <c r="B1471" t="s">
        <v>47</v>
      </c>
    </row>
    <row r="1472" spans="1:2" x14ac:dyDescent="0.25">
      <c r="A1472">
        <v>11558254</v>
      </c>
      <c r="B1472" t="s">
        <v>156</v>
      </c>
    </row>
    <row r="1473" spans="1:2" x14ac:dyDescent="0.25">
      <c r="A1473">
        <v>11558657</v>
      </c>
      <c r="B1473" t="s">
        <v>45</v>
      </c>
    </row>
    <row r="1474" spans="1:2" x14ac:dyDescent="0.25">
      <c r="A1474">
        <v>11559057</v>
      </c>
      <c r="B1474" t="s">
        <v>54</v>
      </c>
    </row>
    <row r="1475" spans="1:2" x14ac:dyDescent="0.25">
      <c r="A1475">
        <v>11560307</v>
      </c>
      <c r="B1475" t="s">
        <v>316</v>
      </c>
    </row>
    <row r="1476" spans="1:2" x14ac:dyDescent="0.25">
      <c r="A1476">
        <v>11272837</v>
      </c>
      <c r="B1476" t="s">
        <v>47</v>
      </c>
    </row>
    <row r="1477" spans="1:2" x14ac:dyDescent="0.25">
      <c r="A1477">
        <v>11305477</v>
      </c>
      <c r="B1477" t="s">
        <v>134</v>
      </c>
    </row>
    <row r="1478" spans="1:2" x14ac:dyDescent="0.25">
      <c r="A1478">
        <v>11298984</v>
      </c>
      <c r="B1478" t="s">
        <v>66</v>
      </c>
    </row>
    <row r="1479" spans="1:2" x14ac:dyDescent="0.25">
      <c r="A1479">
        <v>11269572</v>
      </c>
      <c r="B1479" t="s">
        <v>47</v>
      </c>
    </row>
    <row r="1480" spans="1:2" x14ac:dyDescent="0.25">
      <c r="A1480">
        <v>11229397</v>
      </c>
      <c r="B1480" t="s">
        <v>44</v>
      </c>
    </row>
    <row r="1481" spans="1:2" x14ac:dyDescent="0.25">
      <c r="A1481">
        <v>11238632</v>
      </c>
      <c r="B1481" t="s">
        <v>90</v>
      </c>
    </row>
    <row r="1482" spans="1:2" x14ac:dyDescent="0.25">
      <c r="A1482">
        <v>11241375</v>
      </c>
      <c r="B1482" t="s">
        <v>47</v>
      </c>
    </row>
    <row r="1483" spans="1:2" x14ac:dyDescent="0.25">
      <c r="A1483">
        <v>11302947</v>
      </c>
      <c r="B1483" t="s">
        <v>47</v>
      </c>
    </row>
    <row r="1484" spans="1:2" x14ac:dyDescent="0.25">
      <c r="A1484">
        <v>11331246</v>
      </c>
      <c r="B1484" t="s">
        <v>45</v>
      </c>
    </row>
    <row r="1485" spans="1:2" x14ac:dyDescent="0.25">
      <c r="A1485">
        <v>11338338</v>
      </c>
      <c r="B1485" t="s">
        <v>315</v>
      </c>
    </row>
    <row r="1486" spans="1:2" x14ac:dyDescent="0.25">
      <c r="A1486">
        <v>11344378</v>
      </c>
      <c r="B1486" t="s">
        <v>314</v>
      </c>
    </row>
    <row r="1487" spans="1:2" x14ac:dyDescent="0.25">
      <c r="A1487">
        <v>11345547</v>
      </c>
      <c r="B1487" t="s">
        <v>313</v>
      </c>
    </row>
    <row r="1488" spans="1:2" x14ac:dyDescent="0.25">
      <c r="A1488">
        <v>11345826</v>
      </c>
      <c r="B1488" t="s">
        <v>54</v>
      </c>
    </row>
    <row r="1489" spans="1:2" x14ac:dyDescent="0.25">
      <c r="A1489">
        <v>11348282</v>
      </c>
      <c r="B1489" t="s">
        <v>45</v>
      </c>
    </row>
    <row r="1490" spans="1:2" x14ac:dyDescent="0.25">
      <c r="A1490">
        <v>11359877</v>
      </c>
      <c r="B1490" t="s">
        <v>109</v>
      </c>
    </row>
    <row r="1491" spans="1:2" x14ac:dyDescent="0.25">
      <c r="A1491">
        <v>11409218</v>
      </c>
      <c r="B1491" t="s">
        <v>312</v>
      </c>
    </row>
    <row r="1492" spans="1:2" x14ac:dyDescent="0.25">
      <c r="A1492">
        <v>11440238</v>
      </c>
      <c r="B1492" t="s">
        <v>208</v>
      </c>
    </row>
    <row r="1493" spans="1:2" x14ac:dyDescent="0.25">
      <c r="A1493">
        <v>11518743</v>
      </c>
      <c r="B1493" t="s">
        <v>47</v>
      </c>
    </row>
    <row r="1494" spans="1:2" x14ac:dyDescent="0.25">
      <c r="A1494">
        <v>11520506</v>
      </c>
      <c r="B1494" t="s">
        <v>112</v>
      </c>
    </row>
    <row r="1495" spans="1:2" x14ac:dyDescent="0.25">
      <c r="A1495">
        <v>11462140</v>
      </c>
      <c r="B1495" t="s">
        <v>170</v>
      </c>
    </row>
    <row r="1496" spans="1:2" x14ac:dyDescent="0.25">
      <c r="A1496">
        <v>11472198</v>
      </c>
      <c r="B1496" t="s">
        <v>311</v>
      </c>
    </row>
    <row r="1497" spans="1:2" x14ac:dyDescent="0.25">
      <c r="A1497">
        <v>11445743</v>
      </c>
      <c r="B1497" t="s">
        <v>310</v>
      </c>
    </row>
    <row r="1498" spans="1:2" x14ac:dyDescent="0.25">
      <c r="A1498">
        <v>11446310</v>
      </c>
      <c r="B1498" t="s">
        <v>47</v>
      </c>
    </row>
    <row r="1499" spans="1:2" x14ac:dyDescent="0.25">
      <c r="A1499">
        <v>11223824</v>
      </c>
      <c r="B1499" t="s">
        <v>67</v>
      </c>
    </row>
    <row r="1500" spans="1:2" x14ac:dyDescent="0.25">
      <c r="A1500">
        <v>11214324</v>
      </c>
      <c r="B1500" t="s">
        <v>44</v>
      </c>
    </row>
    <row r="1501" spans="1:2" x14ac:dyDescent="0.25">
      <c r="A1501">
        <v>11206139</v>
      </c>
      <c r="B1501" t="s">
        <v>156</v>
      </c>
    </row>
    <row r="1502" spans="1:2" x14ac:dyDescent="0.25">
      <c r="A1502">
        <v>11166775</v>
      </c>
      <c r="B1502" t="s">
        <v>309</v>
      </c>
    </row>
    <row r="1503" spans="1:2" x14ac:dyDescent="0.25">
      <c r="A1503">
        <v>11170231</v>
      </c>
      <c r="B1503" t="s">
        <v>67</v>
      </c>
    </row>
    <row r="1504" spans="1:2" x14ac:dyDescent="0.25">
      <c r="A1504">
        <v>11182612</v>
      </c>
      <c r="B1504" t="s">
        <v>111</v>
      </c>
    </row>
    <row r="1505" spans="1:2" x14ac:dyDescent="0.25">
      <c r="A1505">
        <v>11194510</v>
      </c>
      <c r="B1505" t="s">
        <v>156</v>
      </c>
    </row>
    <row r="1506" spans="1:2" x14ac:dyDescent="0.25">
      <c r="A1506">
        <v>11081282</v>
      </c>
      <c r="B1506" t="s">
        <v>102</v>
      </c>
    </row>
    <row r="1507" spans="1:2" x14ac:dyDescent="0.25">
      <c r="A1507">
        <v>10846796</v>
      </c>
      <c r="B1507" t="s">
        <v>47</v>
      </c>
    </row>
    <row r="1508" spans="1:2" x14ac:dyDescent="0.25">
      <c r="A1508">
        <v>11336228</v>
      </c>
      <c r="B1508" t="s">
        <v>308</v>
      </c>
    </row>
    <row r="1509" spans="1:2" x14ac:dyDescent="0.25">
      <c r="A1509">
        <v>10838812</v>
      </c>
      <c r="B1509" t="s">
        <v>307</v>
      </c>
    </row>
    <row r="1510" spans="1:2" x14ac:dyDescent="0.25">
      <c r="A1510">
        <v>11067784</v>
      </c>
      <c r="B1510" t="s">
        <v>60</v>
      </c>
    </row>
    <row r="1511" spans="1:2" x14ac:dyDescent="0.25">
      <c r="A1511">
        <v>11067828</v>
      </c>
      <c r="B1511" t="s">
        <v>60</v>
      </c>
    </row>
    <row r="1512" spans="1:2" x14ac:dyDescent="0.25">
      <c r="A1512">
        <v>11068056</v>
      </c>
      <c r="B1512" t="s">
        <v>60</v>
      </c>
    </row>
    <row r="1513" spans="1:2" x14ac:dyDescent="0.25">
      <c r="A1513">
        <v>11068081</v>
      </c>
      <c r="B1513" t="s">
        <v>60</v>
      </c>
    </row>
    <row r="1514" spans="1:2" x14ac:dyDescent="0.25">
      <c r="A1514">
        <v>11068126</v>
      </c>
      <c r="B1514" t="s">
        <v>60</v>
      </c>
    </row>
    <row r="1515" spans="1:2" x14ac:dyDescent="0.25">
      <c r="A1515">
        <v>11068184</v>
      </c>
      <c r="B1515" t="s">
        <v>60</v>
      </c>
    </row>
    <row r="1516" spans="1:2" x14ac:dyDescent="0.25">
      <c r="A1516">
        <v>11068200</v>
      </c>
      <c r="B1516" t="s">
        <v>60</v>
      </c>
    </row>
    <row r="1517" spans="1:2" x14ac:dyDescent="0.25">
      <c r="A1517">
        <v>11068221</v>
      </c>
      <c r="B1517" t="s">
        <v>60</v>
      </c>
    </row>
    <row r="1518" spans="1:2" x14ac:dyDescent="0.25">
      <c r="A1518">
        <v>11068372</v>
      </c>
      <c r="B1518" t="s">
        <v>60</v>
      </c>
    </row>
    <row r="1519" spans="1:2" x14ac:dyDescent="0.25">
      <c r="A1519">
        <v>11070025</v>
      </c>
      <c r="B1519" t="s">
        <v>60</v>
      </c>
    </row>
    <row r="1520" spans="1:2" x14ac:dyDescent="0.25">
      <c r="A1520">
        <v>11067233</v>
      </c>
      <c r="B1520" t="s">
        <v>60</v>
      </c>
    </row>
    <row r="1521" spans="1:2" x14ac:dyDescent="0.25">
      <c r="A1521">
        <v>11067257</v>
      </c>
      <c r="B1521" t="s">
        <v>60</v>
      </c>
    </row>
    <row r="1522" spans="1:2" x14ac:dyDescent="0.25">
      <c r="A1522">
        <v>11067273</v>
      </c>
      <c r="B1522" t="s">
        <v>60</v>
      </c>
    </row>
    <row r="1523" spans="1:2" x14ac:dyDescent="0.25">
      <c r="A1523">
        <v>10613590</v>
      </c>
      <c r="B1523" t="s">
        <v>295</v>
      </c>
    </row>
    <row r="1524" spans="1:2" x14ac:dyDescent="0.25">
      <c r="A1524">
        <v>11461136</v>
      </c>
      <c r="B1524" t="s">
        <v>46</v>
      </c>
    </row>
    <row r="1525" spans="1:2" x14ac:dyDescent="0.25">
      <c r="A1525">
        <v>11479039</v>
      </c>
      <c r="B1525" t="s">
        <v>306</v>
      </c>
    </row>
    <row r="1526" spans="1:2" x14ac:dyDescent="0.25">
      <c r="A1526">
        <v>11454152</v>
      </c>
      <c r="B1526" t="s">
        <v>44</v>
      </c>
    </row>
    <row r="1527" spans="1:2" x14ac:dyDescent="0.25">
      <c r="A1527">
        <v>11425020</v>
      </c>
      <c r="B1527" t="s">
        <v>96</v>
      </c>
    </row>
    <row r="1528" spans="1:2" x14ac:dyDescent="0.25">
      <c r="A1528">
        <v>11425395</v>
      </c>
      <c r="B1528" t="s">
        <v>47</v>
      </c>
    </row>
    <row r="1529" spans="1:2" x14ac:dyDescent="0.25">
      <c r="A1529">
        <v>11390282</v>
      </c>
      <c r="B1529" t="s">
        <v>164</v>
      </c>
    </row>
    <row r="1530" spans="1:2" x14ac:dyDescent="0.25">
      <c r="A1530">
        <v>11406911</v>
      </c>
      <c r="B1530" t="s">
        <v>54</v>
      </c>
    </row>
    <row r="1531" spans="1:2" x14ac:dyDescent="0.25">
      <c r="A1531">
        <v>11402207</v>
      </c>
      <c r="B1531" t="s">
        <v>67</v>
      </c>
    </row>
    <row r="1532" spans="1:2" x14ac:dyDescent="0.25">
      <c r="A1532">
        <v>11409145</v>
      </c>
      <c r="B1532" t="s">
        <v>305</v>
      </c>
    </row>
    <row r="1533" spans="1:2" x14ac:dyDescent="0.25">
      <c r="A1533">
        <v>11409637</v>
      </c>
      <c r="B1533" t="s">
        <v>290</v>
      </c>
    </row>
    <row r="1534" spans="1:2" x14ac:dyDescent="0.25">
      <c r="A1534">
        <v>11391608</v>
      </c>
      <c r="B1534" t="s">
        <v>68</v>
      </c>
    </row>
    <row r="1535" spans="1:2" x14ac:dyDescent="0.25">
      <c r="A1535">
        <v>11380143</v>
      </c>
      <c r="B1535" t="s">
        <v>95</v>
      </c>
    </row>
    <row r="1536" spans="1:2" x14ac:dyDescent="0.25">
      <c r="A1536">
        <v>11379368</v>
      </c>
      <c r="B1536" t="s">
        <v>67</v>
      </c>
    </row>
    <row r="1537" spans="1:2" x14ac:dyDescent="0.25">
      <c r="A1537">
        <v>11361973</v>
      </c>
      <c r="B1537" t="s">
        <v>81</v>
      </c>
    </row>
    <row r="1538" spans="1:2" x14ac:dyDescent="0.25">
      <c r="A1538">
        <v>11357653</v>
      </c>
      <c r="B1538" t="s">
        <v>292</v>
      </c>
    </row>
    <row r="1539" spans="1:2" x14ac:dyDescent="0.25">
      <c r="A1539">
        <v>11363311</v>
      </c>
      <c r="B1539" t="s">
        <v>304</v>
      </c>
    </row>
    <row r="1540" spans="1:2" x14ac:dyDescent="0.25">
      <c r="A1540">
        <v>11348490</v>
      </c>
      <c r="B1540" t="s">
        <v>131</v>
      </c>
    </row>
    <row r="1541" spans="1:2" x14ac:dyDescent="0.25">
      <c r="A1541">
        <v>11349932</v>
      </c>
      <c r="B1541" t="s">
        <v>47</v>
      </c>
    </row>
    <row r="1542" spans="1:2" x14ac:dyDescent="0.25">
      <c r="A1542">
        <v>11350424</v>
      </c>
      <c r="B1542" t="s">
        <v>303</v>
      </c>
    </row>
    <row r="1543" spans="1:2" x14ac:dyDescent="0.25">
      <c r="A1543">
        <v>11351897</v>
      </c>
      <c r="B1543" t="s">
        <v>53</v>
      </c>
    </row>
    <row r="1544" spans="1:2" x14ac:dyDescent="0.25">
      <c r="A1544">
        <v>11348628</v>
      </c>
      <c r="B1544" t="s">
        <v>45</v>
      </c>
    </row>
    <row r="1545" spans="1:2" x14ac:dyDescent="0.25">
      <c r="A1545">
        <v>11348719</v>
      </c>
      <c r="B1545" t="s">
        <v>302</v>
      </c>
    </row>
    <row r="1546" spans="1:2" x14ac:dyDescent="0.25">
      <c r="A1546">
        <v>11349608</v>
      </c>
      <c r="B1546" t="s">
        <v>66</v>
      </c>
    </row>
    <row r="1547" spans="1:2" x14ac:dyDescent="0.25">
      <c r="A1547">
        <v>11441042</v>
      </c>
      <c r="B1547" t="s">
        <v>45</v>
      </c>
    </row>
    <row r="1548" spans="1:2" x14ac:dyDescent="0.25">
      <c r="A1548">
        <v>11482585</v>
      </c>
      <c r="B1548" t="s">
        <v>44</v>
      </c>
    </row>
    <row r="1549" spans="1:2" x14ac:dyDescent="0.25">
      <c r="A1549">
        <v>11408638</v>
      </c>
      <c r="B1549" t="s">
        <v>82</v>
      </c>
    </row>
    <row r="1550" spans="1:2" x14ac:dyDescent="0.25">
      <c r="A1550">
        <v>11562442</v>
      </c>
      <c r="B1550" t="s">
        <v>301</v>
      </c>
    </row>
    <row r="1551" spans="1:2" x14ac:dyDescent="0.25">
      <c r="A1551">
        <v>11572631</v>
      </c>
      <c r="B1551" t="s">
        <v>280</v>
      </c>
    </row>
    <row r="1552" spans="1:2" x14ac:dyDescent="0.25">
      <c r="A1552">
        <v>11585282</v>
      </c>
      <c r="B1552" t="s">
        <v>300</v>
      </c>
    </row>
    <row r="1553" spans="1:2" x14ac:dyDescent="0.25">
      <c r="A1553">
        <v>11607816</v>
      </c>
      <c r="B1553" t="s">
        <v>45</v>
      </c>
    </row>
    <row r="1554" spans="1:2" x14ac:dyDescent="0.25">
      <c r="A1554">
        <v>11617032</v>
      </c>
      <c r="B1554" t="s">
        <v>88</v>
      </c>
    </row>
    <row r="1555" spans="1:2" x14ac:dyDescent="0.25">
      <c r="A1555">
        <v>11324040</v>
      </c>
      <c r="B1555" t="s">
        <v>299</v>
      </c>
    </row>
    <row r="1556" spans="1:2" x14ac:dyDescent="0.25">
      <c r="A1556">
        <v>10855107</v>
      </c>
      <c r="B1556" t="s">
        <v>47</v>
      </c>
    </row>
    <row r="1557" spans="1:2" x14ac:dyDescent="0.25">
      <c r="A1557">
        <v>10868647</v>
      </c>
      <c r="B1557" t="s">
        <v>47</v>
      </c>
    </row>
    <row r="1558" spans="1:2" x14ac:dyDescent="0.25">
      <c r="A1558">
        <v>10868908</v>
      </c>
      <c r="B1558" t="s">
        <v>90</v>
      </c>
    </row>
    <row r="1559" spans="1:2" x14ac:dyDescent="0.25">
      <c r="A1559">
        <v>10869521</v>
      </c>
      <c r="B1559" t="s">
        <v>47</v>
      </c>
    </row>
    <row r="1560" spans="1:2" x14ac:dyDescent="0.25">
      <c r="A1560">
        <v>10906664</v>
      </c>
      <c r="B1560" t="s">
        <v>111</v>
      </c>
    </row>
    <row r="1561" spans="1:2" x14ac:dyDescent="0.25">
      <c r="A1561">
        <v>10923727</v>
      </c>
      <c r="B1561" t="s">
        <v>165</v>
      </c>
    </row>
    <row r="1562" spans="1:2" x14ac:dyDescent="0.25">
      <c r="A1562">
        <v>10934309</v>
      </c>
      <c r="B1562" t="s">
        <v>47</v>
      </c>
    </row>
    <row r="1563" spans="1:2" x14ac:dyDescent="0.25">
      <c r="A1563">
        <v>10894019</v>
      </c>
      <c r="B1563" t="s">
        <v>81</v>
      </c>
    </row>
    <row r="1564" spans="1:2" x14ac:dyDescent="0.25">
      <c r="A1564">
        <v>10881130</v>
      </c>
      <c r="B1564" t="s">
        <v>233</v>
      </c>
    </row>
    <row r="1565" spans="1:2" x14ac:dyDescent="0.25">
      <c r="A1565">
        <v>10806010</v>
      </c>
      <c r="B1565" t="s">
        <v>47</v>
      </c>
    </row>
    <row r="1566" spans="1:2" x14ac:dyDescent="0.25">
      <c r="A1566">
        <v>10810914</v>
      </c>
      <c r="B1566" t="s">
        <v>47</v>
      </c>
    </row>
    <row r="1567" spans="1:2" x14ac:dyDescent="0.25">
      <c r="A1567">
        <v>10802696</v>
      </c>
      <c r="B1567" t="s">
        <v>45</v>
      </c>
    </row>
    <row r="1568" spans="1:2" x14ac:dyDescent="0.25">
      <c r="A1568">
        <v>10802712</v>
      </c>
      <c r="B1568" t="s">
        <v>45</v>
      </c>
    </row>
    <row r="1569" spans="1:2" x14ac:dyDescent="0.25">
      <c r="A1569">
        <v>10802724</v>
      </c>
      <c r="B1569" t="s">
        <v>45</v>
      </c>
    </row>
    <row r="1570" spans="1:2" x14ac:dyDescent="0.25">
      <c r="A1570">
        <v>10915409</v>
      </c>
      <c r="B1570" t="s">
        <v>54</v>
      </c>
    </row>
    <row r="1571" spans="1:2" x14ac:dyDescent="0.25">
      <c r="A1571">
        <v>10778995</v>
      </c>
      <c r="B1571" t="s">
        <v>44</v>
      </c>
    </row>
    <row r="1572" spans="1:2" x14ac:dyDescent="0.25">
      <c r="A1572">
        <v>10781034</v>
      </c>
      <c r="B1572" t="s">
        <v>298</v>
      </c>
    </row>
    <row r="1573" spans="1:2" x14ac:dyDescent="0.25">
      <c r="A1573">
        <v>11326094</v>
      </c>
      <c r="B1573" t="s">
        <v>47</v>
      </c>
    </row>
    <row r="1574" spans="1:2" x14ac:dyDescent="0.25">
      <c r="A1574">
        <v>11303107</v>
      </c>
      <c r="B1574" t="s">
        <v>225</v>
      </c>
    </row>
    <row r="1575" spans="1:2" x14ac:dyDescent="0.25">
      <c r="A1575">
        <v>11307544</v>
      </c>
      <c r="B1575" t="s">
        <v>297</v>
      </c>
    </row>
    <row r="1576" spans="1:2" x14ac:dyDescent="0.25">
      <c r="A1576">
        <v>11308459</v>
      </c>
      <c r="B1576" t="s">
        <v>47</v>
      </c>
    </row>
    <row r="1577" spans="1:2" x14ac:dyDescent="0.25">
      <c r="A1577">
        <v>11333960</v>
      </c>
      <c r="B1577" t="s">
        <v>47</v>
      </c>
    </row>
    <row r="1578" spans="1:2" x14ac:dyDescent="0.25">
      <c r="A1578">
        <v>11344134</v>
      </c>
      <c r="B1578" t="s">
        <v>116</v>
      </c>
    </row>
    <row r="1579" spans="1:2" x14ac:dyDescent="0.25">
      <c r="A1579">
        <v>11330139</v>
      </c>
      <c r="B1579" t="s">
        <v>44</v>
      </c>
    </row>
    <row r="1580" spans="1:2" x14ac:dyDescent="0.25">
      <c r="A1580">
        <v>11347272</v>
      </c>
      <c r="B1580" t="s">
        <v>96</v>
      </c>
    </row>
    <row r="1581" spans="1:2" x14ac:dyDescent="0.25">
      <c r="A1581">
        <v>11347944</v>
      </c>
      <c r="B1581" t="s">
        <v>43</v>
      </c>
    </row>
    <row r="1582" spans="1:2" x14ac:dyDescent="0.25">
      <c r="A1582">
        <v>11348225</v>
      </c>
      <c r="B1582" t="s">
        <v>90</v>
      </c>
    </row>
    <row r="1583" spans="1:2" x14ac:dyDescent="0.25">
      <c r="A1583">
        <v>11225044</v>
      </c>
      <c r="B1583" t="s">
        <v>44</v>
      </c>
    </row>
    <row r="1584" spans="1:2" x14ac:dyDescent="0.25">
      <c r="A1584">
        <v>11268960</v>
      </c>
      <c r="B1584" t="s">
        <v>43</v>
      </c>
    </row>
    <row r="1585" spans="1:2" x14ac:dyDescent="0.25">
      <c r="A1585">
        <v>11271430</v>
      </c>
      <c r="B1585" t="s">
        <v>45</v>
      </c>
    </row>
    <row r="1586" spans="1:2" x14ac:dyDescent="0.25">
      <c r="A1586">
        <v>11010709</v>
      </c>
      <c r="B1586" t="s">
        <v>115</v>
      </c>
    </row>
    <row r="1587" spans="1:2" x14ac:dyDescent="0.25">
      <c r="A1587">
        <v>11012688</v>
      </c>
      <c r="B1587" t="s">
        <v>296</v>
      </c>
    </row>
    <row r="1588" spans="1:2" x14ac:dyDescent="0.25">
      <c r="A1588">
        <v>10967086</v>
      </c>
      <c r="B1588" t="s">
        <v>47</v>
      </c>
    </row>
    <row r="1589" spans="1:2" x14ac:dyDescent="0.25">
      <c r="A1589">
        <v>10961452</v>
      </c>
      <c r="B1589" t="s">
        <v>295</v>
      </c>
    </row>
    <row r="1590" spans="1:2" x14ac:dyDescent="0.25">
      <c r="A1590">
        <v>10999282</v>
      </c>
      <c r="B1590" t="s">
        <v>47</v>
      </c>
    </row>
    <row r="1591" spans="1:2" x14ac:dyDescent="0.25">
      <c r="A1591">
        <v>11000643</v>
      </c>
      <c r="B1591" t="s">
        <v>294</v>
      </c>
    </row>
    <row r="1592" spans="1:2" x14ac:dyDescent="0.25">
      <c r="A1592">
        <v>11001069</v>
      </c>
      <c r="B1592" t="s">
        <v>68</v>
      </c>
    </row>
    <row r="1593" spans="1:2" x14ac:dyDescent="0.25">
      <c r="A1593">
        <v>10766163</v>
      </c>
      <c r="B1593" t="s">
        <v>47</v>
      </c>
    </row>
    <row r="1594" spans="1:2" x14ac:dyDescent="0.25">
      <c r="A1594">
        <v>10742848</v>
      </c>
      <c r="B1594" t="s">
        <v>95</v>
      </c>
    </row>
    <row r="1595" spans="1:2" x14ac:dyDescent="0.25">
      <c r="A1595">
        <v>10745945</v>
      </c>
      <c r="B1595" t="s">
        <v>279</v>
      </c>
    </row>
    <row r="1596" spans="1:2" x14ac:dyDescent="0.25">
      <c r="A1596">
        <v>10747062</v>
      </c>
      <c r="B1596" t="s">
        <v>54</v>
      </c>
    </row>
    <row r="1597" spans="1:2" x14ac:dyDescent="0.25">
      <c r="A1597">
        <v>11312751</v>
      </c>
      <c r="B1597" t="s">
        <v>44</v>
      </c>
    </row>
    <row r="1598" spans="1:2" x14ac:dyDescent="0.25">
      <c r="A1598">
        <v>11617904</v>
      </c>
      <c r="B1598" t="s">
        <v>90</v>
      </c>
    </row>
    <row r="1599" spans="1:2" x14ac:dyDescent="0.25">
      <c r="A1599">
        <v>11621193</v>
      </c>
      <c r="B1599" t="s">
        <v>293</v>
      </c>
    </row>
    <row r="1600" spans="1:2" x14ac:dyDescent="0.25">
      <c r="A1600">
        <v>11622531</v>
      </c>
      <c r="B1600" t="s">
        <v>168</v>
      </c>
    </row>
    <row r="1601" spans="1:2" x14ac:dyDescent="0.25">
      <c r="A1601">
        <v>11612211</v>
      </c>
      <c r="B1601" t="s">
        <v>292</v>
      </c>
    </row>
    <row r="1602" spans="1:2" x14ac:dyDescent="0.25">
      <c r="A1602">
        <v>11601342</v>
      </c>
      <c r="B1602" t="s">
        <v>46</v>
      </c>
    </row>
    <row r="1603" spans="1:2" x14ac:dyDescent="0.25">
      <c r="A1603">
        <v>11604471</v>
      </c>
      <c r="B1603" t="s">
        <v>291</v>
      </c>
    </row>
    <row r="1604" spans="1:2" x14ac:dyDescent="0.25">
      <c r="A1604">
        <v>11609072</v>
      </c>
      <c r="B1604" t="s">
        <v>290</v>
      </c>
    </row>
    <row r="1605" spans="1:2" x14ac:dyDescent="0.25">
      <c r="A1605">
        <v>11631802</v>
      </c>
      <c r="B1605" t="s">
        <v>87</v>
      </c>
    </row>
    <row r="1606" spans="1:2" x14ac:dyDescent="0.25">
      <c r="A1606">
        <v>11632799</v>
      </c>
      <c r="B1606" t="s">
        <v>47</v>
      </c>
    </row>
    <row r="1607" spans="1:2" x14ac:dyDescent="0.25">
      <c r="A1607">
        <v>11632836</v>
      </c>
      <c r="B1607" t="s">
        <v>47</v>
      </c>
    </row>
    <row r="1608" spans="1:2" x14ac:dyDescent="0.25">
      <c r="A1608">
        <v>11634514</v>
      </c>
      <c r="B1608" t="s">
        <v>289</v>
      </c>
    </row>
    <row r="1609" spans="1:2" x14ac:dyDescent="0.25">
      <c r="A1609">
        <v>11629601</v>
      </c>
      <c r="B1609" t="s">
        <v>70</v>
      </c>
    </row>
    <row r="1610" spans="1:2" x14ac:dyDescent="0.25">
      <c r="A1610">
        <v>11718354</v>
      </c>
      <c r="B1610" t="s">
        <v>57</v>
      </c>
    </row>
    <row r="1611" spans="1:2" x14ac:dyDescent="0.25">
      <c r="A1611">
        <v>11668066</v>
      </c>
      <c r="B1611" t="s">
        <v>248</v>
      </c>
    </row>
    <row r="1612" spans="1:2" x14ac:dyDescent="0.25">
      <c r="A1612">
        <v>11669920</v>
      </c>
      <c r="B1612" t="s">
        <v>68</v>
      </c>
    </row>
    <row r="1613" spans="1:2" x14ac:dyDescent="0.25">
      <c r="A1613">
        <v>11670354</v>
      </c>
      <c r="B1613" t="s">
        <v>288</v>
      </c>
    </row>
    <row r="1614" spans="1:2" x14ac:dyDescent="0.25">
      <c r="A1614">
        <v>11664229</v>
      </c>
      <c r="B1614" t="s">
        <v>47</v>
      </c>
    </row>
    <row r="1615" spans="1:2" x14ac:dyDescent="0.25">
      <c r="A1615">
        <v>11256419</v>
      </c>
      <c r="B1615" t="s">
        <v>47</v>
      </c>
    </row>
    <row r="1616" spans="1:2" x14ac:dyDescent="0.25">
      <c r="A1616">
        <v>11348055</v>
      </c>
      <c r="B1616" t="s">
        <v>287</v>
      </c>
    </row>
    <row r="1617" spans="1:2" x14ac:dyDescent="0.25">
      <c r="A1617">
        <v>11348066</v>
      </c>
      <c r="B1617" t="s">
        <v>45</v>
      </c>
    </row>
    <row r="1618" spans="1:2" x14ac:dyDescent="0.25">
      <c r="A1618">
        <v>11348071</v>
      </c>
      <c r="B1618" t="s">
        <v>268</v>
      </c>
    </row>
    <row r="1619" spans="1:2" x14ac:dyDescent="0.25">
      <c r="A1619">
        <v>11348115</v>
      </c>
      <c r="B1619" t="s">
        <v>164</v>
      </c>
    </row>
    <row r="1620" spans="1:2" x14ac:dyDescent="0.25">
      <c r="A1620">
        <v>11348193</v>
      </c>
      <c r="B1620" t="s">
        <v>286</v>
      </c>
    </row>
    <row r="1621" spans="1:2" x14ac:dyDescent="0.25">
      <c r="A1621">
        <v>11348291</v>
      </c>
      <c r="B1621" t="s">
        <v>285</v>
      </c>
    </row>
    <row r="1622" spans="1:2" x14ac:dyDescent="0.25">
      <c r="A1622">
        <v>11607995</v>
      </c>
      <c r="B1622" t="s">
        <v>156</v>
      </c>
    </row>
    <row r="1623" spans="1:2" x14ac:dyDescent="0.25">
      <c r="A1623">
        <v>11817966</v>
      </c>
      <c r="B1623" t="s">
        <v>47</v>
      </c>
    </row>
    <row r="1624" spans="1:2" x14ac:dyDescent="0.25">
      <c r="A1624">
        <v>11818002</v>
      </c>
      <c r="B1624" t="s">
        <v>47</v>
      </c>
    </row>
    <row r="1625" spans="1:2" x14ac:dyDescent="0.25">
      <c r="A1625">
        <v>11851375</v>
      </c>
      <c r="B1625" t="s">
        <v>47</v>
      </c>
    </row>
    <row r="1626" spans="1:2" x14ac:dyDescent="0.25">
      <c r="A1626">
        <v>11660141</v>
      </c>
      <c r="B1626" t="s">
        <v>176</v>
      </c>
    </row>
    <row r="1627" spans="1:2" x14ac:dyDescent="0.25">
      <c r="A1627">
        <v>11543436</v>
      </c>
      <c r="B1627" t="s">
        <v>284</v>
      </c>
    </row>
    <row r="1628" spans="1:2" x14ac:dyDescent="0.25">
      <c r="A1628">
        <v>11407860</v>
      </c>
      <c r="B1628" t="s">
        <v>44</v>
      </c>
    </row>
    <row r="1629" spans="1:2" x14ac:dyDescent="0.25">
      <c r="A1629">
        <v>11465990</v>
      </c>
      <c r="B1629" t="s">
        <v>283</v>
      </c>
    </row>
    <row r="1630" spans="1:2" x14ac:dyDescent="0.25">
      <c r="A1630">
        <v>11345590</v>
      </c>
      <c r="B1630" t="s">
        <v>61</v>
      </c>
    </row>
    <row r="1631" spans="1:2" x14ac:dyDescent="0.25">
      <c r="A1631">
        <v>11391351</v>
      </c>
      <c r="B1631" t="s">
        <v>44</v>
      </c>
    </row>
    <row r="1632" spans="1:2" x14ac:dyDescent="0.25">
      <c r="A1632">
        <v>11284380</v>
      </c>
      <c r="B1632" t="s">
        <v>282</v>
      </c>
    </row>
    <row r="1633" spans="1:2" x14ac:dyDescent="0.25">
      <c r="A1633">
        <v>11092543</v>
      </c>
      <c r="B1633" t="s">
        <v>85</v>
      </c>
    </row>
    <row r="1634" spans="1:2" x14ac:dyDescent="0.25">
      <c r="A1634">
        <v>11094076</v>
      </c>
      <c r="B1634" t="s">
        <v>115</v>
      </c>
    </row>
    <row r="1635" spans="1:2" x14ac:dyDescent="0.25">
      <c r="A1635">
        <v>11183749</v>
      </c>
      <c r="B1635" t="s">
        <v>52</v>
      </c>
    </row>
    <row r="1636" spans="1:2" x14ac:dyDescent="0.25">
      <c r="A1636">
        <v>11194335</v>
      </c>
      <c r="B1636" t="s">
        <v>281</v>
      </c>
    </row>
    <row r="1637" spans="1:2" x14ac:dyDescent="0.25">
      <c r="A1637">
        <v>10954754</v>
      </c>
      <c r="B1637" t="s">
        <v>66</v>
      </c>
    </row>
    <row r="1638" spans="1:2" x14ac:dyDescent="0.25">
      <c r="A1638">
        <v>11008827</v>
      </c>
      <c r="B1638" t="s">
        <v>45</v>
      </c>
    </row>
    <row r="1639" spans="1:2" x14ac:dyDescent="0.25">
      <c r="A1639">
        <v>11715359</v>
      </c>
      <c r="B1639" t="s">
        <v>47</v>
      </c>
    </row>
    <row r="1640" spans="1:2" x14ac:dyDescent="0.25">
      <c r="A1640">
        <v>11630850</v>
      </c>
      <c r="B1640" t="s">
        <v>280</v>
      </c>
    </row>
    <row r="1641" spans="1:2" x14ac:dyDescent="0.25">
      <c r="A1641">
        <v>11496682</v>
      </c>
      <c r="B1641" t="s">
        <v>46</v>
      </c>
    </row>
    <row r="1642" spans="1:2" x14ac:dyDescent="0.25">
      <c r="A1642">
        <v>11483552</v>
      </c>
      <c r="B1642" t="s">
        <v>142</v>
      </c>
    </row>
    <row r="1643" spans="1:2" x14ac:dyDescent="0.25">
      <c r="A1643">
        <v>11607873</v>
      </c>
      <c r="B1643" t="s">
        <v>83</v>
      </c>
    </row>
    <row r="1644" spans="1:2" x14ac:dyDescent="0.25">
      <c r="A1644">
        <v>11694919</v>
      </c>
      <c r="B1644" t="s">
        <v>279</v>
      </c>
    </row>
    <row r="1645" spans="1:2" x14ac:dyDescent="0.25">
      <c r="A1645">
        <v>11856048</v>
      </c>
      <c r="B1645" t="s">
        <v>45</v>
      </c>
    </row>
    <row r="1646" spans="1:2" x14ac:dyDescent="0.25">
      <c r="A1646">
        <v>11300762</v>
      </c>
      <c r="B1646" t="s">
        <v>278</v>
      </c>
    </row>
    <row r="1647" spans="1:2" x14ac:dyDescent="0.25">
      <c r="A1647">
        <v>11708055</v>
      </c>
      <c r="B1647" t="s">
        <v>227</v>
      </c>
    </row>
    <row r="1648" spans="1:2" x14ac:dyDescent="0.25">
      <c r="A1648">
        <v>11345411</v>
      </c>
      <c r="B1648" t="s">
        <v>103</v>
      </c>
    </row>
    <row r="1649" spans="1:2" x14ac:dyDescent="0.25">
      <c r="A1649">
        <v>11347478</v>
      </c>
      <c r="B1649" t="s">
        <v>60</v>
      </c>
    </row>
    <row r="1650" spans="1:2" x14ac:dyDescent="0.25">
      <c r="A1650">
        <v>11382988</v>
      </c>
      <c r="B1650" t="s">
        <v>88</v>
      </c>
    </row>
    <row r="1651" spans="1:2" x14ac:dyDescent="0.25">
      <c r="A1651">
        <v>11396053</v>
      </c>
      <c r="B1651" t="s">
        <v>277</v>
      </c>
    </row>
    <row r="1652" spans="1:2" x14ac:dyDescent="0.25">
      <c r="A1652">
        <v>11408282</v>
      </c>
      <c r="B1652" t="s">
        <v>131</v>
      </c>
    </row>
    <row r="1653" spans="1:2" x14ac:dyDescent="0.25">
      <c r="A1653">
        <v>11408945</v>
      </c>
      <c r="B1653" t="s">
        <v>164</v>
      </c>
    </row>
    <row r="1654" spans="1:2" x14ac:dyDescent="0.25">
      <c r="A1654">
        <v>10721281</v>
      </c>
      <c r="B1654" t="s">
        <v>276</v>
      </c>
    </row>
    <row r="1655" spans="1:2" x14ac:dyDescent="0.25">
      <c r="A1655">
        <v>10722962</v>
      </c>
      <c r="B1655" t="s">
        <v>102</v>
      </c>
    </row>
    <row r="1656" spans="1:2" x14ac:dyDescent="0.25">
      <c r="A1656">
        <v>10724692</v>
      </c>
      <c r="B1656" t="s">
        <v>54</v>
      </c>
    </row>
    <row r="1657" spans="1:2" x14ac:dyDescent="0.25">
      <c r="A1657">
        <v>10704307</v>
      </c>
      <c r="B1657" t="s">
        <v>45</v>
      </c>
    </row>
    <row r="1658" spans="1:2" x14ac:dyDescent="0.25">
      <c r="A1658">
        <v>10705066</v>
      </c>
      <c r="B1658" t="s">
        <v>90</v>
      </c>
    </row>
    <row r="1659" spans="1:2" x14ac:dyDescent="0.25">
      <c r="A1659">
        <v>10705414</v>
      </c>
      <c r="B1659" t="s">
        <v>47</v>
      </c>
    </row>
    <row r="1660" spans="1:2" x14ac:dyDescent="0.25">
      <c r="A1660">
        <v>10698064</v>
      </c>
      <c r="B1660" t="s">
        <v>44</v>
      </c>
    </row>
    <row r="1661" spans="1:2" x14ac:dyDescent="0.25">
      <c r="A1661">
        <v>11626985</v>
      </c>
      <c r="B1661" t="s">
        <v>144</v>
      </c>
    </row>
    <row r="1662" spans="1:2" x14ac:dyDescent="0.25">
      <c r="A1662">
        <v>11617902</v>
      </c>
      <c r="B1662" t="s">
        <v>275</v>
      </c>
    </row>
    <row r="1663" spans="1:2" x14ac:dyDescent="0.25">
      <c r="A1663">
        <v>11617974</v>
      </c>
      <c r="B1663" t="s">
        <v>274</v>
      </c>
    </row>
    <row r="1664" spans="1:2" x14ac:dyDescent="0.25">
      <c r="A1664">
        <v>11618283</v>
      </c>
      <c r="B1664" t="s">
        <v>45</v>
      </c>
    </row>
    <row r="1665" spans="1:2" x14ac:dyDescent="0.25">
      <c r="A1665">
        <v>11111175</v>
      </c>
      <c r="B1665" t="s">
        <v>194</v>
      </c>
    </row>
    <row r="1666" spans="1:2" x14ac:dyDescent="0.25">
      <c r="A1666">
        <v>11112751</v>
      </c>
      <c r="B1666" t="s">
        <v>47</v>
      </c>
    </row>
    <row r="1667" spans="1:2" x14ac:dyDescent="0.25">
      <c r="A1667">
        <v>10791477</v>
      </c>
      <c r="B1667" t="s">
        <v>52</v>
      </c>
    </row>
    <row r="1668" spans="1:2" x14ac:dyDescent="0.25">
      <c r="A1668">
        <v>10791560</v>
      </c>
      <c r="B1668" t="s">
        <v>184</v>
      </c>
    </row>
    <row r="1669" spans="1:2" x14ac:dyDescent="0.25">
      <c r="A1669">
        <v>10794152</v>
      </c>
      <c r="B1669" t="s">
        <v>91</v>
      </c>
    </row>
    <row r="1670" spans="1:2" x14ac:dyDescent="0.25">
      <c r="A1670">
        <v>10796317</v>
      </c>
      <c r="B1670" t="s">
        <v>107</v>
      </c>
    </row>
    <row r="1671" spans="1:2" x14ac:dyDescent="0.25">
      <c r="A1671">
        <v>11282991</v>
      </c>
      <c r="B1671" t="s">
        <v>208</v>
      </c>
    </row>
    <row r="1672" spans="1:2" x14ac:dyDescent="0.25">
      <c r="A1672">
        <v>11284023</v>
      </c>
      <c r="B1672" t="s">
        <v>90</v>
      </c>
    </row>
    <row r="1673" spans="1:2" x14ac:dyDescent="0.25">
      <c r="A1673">
        <v>11070606</v>
      </c>
      <c r="B1673" t="s">
        <v>60</v>
      </c>
    </row>
    <row r="1674" spans="1:2" x14ac:dyDescent="0.25">
      <c r="A1674">
        <v>11071869</v>
      </c>
      <c r="B1674" t="s">
        <v>60</v>
      </c>
    </row>
    <row r="1675" spans="1:2" x14ac:dyDescent="0.25">
      <c r="A1675">
        <v>11068504</v>
      </c>
      <c r="B1675" t="s">
        <v>60</v>
      </c>
    </row>
    <row r="1676" spans="1:2" x14ac:dyDescent="0.25">
      <c r="A1676">
        <v>11599703</v>
      </c>
      <c r="B1676" t="s">
        <v>60</v>
      </c>
    </row>
    <row r="1677" spans="1:2" x14ac:dyDescent="0.25">
      <c r="A1677">
        <v>11344704</v>
      </c>
      <c r="B1677" t="s">
        <v>54</v>
      </c>
    </row>
    <row r="1678" spans="1:2" x14ac:dyDescent="0.25">
      <c r="A1678">
        <v>11264792</v>
      </c>
      <c r="B1678" t="s">
        <v>195</v>
      </c>
    </row>
    <row r="1679" spans="1:2" x14ac:dyDescent="0.25">
      <c r="A1679">
        <v>11933972</v>
      </c>
      <c r="B1679" t="s">
        <v>192</v>
      </c>
    </row>
    <row r="1680" spans="1:2" x14ac:dyDescent="0.25">
      <c r="A1680">
        <v>11290065</v>
      </c>
      <c r="B1680" t="s">
        <v>66</v>
      </c>
    </row>
    <row r="1681" spans="1:2" x14ac:dyDescent="0.25">
      <c r="A1681">
        <v>11334533</v>
      </c>
      <c r="B1681" t="s">
        <v>60</v>
      </c>
    </row>
    <row r="1682" spans="1:2" x14ac:dyDescent="0.25">
      <c r="A1682">
        <v>11346530</v>
      </c>
      <c r="B1682" t="s">
        <v>258</v>
      </c>
    </row>
    <row r="1683" spans="1:2" x14ac:dyDescent="0.25">
      <c r="A1683">
        <v>11421234</v>
      </c>
      <c r="B1683" t="s">
        <v>60</v>
      </c>
    </row>
    <row r="1684" spans="1:2" x14ac:dyDescent="0.25">
      <c r="A1684">
        <v>11715844</v>
      </c>
      <c r="B1684" t="s">
        <v>116</v>
      </c>
    </row>
    <row r="1685" spans="1:2" x14ac:dyDescent="0.25">
      <c r="A1685">
        <v>11724450</v>
      </c>
      <c r="B1685" t="s">
        <v>47</v>
      </c>
    </row>
    <row r="1686" spans="1:2" x14ac:dyDescent="0.25">
      <c r="A1686">
        <v>11461300</v>
      </c>
      <c r="B1686" t="s">
        <v>47</v>
      </c>
    </row>
    <row r="1687" spans="1:2" x14ac:dyDescent="0.25">
      <c r="A1687">
        <v>11445191</v>
      </c>
      <c r="B1687" t="s">
        <v>60</v>
      </c>
    </row>
    <row r="1688" spans="1:2" x14ac:dyDescent="0.25">
      <c r="A1688">
        <v>11453877</v>
      </c>
      <c r="B1688" t="s">
        <v>44</v>
      </c>
    </row>
    <row r="1689" spans="1:2" x14ac:dyDescent="0.25">
      <c r="A1689">
        <v>11520708</v>
      </c>
      <c r="B1689" t="s">
        <v>47</v>
      </c>
    </row>
    <row r="1690" spans="1:2" x14ac:dyDescent="0.25">
      <c r="A1690">
        <v>11091695</v>
      </c>
      <c r="B1690" t="s">
        <v>273</v>
      </c>
    </row>
    <row r="1691" spans="1:2" x14ac:dyDescent="0.25">
      <c r="A1691">
        <v>11047536</v>
      </c>
      <c r="B1691" t="s">
        <v>102</v>
      </c>
    </row>
    <row r="1692" spans="1:2" x14ac:dyDescent="0.25">
      <c r="A1692">
        <v>10958736</v>
      </c>
      <c r="B1692" t="s">
        <v>272</v>
      </c>
    </row>
    <row r="1693" spans="1:2" x14ac:dyDescent="0.25">
      <c r="A1693">
        <v>10961624</v>
      </c>
      <c r="B1693" t="s">
        <v>271</v>
      </c>
    </row>
    <row r="1694" spans="1:2" x14ac:dyDescent="0.25">
      <c r="A1694">
        <v>10980224</v>
      </c>
      <c r="B1694" t="s">
        <v>89</v>
      </c>
    </row>
    <row r="1695" spans="1:2" x14ac:dyDescent="0.25">
      <c r="A1695">
        <v>10853591</v>
      </c>
      <c r="B1695" t="s">
        <v>47</v>
      </c>
    </row>
    <row r="1696" spans="1:2" x14ac:dyDescent="0.25">
      <c r="A1696">
        <v>10919276</v>
      </c>
      <c r="B1696" t="s">
        <v>270</v>
      </c>
    </row>
    <row r="1697" spans="1:2" x14ac:dyDescent="0.25">
      <c r="A1697">
        <v>10640009</v>
      </c>
      <c r="B1697" t="s">
        <v>60</v>
      </c>
    </row>
    <row r="1698" spans="1:2" x14ac:dyDescent="0.25">
      <c r="A1698">
        <v>10676449</v>
      </c>
      <c r="B1698" t="s">
        <v>82</v>
      </c>
    </row>
    <row r="1699" spans="1:2" x14ac:dyDescent="0.25">
      <c r="A1699">
        <v>10696938</v>
      </c>
      <c r="B1699" t="s">
        <v>269</v>
      </c>
    </row>
    <row r="1700" spans="1:2" x14ac:dyDescent="0.25">
      <c r="A1700">
        <v>10705532</v>
      </c>
      <c r="B1700" t="s">
        <v>47</v>
      </c>
    </row>
    <row r="1701" spans="1:2" x14ac:dyDescent="0.25">
      <c r="A1701">
        <v>10885182</v>
      </c>
      <c r="B1701" t="s">
        <v>147</v>
      </c>
    </row>
    <row r="1702" spans="1:2" x14ac:dyDescent="0.25">
      <c r="A1702">
        <v>10913550</v>
      </c>
      <c r="B1702" t="s">
        <v>89</v>
      </c>
    </row>
    <row r="1703" spans="1:2" x14ac:dyDescent="0.25">
      <c r="A1703">
        <v>10964224</v>
      </c>
      <c r="B1703" t="s">
        <v>181</v>
      </c>
    </row>
    <row r="1704" spans="1:2" x14ac:dyDescent="0.25">
      <c r="A1704">
        <v>11023211</v>
      </c>
      <c r="B1704" t="s">
        <v>268</v>
      </c>
    </row>
    <row r="1705" spans="1:2" x14ac:dyDescent="0.25">
      <c r="A1705">
        <v>11311517</v>
      </c>
      <c r="B1705" t="s">
        <v>60</v>
      </c>
    </row>
    <row r="1706" spans="1:2" x14ac:dyDescent="0.25">
      <c r="A1706">
        <v>11581769</v>
      </c>
      <c r="B1706" t="s">
        <v>70</v>
      </c>
    </row>
    <row r="1707" spans="1:2" x14ac:dyDescent="0.25">
      <c r="A1707">
        <v>11824982</v>
      </c>
      <c r="B1707" t="s">
        <v>44</v>
      </c>
    </row>
    <row r="1708" spans="1:2" x14ac:dyDescent="0.25">
      <c r="A1708">
        <v>11613507</v>
      </c>
      <c r="B1708" t="s">
        <v>258</v>
      </c>
    </row>
    <row r="1709" spans="1:2" x14ac:dyDescent="0.25">
      <c r="A1709">
        <v>11592974</v>
      </c>
      <c r="B1709" t="s">
        <v>44</v>
      </c>
    </row>
    <row r="1710" spans="1:2" x14ac:dyDescent="0.25">
      <c r="A1710">
        <v>11627077</v>
      </c>
      <c r="B1710" t="s">
        <v>60</v>
      </c>
    </row>
    <row r="1711" spans="1:2" x14ac:dyDescent="0.25">
      <c r="A1711">
        <v>11574073</v>
      </c>
      <c r="B1711" t="s">
        <v>76</v>
      </c>
    </row>
    <row r="1712" spans="1:2" x14ac:dyDescent="0.25">
      <c r="A1712">
        <v>11643814</v>
      </c>
      <c r="B1712" t="s">
        <v>148</v>
      </c>
    </row>
    <row r="1713" spans="1:2" x14ac:dyDescent="0.25">
      <c r="A1713">
        <v>11740769</v>
      </c>
      <c r="B1713" t="s">
        <v>47</v>
      </c>
    </row>
    <row r="1714" spans="1:2" x14ac:dyDescent="0.25">
      <c r="A1714">
        <v>11645505</v>
      </c>
      <c r="B1714" t="s">
        <v>60</v>
      </c>
    </row>
    <row r="1715" spans="1:2" x14ac:dyDescent="0.25">
      <c r="A1715">
        <v>11971167</v>
      </c>
      <c r="B1715" t="s">
        <v>47</v>
      </c>
    </row>
    <row r="1716" spans="1:2" x14ac:dyDescent="0.25">
      <c r="A1716">
        <v>11937987</v>
      </c>
      <c r="B1716" t="s">
        <v>112</v>
      </c>
    </row>
    <row r="1717" spans="1:2" x14ac:dyDescent="0.25">
      <c r="A1717">
        <v>11942566</v>
      </c>
      <c r="B1717" t="s">
        <v>116</v>
      </c>
    </row>
    <row r="1718" spans="1:2" x14ac:dyDescent="0.25">
      <c r="A1718">
        <v>11993184</v>
      </c>
      <c r="B1718" t="s">
        <v>44</v>
      </c>
    </row>
    <row r="1719" spans="1:2" x14ac:dyDescent="0.25">
      <c r="A1719">
        <v>11999840</v>
      </c>
      <c r="B1719" t="s">
        <v>124</v>
      </c>
    </row>
    <row r="1720" spans="1:2" x14ac:dyDescent="0.25">
      <c r="A1720">
        <v>12015655</v>
      </c>
      <c r="B1720" t="s">
        <v>45</v>
      </c>
    </row>
    <row r="1721" spans="1:2" x14ac:dyDescent="0.25">
      <c r="A1721">
        <v>12019895</v>
      </c>
      <c r="B1721" t="s">
        <v>67</v>
      </c>
    </row>
    <row r="1722" spans="1:2" x14ac:dyDescent="0.25">
      <c r="A1722">
        <v>12020519</v>
      </c>
      <c r="B1722" t="s">
        <v>47</v>
      </c>
    </row>
    <row r="1723" spans="1:2" x14ac:dyDescent="0.25">
      <c r="A1723">
        <v>12025673</v>
      </c>
      <c r="B1723" t="s">
        <v>256</v>
      </c>
    </row>
    <row r="1724" spans="1:2" x14ac:dyDescent="0.25">
      <c r="A1724">
        <v>11594118</v>
      </c>
      <c r="B1724" t="s">
        <v>267</v>
      </c>
    </row>
    <row r="1725" spans="1:2" x14ac:dyDescent="0.25">
      <c r="A1725">
        <v>11594788</v>
      </c>
      <c r="B1725" t="s">
        <v>266</v>
      </c>
    </row>
    <row r="1726" spans="1:2" x14ac:dyDescent="0.25">
      <c r="A1726">
        <v>11600231</v>
      </c>
      <c r="B1726" t="s">
        <v>60</v>
      </c>
    </row>
    <row r="1727" spans="1:2" x14ac:dyDescent="0.25">
      <c r="A1727">
        <v>11630105</v>
      </c>
      <c r="B1727" t="s">
        <v>265</v>
      </c>
    </row>
    <row r="1728" spans="1:2" x14ac:dyDescent="0.25">
      <c r="A1728">
        <v>10623424</v>
      </c>
      <c r="B1728" t="s">
        <v>47</v>
      </c>
    </row>
    <row r="1729" spans="1:2" x14ac:dyDescent="0.25">
      <c r="A1729">
        <v>11047468</v>
      </c>
      <c r="B1729" t="s">
        <v>264</v>
      </c>
    </row>
    <row r="1730" spans="1:2" x14ac:dyDescent="0.25">
      <c r="A1730">
        <v>10645204</v>
      </c>
      <c r="B1730" t="s">
        <v>60</v>
      </c>
    </row>
    <row r="1731" spans="1:2" x14ac:dyDescent="0.25">
      <c r="A1731">
        <v>10860175</v>
      </c>
      <c r="B1731" t="s">
        <v>60</v>
      </c>
    </row>
    <row r="1732" spans="1:2" x14ac:dyDescent="0.25">
      <c r="A1732">
        <v>11530289</v>
      </c>
      <c r="B1732" t="s">
        <v>263</v>
      </c>
    </row>
    <row r="1733" spans="1:2" x14ac:dyDescent="0.25">
      <c r="A1733">
        <v>11453301</v>
      </c>
      <c r="B1733" t="s">
        <v>54</v>
      </c>
    </row>
    <row r="1734" spans="1:2" x14ac:dyDescent="0.25">
      <c r="A1734">
        <v>11461317</v>
      </c>
      <c r="B1734" t="s">
        <v>47</v>
      </c>
    </row>
    <row r="1735" spans="1:2" x14ac:dyDescent="0.25">
      <c r="A1735">
        <v>11361866</v>
      </c>
      <c r="B1735" t="s">
        <v>262</v>
      </c>
    </row>
    <row r="1736" spans="1:2" x14ac:dyDescent="0.25">
      <c r="A1736">
        <v>11391005</v>
      </c>
      <c r="B1736" t="s">
        <v>71</v>
      </c>
    </row>
    <row r="1737" spans="1:2" x14ac:dyDescent="0.25">
      <c r="A1737">
        <v>10621522</v>
      </c>
      <c r="B1737" t="s">
        <v>47</v>
      </c>
    </row>
    <row r="1738" spans="1:2" x14ac:dyDescent="0.25">
      <c r="A1738">
        <v>11422047</v>
      </c>
      <c r="B1738" t="s">
        <v>96</v>
      </c>
    </row>
    <row r="1739" spans="1:2" x14ac:dyDescent="0.25">
      <c r="A1739">
        <v>11047537</v>
      </c>
      <c r="B1739" t="s">
        <v>261</v>
      </c>
    </row>
    <row r="1740" spans="1:2" x14ac:dyDescent="0.25">
      <c r="A1740">
        <v>11222406</v>
      </c>
      <c r="B1740" t="s">
        <v>44</v>
      </c>
    </row>
    <row r="1741" spans="1:2" x14ac:dyDescent="0.25">
      <c r="A1741">
        <v>11290662</v>
      </c>
      <c r="B1741" t="s">
        <v>81</v>
      </c>
    </row>
    <row r="1742" spans="1:2" x14ac:dyDescent="0.25">
      <c r="A1742">
        <v>10803939</v>
      </c>
      <c r="B1742" t="s">
        <v>45</v>
      </c>
    </row>
    <row r="1743" spans="1:2" x14ac:dyDescent="0.25">
      <c r="A1743">
        <v>10808217</v>
      </c>
      <c r="B1743" t="s">
        <v>258</v>
      </c>
    </row>
    <row r="1744" spans="1:2" x14ac:dyDescent="0.25">
      <c r="A1744">
        <v>10809356</v>
      </c>
      <c r="B1744" t="s">
        <v>260</v>
      </c>
    </row>
    <row r="1745" spans="1:2" x14ac:dyDescent="0.25">
      <c r="A1745">
        <v>10849290</v>
      </c>
      <c r="B1745" t="s">
        <v>259</v>
      </c>
    </row>
    <row r="1746" spans="1:2" x14ac:dyDescent="0.25">
      <c r="A1746">
        <v>10891107</v>
      </c>
      <c r="B1746" t="s">
        <v>47</v>
      </c>
    </row>
    <row r="1747" spans="1:2" x14ac:dyDescent="0.25">
      <c r="A1747">
        <v>10891198</v>
      </c>
      <c r="B1747" t="s">
        <v>47</v>
      </c>
    </row>
    <row r="1748" spans="1:2" x14ac:dyDescent="0.25">
      <c r="A1748">
        <v>10749434</v>
      </c>
      <c r="B1748" t="s">
        <v>258</v>
      </c>
    </row>
    <row r="1749" spans="1:2" x14ac:dyDescent="0.25">
      <c r="A1749">
        <v>10777652</v>
      </c>
      <c r="B1749" t="s">
        <v>47</v>
      </c>
    </row>
    <row r="1750" spans="1:2" x14ac:dyDescent="0.25">
      <c r="A1750">
        <v>10703830</v>
      </c>
      <c r="B1750" t="s">
        <v>47</v>
      </c>
    </row>
    <row r="1751" spans="1:2" x14ac:dyDescent="0.25">
      <c r="A1751">
        <v>10719260</v>
      </c>
      <c r="B1751" t="s">
        <v>257</v>
      </c>
    </row>
    <row r="1752" spans="1:2" x14ac:dyDescent="0.25">
      <c r="A1752">
        <v>10719817</v>
      </c>
      <c r="B1752" t="s">
        <v>256</v>
      </c>
    </row>
    <row r="1753" spans="1:2" x14ac:dyDescent="0.25">
      <c r="A1753">
        <v>11684528</v>
      </c>
      <c r="B1753" t="s">
        <v>60</v>
      </c>
    </row>
    <row r="1754" spans="1:2" x14ac:dyDescent="0.25">
      <c r="A1754">
        <v>11699064</v>
      </c>
      <c r="B1754" t="s">
        <v>60</v>
      </c>
    </row>
    <row r="1755" spans="1:2" x14ac:dyDescent="0.25">
      <c r="A1755">
        <v>11272773</v>
      </c>
      <c r="B1755" t="s">
        <v>75</v>
      </c>
    </row>
    <row r="1756" spans="1:2" x14ac:dyDescent="0.25">
      <c r="A1756">
        <v>11349650</v>
      </c>
      <c r="B1756" t="s">
        <v>45</v>
      </c>
    </row>
    <row r="1757" spans="1:2" x14ac:dyDescent="0.25">
      <c r="A1757">
        <v>11775697</v>
      </c>
      <c r="B1757" t="s">
        <v>112</v>
      </c>
    </row>
    <row r="1758" spans="1:2" x14ac:dyDescent="0.25">
      <c r="A1758">
        <v>10806920</v>
      </c>
      <c r="B1758" t="s">
        <v>206</v>
      </c>
    </row>
    <row r="1759" spans="1:2" x14ac:dyDescent="0.25">
      <c r="A1759">
        <v>10691204</v>
      </c>
      <c r="B1759" t="s">
        <v>102</v>
      </c>
    </row>
    <row r="1760" spans="1:2" x14ac:dyDescent="0.25">
      <c r="A1760">
        <v>10939465</v>
      </c>
      <c r="B1760" t="s">
        <v>47</v>
      </c>
    </row>
    <row r="1761" spans="1:2" x14ac:dyDescent="0.25">
      <c r="A1761">
        <v>10935283</v>
      </c>
      <c r="B1761" t="s">
        <v>52</v>
      </c>
    </row>
    <row r="1762" spans="1:2" x14ac:dyDescent="0.25">
      <c r="A1762">
        <v>10936560</v>
      </c>
      <c r="B1762" t="s">
        <v>83</v>
      </c>
    </row>
    <row r="1763" spans="1:2" x14ac:dyDescent="0.25">
      <c r="A1763">
        <v>10933651</v>
      </c>
      <c r="B1763" t="s">
        <v>75</v>
      </c>
    </row>
    <row r="1764" spans="1:2" x14ac:dyDescent="0.25">
      <c r="A1764">
        <v>11267521</v>
      </c>
      <c r="B1764" t="s">
        <v>47</v>
      </c>
    </row>
    <row r="1765" spans="1:2" x14ac:dyDescent="0.25">
      <c r="A1765">
        <v>11347589</v>
      </c>
      <c r="B1765" t="s">
        <v>44</v>
      </c>
    </row>
    <row r="1766" spans="1:2" x14ac:dyDescent="0.25">
      <c r="A1766">
        <v>11282555</v>
      </c>
      <c r="B1766" t="s">
        <v>255</v>
      </c>
    </row>
    <row r="1767" spans="1:2" x14ac:dyDescent="0.25">
      <c r="A1767">
        <v>11273353</v>
      </c>
      <c r="B1767" t="s">
        <v>47</v>
      </c>
    </row>
    <row r="1768" spans="1:2" x14ac:dyDescent="0.25">
      <c r="A1768">
        <v>11673966</v>
      </c>
      <c r="B1768" t="s">
        <v>254</v>
      </c>
    </row>
    <row r="1769" spans="1:2" x14ac:dyDescent="0.25">
      <c r="A1769">
        <v>11674740</v>
      </c>
      <c r="B1769" t="s">
        <v>54</v>
      </c>
    </row>
    <row r="1770" spans="1:2" x14ac:dyDescent="0.25">
      <c r="A1770">
        <v>11646736</v>
      </c>
      <c r="B1770" t="s">
        <v>175</v>
      </c>
    </row>
    <row r="1771" spans="1:2" x14ac:dyDescent="0.25">
      <c r="A1771">
        <v>11666215</v>
      </c>
      <c r="B1771" t="s">
        <v>47</v>
      </c>
    </row>
    <row r="1772" spans="1:2" x14ac:dyDescent="0.25">
      <c r="A1772">
        <v>11650191</v>
      </c>
      <c r="B1772" t="s">
        <v>253</v>
      </c>
    </row>
    <row r="1773" spans="1:2" x14ac:dyDescent="0.25">
      <c r="A1773">
        <v>11717257</v>
      </c>
      <c r="B1773" t="s">
        <v>252</v>
      </c>
    </row>
    <row r="1774" spans="1:2" x14ac:dyDescent="0.25">
      <c r="A1774">
        <v>11623552</v>
      </c>
      <c r="B1774" t="s">
        <v>170</v>
      </c>
    </row>
    <row r="1775" spans="1:2" x14ac:dyDescent="0.25">
      <c r="A1775">
        <v>11579800</v>
      </c>
      <c r="B1775" t="s">
        <v>251</v>
      </c>
    </row>
    <row r="1776" spans="1:2" x14ac:dyDescent="0.25">
      <c r="A1776">
        <v>11608030</v>
      </c>
      <c r="B1776" t="s">
        <v>250</v>
      </c>
    </row>
    <row r="1777" spans="1:2" x14ac:dyDescent="0.25">
      <c r="A1777">
        <v>10747018</v>
      </c>
      <c r="B1777" t="s">
        <v>54</v>
      </c>
    </row>
    <row r="1778" spans="1:2" x14ac:dyDescent="0.25">
      <c r="A1778">
        <v>10745001</v>
      </c>
      <c r="B1778" t="s">
        <v>249</v>
      </c>
    </row>
    <row r="1779" spans="1:2" x14ac:dyDescent="0.25">
      <c r="A1779">
        <v>10737411</v>
      </c>
      <c r="B1779" t="s">
        <v>206</v>
      </c>
    </row>
    <row r="1780" spans="1:2" x14ac:dyDescent="0.25">
      <c r="A1780">
        <v>10846157</v>
      </c>
      <c r="B1780" t="s">
        <v>134</v>
      </c>
    </row>
    <row r="1781" spans="1:2" x14ac:dyDescent="0.25">
      <c r="A1781">
        <v>10834999</v>
      </c>
      <c r="B1781" t="s">
        <v>46</v>
      </c>
    </row>
    <row r="1782" spans="1:2" x14ac:dyDescent="0.25">
      <c r="A1782">
        <v>10826533</v>
      </c>
      <c r="B1782" t="s">
        <v>248</v>
      </c>
    </row>
    <row r="1783" spans="1:2" x14ac:dyDescent="0.25">
      <c r="A1783">
        <v>10817655</v>
      </c>
      <c r="B1783" t="s">
        <v>247</v>
      </c>
    </row>
    <row r="1784" spans="1:2" x14ac:dyDescent="0.25">
      <c r="A1784">
        <v>10818860</v>
      </c>
      <c r="B1784" t="s">
        <v>76</v>
      </c>
    </row>
    <row r="1785" spans="1:2" x14ac:dyDescent="0.25">
      <c r="A1785">
        <v>10824328</v>
      </c>
      <c r="B1785" t="s">
        <v>46</v>
      </c>
    </row>
    <row r="1786" spans="1:2" x14ac:dyDescent="0.25">
      <c r="A1786">
        <v>10804267</v>
      </c>
      <c r="B1786" t="s">
        <v>46</v>
      </c>
    </row>
    <row r="1787" spans="1:2" x14ac:dyDescent="0.25">
      <c r="A1787">
        <v>11216187</v>
      </c>
      <c r="B1787" t="s">
        <v>44</v>
      </c>
    </row>
    <row r="1788" spans="1:2" x14ac:dyDescent="0.25">
      <c r="A1788">
        <v>11070445</v>
      </c>
      <c r="B1788" t="s">
        <v>246</v>
      </c>
    </row>
    <row r="1789" spans="1:2" x14ac:dyDescent="0.25">
      <c r="A1789">
        <v>11008097</v>
      </c>
      <c r="B1789" t="s">
        <v>44</v>
      </c>
    </row>
    <row r="1790" spans="1:2" x14ac:dyDescent="0.25">
      <c r="A1790">
        <v>11012692</v>
      </c>
      <c r="B1790" t="s">
        <v>46</v>
      </c>
    </row>
    <row r="1791" spans="1:2" x14ac:dyDescent="0.25">
      <c r="A1791">
        <v>10997806</v>
      </c>
      <c r="B1791" t="s">
        <v>69</v>
      </c>
    </row>
    <row r="1792" spans="1:2" x14ac:dyDescent="0.25">
      <c r="A1792">
        <v>10964873</v>
      </c>
      <c r="B1792" t="s">
        <v>227</v>
      </c>
    </row>
    <row r="1793" spans="1:2" x14ac:dyDescent="0.25">
      <c r="A1793">
        <v>10950407</v>
      </c>
      <c r="B1793" t="s">
        <v>47</v>
      </c>
    </row>
    <row r="1794" spans="1:2" x14ac:dyDescent="0.25">
      <c r="A1794">
        <v>10953202</v>
      </c>
      <c r="B1794" t="s">
        <v>89</v>
      </c>
    </row>
    <row r="1795" spans="1:2" x14ac:dyDescent="0.25">
      <c r="A1795">
        <v>10958795</v>
      </c>
      <c r="B1795" t="s">
        <v>54</v>
      </c>
    </row>
    <row r="1796" spans="1:2" x14ac:dyDescent="0.25">
      <c r="A1796">
        <v>11317634</v>
      </c>
      <c r="B1796" t="s">
        <v>47</v>
      </c>
    </row>
    <row r="1797" spans="1:2" x14ac:dyDescent="0.25">
      <c r="A1797">
        <v>11242777</v>
      </c>
      <c r="B1797" t="s">
        <v>47</v>
      </c>
    </row>
    <row r="1798" spans="1:2" x14ac:dyDescent="0.25">
      <c r="A1798">
        <v>11268843</v>
      </c>
      <c r="B1798" t="s">
        <v>227</v>
      </c>
    </row>
    <row r="1799" spans="1:2" x14ac:dyDescent="0.25">
      <c r="A1799">
        <v>11386360</v>
      </c>
      <c r="B1799" t="s">
        <v>47</v>
      </c>
    </row>
    <row r="1800" spans="1:2" x14ac:dyDescent="0.25">
      <c r="A1800">
        <v>11353534</v>
      </c>
      <c r="B1800" t="s">
        <v>47</v>
      </c>
    </row>
    <row r="1801" spans="1:2" x14ac:dyDescent="0.25">
      <c r="A1801">
        <v>11580462</v>
      </c>
      <c r="B1801" t="s">
        <v>49</v>
      </c>
    </row>
    <row r="1802" spans="1:2" x14ac:dyDescent="0.25">
      <c r="A1802">
        <v>11507864</v>
      </c>
      <c r="B1802" t="s">
        <v>83</v>
      </c>
    </row>
    <row r="1803" spans="1:2" x14ac:dyDescent="0.25">
      <c r="A1803">
        <v>11435155</v>
      </c>
      <c r="B1803" t="s">
        <v>83</v>
      </c>
    </row>
    <row r="1804" spans="1:2" x14ac:dyDescent="0.25">
      <c r="A1804">
        <v>11457587</v>
      </c>
      <c r="B1804" t="s">
        <v>243</v>
      </c>
    </row>
    <row r="1805" spans="1:2" x14ac:dyDescent="0.25">
      <c r="A1805">
        <v>11419904</v>
      </c>
      <c r="B1805" t="s">
        <v>245</v>
      </c>
    </row>
    <row r="1806" spans="1:2" x14ac:dyDescent="0.25">
      <c r="A1806">
        <v>11710491</v>
      </c>
      <c r="B1806" t="s">
        <v>195</v>
      </c>
    </row>
    <row r="1807" spans="1:2" x14ac:dyDescent="0.25">
      <c r="A1807">
        <v>11997202</v>
      </c>
      <c r="B1807" t="s">
        <v>244</v>
      </c>
    </row>
    <row r="1808" spans="1:2" x14ac:dyDescent="0.25">
      <c r="A1808">
        <v>11930189</v>
      </c>
      <c r="B1808" t="s">
        <v>52</v>
      </c>
    </row>
    <row r="1809" spans="1:2" x14ac:dyDescent="0.25">
      <c r="A1809">
        <v>11967603</v>
      </c>
      <c r="B1809" t="s">
        <v>243</v>
      </c>
    </row>
    <row r="1810" spans="1:2" x14ac:dyDescent="0.25">
      <c r="A1810">
        <v>11949593</v>
      </c>
      <c r="B1810" t="s">
        <v>47</v>
      </c>
    </row>
    <row r="1811" spans="1:2" x14ac:dyDescent="0.25">
      <c r="A1811">
        <v>11382540</v>
      </c>
      <c r="B1811" t="s">
        <v>57</v>
      </c>
    </row>
    <row r="1812" spans="1:2" x14ac:dyDescent="0.25">
      <c r="A1812">
        <v>11382849</v>
      </c>
      <c r="B1812" t="s">
        <v>242</v>
      </c>
    </row>
    <row r="1813" spans="1:2" x14ac:dyDescent="0.25">
      <c r="A1813">
        <v>11300176</v>
      </c>
      <c r="B1813" t="s">
        <v>195</v>
      </c>
    </row>
    <row r="1814" spans="1:2" x14ac:dyDescent="0.25">
      <c r="A1814">
        <v>11300378</v>
      </c>
      <c r="B1814" t="s">
        <v>195</v>
      </c>
    </row>
    <row r="1815" spans="1:2" x14ac:dyDescent="0.25">
      <c r="A1815">
        <v>11868790</v>
      </c>
      <c r="B1815" t="s">
        <v>60</v>
      </c>
    </row>
    <row r="1816" spans="1:2" x14ac:dyDescent="0.25">
      <c r="A1816">
        <v>11911487</v>
      </c>
      <c r="B1816" t="s">
        <v>235</v>
      </c>
    </row>
    <row r="1817" spans="1:2" x14ac:dyDescent="0.25">
      <c r="A1817">
        <v>11843830</v>
      </c>
      <c r="B1817" t="s">
        <v>241</v>
      </c>
    </row>
    <row r="1818" spans="1:2" x14ac:dyDescent="0.25">
      <c r="A1818">
        <v>11876290</v>
      </c>
      <c r="B1818" t="s">
        <v>45</v>
      </c>
    </row>
    <row r="1819" spans="1:2" x14ac:dyDescent="0.25">
      <c r="A1819">
        <v>11880212</v>
      </c>
      <c r="B1819" t="s">
        <v>240</v>
      </c>
    </row>
    <row r="1820" spans="1:2" x14ac:dyDescent="0.25">
      <c r="A1820">
        <v>11648417</v>
      </c>
      <c r="B1820" t="s">
        <v>152</v>
      </c>
    </row>
    <row r="1821" spans="1:2" x14ac:dyDescent="0.25">
      <c r="A1821">
        <v>11490009</v>
      </c>
      <c r="B1821" t="s">
        <v>46</v>
      </c>
    </row>
    <row r="1822" spans="1:2" x14ac:dyDescent="0.25">
      <c r="A1822">
        <v>11633652</v>
      </c>
      <c r="B1822" t="s">
        <v>188</v>
      </c>
    </row>
    <row r="1823" spans="1:2" x14ac:dyDescent="0.25">
      <c r="A1823">
        <v>11264785</v>
      </c>
      <c r="B1823" t="s">
        <v>195</v>
      </c>
    </row>
    <row r="1824" spans="1:2" x14ac:dyDescent="0.25">
      <c r="A1824">
        <v>11264862</v>
      </c>
      <c r="B1824" t="s">
        <v>195</v>
      </c>
    </row>
    <row r="1825" spans="1:2" x14ac:dyDescent="0.25">
      <c r="A1825">
        <v>10641502</v>
      </c>
      <c r="B1825" t="s">
        <v>91</v>
      </c>
    </row>
    <row r="1826" spans="1:2" x14ac:dyDescent="0.25">
      <c r="A1826">
        <v>11303671</v>
      </c>
      <c r="B1826" t="s">
        <v>70</v>
      </c>
    </row>
    <row r="1827" spans="1:2" x14ac:dyDescent="0.25">
      <c r="A1827">
        <v>11304237</v>
      </c>
      <c r="B1827" t="s">
        <v>239</v>
      </c>
    </row>
    <row r="1828" spans="1:2" x14ac:dyDescent="0.25">
      <c r="A1828">
        <v>10961540</v>
      </c>
      <c r="B1828" t="s">
        <v>238</v>
      </c>
    </row>
    <row r="1829" spans="1:2" x14ac:dyDescent="0.25">
      <c r="A1829">
        <v>10955618</v>
      </c>
      <c r="B1829" t="s">
        <v>47</v>
      </c>
    </row>
    <row r="1830" spans="1:2" x14ac:dyDescent="0.25">
      <c r="A1830">
        <v>10970381</v>
      </c>
      <c r="B1830" t="s">
        <v>237</v>
      </c>
    </row>
    <row r="1831" spans="1:2" x14ac:dyDescent="0.25">
      <c r="A1831">
        <v>10952585</v>
      </c>
      <c r="B1831" t="s">
        <v>236</v>
      </c>
    </row>
    <row r="1832" spans="1:2" x14ac:dyDescent="0.25">
      <c r="A1832">
        <v>11030645</v>
      </c>
      <c r="B1832" t="s">
        <v>66</v>
      </c>
    </row>
    <row r="1833" spans="1:2" x14ac:dyDescent="0.25">
      <c r="A1833">
        <v>11013332</v>
      </c>
      <c r="B1833" t="s">
        <v>60</v>
      </c>
    </row>
    <row r="1834" spans="1:2" x14ac:dyDescent="0.25">
      <c r="A1834">
        <v>11489953</v>
      </c>
      <c r="B1834" t="s">
        <v>235</v>
      </c>
    </row>
    <row r="1835" spans="1:2" x14ac:dyDescent="0.25">
      <c r="A1835">
        <v>10746472</v>
      </c>
      <c r="B1835" t="s">
        <v>47</v>
      </c>
    </row>
    <row r="1836" spans="1:2" x14ac:dyDescent="0.25">
      <c r="A1836">
        <v>11374221</v>
      </c>
      <c r="B1836" t="s">
        <v>86</v>
      </c>
    </row>
    <row r="1837" spans="1:2" x14ac:dyDescent="0.25">
      <c r="A1837">
        <v>11348623</v>
      </c>
      <c r="B1837" t="s">
        <v>67</v>
      </c>
    </row>
    <row r="1838" spans="1:2" x14ac:dyDescent="0.25">
      <c r="A1838">
        <v>11358078</v>
      </c>
      <c r="B1838" t="s">
        <v>45</v>
      </c>
    </row>
    <row r="1839" spans="1:2" x14ac:dyDescent="0.25">
      <c r="A1839">
        <v>11680702</v>
      </c>
      <c r="B1839" t="s">
        <v>47</v>
      </c>
    </row>
    <row r="1840" spans="1:2" x14ac:dyDescent="0.25">
      <c r="A1840">
        <v>11801937</v>
      </c>
      <c r="B1840" t="s">
        <v>234</v>
      </c>
    </row>
    <row r="1841" spans="1:2" x14ac:dyDescent="0.25">
      <c r="A1841">
        <v>11736597</v>
      </c>
      <c r="B1841" t="s">
        <v>44</v>
      </c>
    </row>
    <row r="1842" spans="1:2" x14ac:dyDescent="0.25">
      <c r="A1842">
        <v>11707589</v>
      </c>
      <c r="B1842" t="s">
        <v>233</v>
      </c>
    </row>
    <row r="1843" spans="1:2" x14ac:dyDescent="0.25">
      <c r="A1843">
        <v>11762169</v>
      </c>
      <c r="B1843" t="s">
        <v>81</v>
      </c>
    </row>
    <row r="1844" spans="1:2" x14ac:dyDescent="0.25">
      <c r="A1844">
        <v>11810939</v>
      </c>
      <c r="B1844" t="s">
        <v>167</v>
      </c>
    </row>
    <row r="1845" spans="1:2" x14ac:dyDescent="0.25">
      <c r="A1845">
        <v>11731186</v>
      </c>
      <c r="B1845" t="s">
        <v>54</v>
      </c>
    </row>
    <row r="1846" spans="1:2" x14ac:dyDescent="0.25">
      <c r="A1846">
        <v>11708571</v>
      </c>
      <c r="B1846" t="s">
        <v>102</v>
      </c>
    </row>
    <row r="1847" spans="1:2" x14ac:dyDescent="0.25">
      <c r="A1847">
        <v>11629722</v>
      </c>
      <c r="B1847" t="s">
        <v>67</v>
      </c>
    </row>
    <row r="1848" spans="1:2" x14ac:dyDescent="0.25">
      <c r="A1848">
        <v>11562201</v>
      </c>
      <c r="B1848" t="s">
        <v>44</v>
      </c>
    </row>
    <row r="1849" spans="1:2" x14ac:dyDescent="0.25">
      <c r="A1849">
        <v>11573700</v>
      </c>
      <c r="B1849" t="s">
        <v>94</v>
      </c>
    </row>
    <row r="1850" spans="1:2" x14ac:dyDescent="0.25">
      <c r="A1850">
        <v>11317433</v>
      </c>
      <c r="B1850" t="s">
        <v>232</v>
      </c>
    </row>
    <row r="1851" spans="1:2" x14ac:dyDescent="0.25">
      <c r="A1851">
        <v>11282992</v>
      </c>
      <c r="B1851" t="s">
        <v>178</v>
      </c>
    </row>
    <row r="1852" spans="1:2" x14ac:dyDescent="0.25">
      <c r="A1852">
        <v>11266443</v>
      </c>
      <c r="B1852" t="s">
        <v>156</v>
      </c>
    </row>
    <row r="1853" spans="1:2" x14ac:dyDescent="0.25">
      <c r="A1853">
        <v>11263822</v>
      </c>
      <c r="B1853" t="s">
        <v>47</v>
      </c>
    </row>
    <row r="1854" spans="1:2" x14ac:dyDescent="0.25">
      <c r="A1854">
        <v>11431874</v>
      </c>
      <c r="B1854" t="s">
        <v>46</v>
      </c>
    </row>
    <row r="1855" spans="1:2" x14ac:dyDescent="0.25">
      <c r="A1855">
        <v>10840880</v>
      </c>
      <c r="B1855" t="s">
        <v>231</v>
      </c>
    </row>
    <row r="1856" spans="1:2" x14ac:dyDescent="0.25">
      <c r="A1856">
        <v>10773060</v>
      </c>
      <c r="B1856" t="s">
        <v>60</v>
      </c>
    </row>
    <row r="1857" spans="1:2" x14ac:dyDescent="0.25">
      <c r="A1857">
        <v>11920881</v>
      </c>
      <c r="B1857" t="s">
        <v>63</v>
      </c>
    </row>
    <row r="1858" spans="1:2" x14ac:dyDescent="0.25">
      <c r="A1858">
        <v>11900798</v>
      </c>
      <c r="B1858" t="s">
        <v>206</v>
      </c>
    </row>
    <row r="1859" spans="1:2" x14ac:dyDescent="0.25">
      <c r="A1859">
        <v>10782692</v>
      </c>
      <c r="B1859" t="s">
        <v>76</v>
      </c>
    </row>
    <row r="1860" spans="1:2" x14ac:dyDescent="0.25">
      <c r="A1860">
        <v>10794590</v>
      </c>
      <c r="B1860" t="s">
        <v>47</v>
      </c>
    </row>
    <row r="1861" spans="1:2" x14ac:dyDescent="0.25">
      <c r="A1861">
        <v>10665604</v>
      </c>
      <c r="B1861" t="s">
        <v>44</v>
      </c>
    </row>
    <row r="1862" spans="1:2" x14ac:dyDescent="0.25">
      <c r="A1862">
        <v>10683933</v>
      </c>
      <c r="B1862" t="s">
        <v>230</v>
      </c>
    </row>
    <row r="1863" spans="1:2" x14ac:dyDescent="0.25">
      <c r="A1863">
        <v>10691252</v>
      </c>
      <c r="B1863" t="s">
        <v>229</v>
      </c>
    </row>
    <row r="1864" spans="1:2" x14ac:dyDescent="0.25">
      <c r="A1864">
        <v>11666771</v>
      </c>
      <c r="B1864" t="s">
        <v>228</v>
      </c>
    </row>
    <row r="1865" spans="1:2" x14ac:dyDescent="0.25">
      <c r="A1865">
        <v>11645536</v>
      </c>
      <c r="B1865" t="s">
        <v>52</v>
      </c>
    </row>
    <row r="1866" spans="1:2" x14ac:dyDescent="0.25">
      <c r="A1866">
        <v>11720335</v>
      </c>
      <c r="B1866" t="s">
        <v>70</v>
      </c>
    </row>
    <row r="1867" spans="1:2" x14ac:dyDescent="0.25">
      <c r="A1867">
        <v>10835878</v>
      </c>
      <c r="B1867" t="s">
        <v>54</v>
      </c>
    </row>
    <row r="1868" spans="1:2" x14ac:dyDescent="0.25">
      <c r="A1868">
        <v>10772027</v>
      </c>
      <c r="B1868" t="s">
        <v>67</v>
      </c>
    </row>
    <row r="1869" spans="1:2" x14ac:dyDescent="0.25">
      <c r="A1869">
        <v>10881810</v>
      </c>
      <c r="B1869" t="s">
        <v>227</v>
      </c>
    </row>
    <row r="1870" spans="1:2" x14ac:dyDescent="0.25">
      <c r="A1870">
        <v>10881351</v>
      </c>
      <c r="B1870" t="s">
        <v>46</v>
      </c>
    </row>
    <row r="1871" spans="1:2" x14ac:dyDescent="0.25">
      <c r="A1871">
        <v>10939911</v>
      </c>
      <c r="B1871" t="s">
        <v>173</v>
      </c>
    </row>
    <row r="1872" spans="1:2" x14ac:dyDescent="0.25">
      <c r="A1872">
        <v>11343133</v>
      </c>
      <c r="B1872" t="s">
        <v>54</v>
      </c>
    </row>
    <row r="1873" spans="1:2" x14ac:dyDescent="0.25">
      <c r="A1873">
        <v>11343431</v>
      </c>
      <c r="B1873" t="s">
        <v>226</v>
      </c>
    </row>
    <row r="1874" spans="1:2" x14ac:dyDescent="0.25">
      <c r="A1874">
        <v>11591588</v>
      </c>
      <c r="B1874" t="s">
        <v>45</v>
      </c>
    </row>
    <row r="1875" spans="1:2" x14ac:dyDescent="0.25">
      <c r="A1875">
        <v>11583303</v>
      </c>
      <c r="B1875" t="s">
        <v>45</v>
      </c>
    </row>
    <row r="1876" spans="1:2" x14ac:dyDescent="0.25">
      <c r="A1876">
        <v>11583414</v>
      </c>
      <c r="B1876" t="s">
        <v>45</v>
      </c>
    </row>
    <row r="1877" spans="1:2" x14ac:dyDescent="0.25">
      <c r="A1877">
        <v>11580684</v>
      </c>
      <c r="B1877" t="s">
        <v>225</v>
      </c>
    </row>
    <row r="1878" spans="1:2" x14ac:dyDescent="0.25">
      <c r="A1878">
        <v>11573071</v>
      </c>
      <c r="B1878" t="s">
        <v>92</v>
      </c>
    </row>
    <row r="1879" spans="1:2" x14ac:dyDescent="0.25">
      <c r="A1879">
        <v>11562193</v>
      </c>
      <c r="B1879" t="s">
        <v>85</v>
      </c>
    </row>
    <row r="1880" spans="1:2" x14ac:dyDescent="0.25">
      <c r="A1880">
        <v>11559764</v>
      </c>
      <c r="B1880" t="s">
        <v>224</v>
      </c>
    </row>
    <row r="1881" spans="1:2" x14ac:dyDescent="0.25">
      <c r="A1881">
        <v>11559071</v>
      </c>
      <c r="B1881" t="s">
        <v>170</v>
      </c>
    </row>
    <row r="1882" spans="1:2" x14ac:dyDescent="0.25">
      <c r="A1882">
        <v>11559274</v>
      </c>
      <c r="B1882" t="s">
        <v>223</v>
      </c>
    </row>
    <row r="1883" spans="1:2" x14ac:dyDescent="0.25">
      <c r="A1883">
        <v>11543592</v>
      </c>
      <c r="B1883" t="s">
        <v>195</v>
      </c>
    </row>
    <row r="1884" spans="1:2" x14ac:dyDescent="0.25">
      <c r="A1884">
        <v>11543936</v>
      </c>
      <c r="B1884" t="s">
        <v>88</v>
      </c>
    </row>
    <row r="1885" spans="1:2" x14ac:dyDescent="0.25">
      <c r="A1885">
        <v>11634608</v>
      </c>
      <c r="B1885" t="s">
        <v>193</v>
      </c>
    </row>
    <row r="1886" spans="1:2" x14ac:dyDescent="0.25">
      <c r="A1886">
        <v>11617765</v>
      </c>
      <c r="B1886" t="s">
        <v>46</v>
      </c>
    </row>
    <row r="1887" spans="1:2" x14ac:dyDescent="0.25">
      <c r="A1887">
        <v>11971744</v>
      </c>
      <c r="B1887" t="s">
        <v>55</v>
      </c>
    </row>
    <row r="1888" spans="1:2" x14ac:dyDescent="0.25">
      <c r="A1888">
        <v>11208915</v>
      </c>
      <c r="B1888" t="s">
        <v>47</v>
      </c>
    </row>
    <row r="1889" spans="1:2" x14ac:dyDescent="0.25">
      <c r="A1889">
        <v>11448783</v>
      </c>
      <c r="B1889" t="s">
        <v>222</v>
      </c>
    </row>
    <row r="1890" spans="1:2" x14ac:dyDescent="0.25">
      <c r="A1890">
        <v>11454009</v>
      </c>
      <c r="B1890" t="s">
        <v>55</v>
      </c>
    </row>
    <row r="1891" spans="1:2" x14ac:dyDescent="0.25">
      <c r="A1891">
        <v>10930465</v>
      </c>
      <c r="B1891" t="s">
        <v>47</v>
      </c>
    </row>
    <row r="1892" spans="1:2" x14ac:dyDescent="0.25">
      <c r="A1892">
        <v>11538865</v>
      </c>
      <c r="B1892" t="s">
        <v>173</v>
      </c>
    </row>
    <row r="1893" spans="1:2" x14ac:dyDescent="0.25">
      <c r="A1893">
        <v>11116788</v>
      </c>
      <c r="B1893" t="s">
        <v>122</v>
      </c>
    </row>
    <row r="1894" spans="1:2" x14ac:dyDescent="0.25">
      <c r="A1894">
        <v>11082426</v>
      </c>
      <c r="B1894" t="s">
        <v>45</v>
      </c>
    </row>
    <row r="1895" spans="1:2" x14ac:dyDescent="0.25">
      <c r="A1895">
        <v>11072277</v>
      </c>
      <c r="B1895" t="s">
        <v>45</v>
      </c>
    </row>
    <row r="1896" spans="1:2" x14ac:dyDescent="0.25">
      <c r="A1896">
        <v>11058571</v>
      </c>
      <c r="B1896" t="s">
        <v>176</v>
      </c>
    </row>
    <row r="1897" spans="1:2" x14ac:dyDescent="0.25">
      <c r="A1897">
        <v>11058342</v>
      </c>
      <c r="B1897" t="s">
        <v>46</v>
      </c>
    </row>
    <row r="1898" spans="1:2" x14ac:dyDescent="0.25">
      <c r="A1898">
        <v>11048469</v>
      </c>
      <c r="B1898" t="s">
        <v>44</v>
      </c>
    </row>
    <row r="1899" spans="1:2" x14ac:dyDescent="0.25">
      <c r="A1899">
        <v>11044645</v>
      </c>
      <c r="B1899" t="s">
        <v>54</v>
      </c>
    </row>
    <row r="1900" spans="1:2" x14ac:dyDescent="0.25">
      <c r="A1900">
        <v>11033612</v>
      </c>
      <c r="B1900" t="s">
        <v>47</v>
      </c>
    </row>
    <row r="1901" spans="1:2" x14ac:dyDescent="0.25">
      <c r="A1901">
        <v>11007858</v>
      </c>
      <c r="B1901" t="s">
        <v>43</v>
      </c>
    </row>
    <row r="1902" spans="1:2" x14ac:dyDescent="0.25">
      <c r="A1902">
        <v>10956516</v>
      </c>
      <c r="B1902" t="s">
        <v>221</v>
      </c>
    </row>
    <row r="1903" spans="1:2" x14ac:dyDescent="0.25">
      <c r="A1903">
        <v>10958951</v>
      </c>
      <c r="B1903" t="s">
        <v>220</v>
      </c>
    </row>
    <row r="1904" spans="1:2" x14ac:dyDescent="0.25">
      <c r="A1904">
        <v>10965495</v>
      </c>
      <c r="B1904" t="s">
        <v>156</v>
      </c>
    </row>
    <row r="1905" spans="1:2" x14ac:dyDescent="0.25">
      <c r="A1905">
        <v>10968173</v>
      </c>
      <c r="B1905" t="s">
        <v>219</v>
      </c>
    </row>
    <row r="1906" spans="1:2" x14ac:dyDescent="0.25">
      <c r="A1906">
        <v>10971157</v>
      </c>
      <c r="B1906" t="s">
        <v>44</v>
      </c>
    </row>
    <row r="1907" spans="1:2" x14ac:dyDescent="0.25">
      <c r="A1907">
        <v>10991626</v>
      </c>
      <c r="B1907" t="s">
        <v>44</v>
      </c>
    </row>
    <row r="1908" spans="1:2" x14ac:dyDescent="0.25">
      <c r="A1908">
        <v>11025975</v>
      </c>
      <c r="B1908" t="s">
        <v>44</v>
      </c>
    </row>
    <row r="1909" spans="1:2" x14ac:dyDescent="0.25">
      <c r="A1909">
        <v>11009402</v>
      </c>
      <c r="B1909" t="s">
        <v>44</v>
      </c>
    </row>
    <row r="1910" spans="1:2" x14ac:dyDescent="0.25">
      <c r="A1910">
        <v>11009640</v>
      </c>
      <c r="B1910" t="s">
        <v>218</v>
      </c>
    </row>
    <row r="1911" spans="1:2" x14ac:dyDescent="0.25">
      <c r="A1911">
        <v>11011404</v>
      </c>
      <c r="B1911" t="s">
        <v>170</v>
      </c>
    </row>
    <row r="1912" spans="1:2" x14ac:dyDescent="0.25">
      <c r="A1912">
        <v>11013023</v>
      </c>
      <c r="B1912" t="s">
        <v>46</v>
      </c>
    </row>
    <row r="1913" spans="1:2" x14ac:dyDescent="0.25">
      <c r="A1913">
        <v>10999768</v>
      </c>
      <c r="B1913" t="s">
        <v>66</v>
      </c>
    </row>
    <row r="1914" spans="1:2" x14ac:dyDescent="0.25">
      <c r="A1914">
        <v>10945036</v>
      </c>
      <c r="B1914" t="s">
        <v>52</v>
      </c>
    </row>
    <row r="1915" spans="1:2" x14ac:dyDescent="0.25">
      <c r="A1915">
        <v>11015967</v>
      </c>
      <c r="B1915" t="s">
        <v>54</v>
      </c>
    </row>
    <row r="1916" spans="1:2" x14ac:dyDescent="0.25">
      <c r="A1916">
        <v>10936197</v>
      </c>
      <c r="B1916" t="s">
        <v>217</v>
      </c>
    </row>
    <row r="1917" spans="1:2" x14ac:dyDescent="0.25">
      <c r="A1917">
        <v>10936734</v>
      </c>
      <c r="B1917" t="s">
        <v>165</v>
      </c>
    </row>
    <row r="1918" spans="1:2" x14ac:dyDescent="0.25">
      <c r="A1918">
        <v>10922905</v>
      </c>
      <c r="B1918" t="s">
        <v>170</v>
      </c>
    </row>
    <row r="1919" spans="1:2" x14ac:dyDescent="0.25">
      <c r="A1919">
        <v>10923489</v>
      </c>
      <c r="B1919" t="s">
        <v>216</v>
      </c>
    </row>
    <row r="1920" spans="1:2" x14ac:dyDescent="0.25">
      <c r="A1920">
        <v>10922435</v>
      </c>
      <c r="B1920" t="s">
        <v>47</v>
      </c>
    </row>
    <row r="1921" spans="1:2" x14ac:dyDescent="0.25">
      <c r="A1921">
        <v>10705485</v>
      </c>
      <c r="B1921" t="s">
        <v>47</v>
      </c>
    </row>
    <row r="1922" spans="1:2" x14ac:dyDescent="0.25">
      <c r="A1922">
        <v>10701294</v>
      </c>
      <c r="B1922" t="s">
        <v>158</v>
      </c>
    </row>
    <row r="1923" spans="1:2" x14ac:dyDescent="0.25">
      <c r="A1923">
        <v>10720666</v>
      </c>
      <c r="B1923" t="s">
        <v>70</v>
      </c>
    </row>
    <row r="1924" spans="1:2" x14ac:dyDescent="0.25">
      <c r="A1924">
        <v>10706011</v>
      </c>
      <c r="B1924" t="s">
        <v>96</v>
      </c>
    </row>
    <row r="1925" spans="1:2" x14ac:dyDescent="0.25">
      <c r="A1925">
        <v>10707353</v>
      </c>
      <c r="B1925" t="s">
        <v>215</v>
      </c>
    </row>
    <row r="1926" spans="1:2" x14ac:dyDescent="0.25">
      <c r="A1926">
        <v>10724063</v>
      </c>
      <c r="B1926" t="s">
        <v>156</v>
      </c>
    </row>
    <row r="1927" spans="1:2" x14ac:dyDescent="0.25">
      <c r="A1927">
        <v>10724209</v>
      </c>
      <c r="B1927" t="s">
        <v>76</v>
      </c>
    </row>
    <row r="1928" spans="1:2" x14ac:dyDescent="0.25">
      <c r="A1928">
        <v>11214391</v>
      </c>
      <c r="B1928" t="s">
        <v>44</v>
      </c>
    </row>
    <row r="1929" spans="1:2" x14ac:dyDescent="0.25">
      <c r="A1929">
        <v>11198491</v>
      </c>
      <c r="B1929" t="s">
        <v>47</v>
      </c>
    </row>
    <row r="1930" spans="1:2" x14ac:dyDescent="0.25">
      <c r="A1930">
        <v>11195366</v>
      </c>
      <c r="B1930" t="s">
        <v>44</v>
      </c>
    </row>
    <row r="1931" spans="1:2" x14ac:dyDescent="0.25">
      <c r="A1931">
        <v>11178678</v>
      </c>
      <c r="B1931" t="s">
        <v>123</v>
      </c>
    </row>
    <row r="1932" spans="1:2" x14ac:dyDescent="0.25">
      <c r="A1932">
        <v>11179923</v>
      </c>
      <c r="B1932" t="s">
        <v>54</v>
      </c>
    </row>
    <row r="1933" spans="1:2" x14ac:dyDescent="0.25">
      <c r="A1933">
        <v>11182141</v>
      </c>
      <c r="B1933" t="s">
        <v>111</v>
      </c>
    </row>
    <row r="1934" spans="1:2" x14ac:dyDescent="0.25">
      <c r="A1934">
        <v>11104488</v>
      </c>
      <c r="B1934" t="s">
        <v>214</v>
      </c>
    </row>
    <row r="1935" spans="1:2" x14ac:dyDescent="0.25">
      <c r="A1935">
        <v>11147699</v>
      </c>
      <c r="B1935" t="s">
        <v>57</v>
      </c>
    </row>
    <row r="1936" spans="1:2" x14ac:dyDescent="0.25">
      <c r="A1936">
        <v>10773637</v>
      </c>
      <c r="B1936" t="s">
        <v>95</v>
      </c>
    </row>
    <row r="1937" spans="1:2" x14ac:dyDescent="0.25">
      <c r="A1937">
        <v>10763422</v>
      </c>
      <c r="B1937" t="s">
        <v>46</v>
      </c>
    </row>
    <row r="1938" spans="1:2" x14ac:dyDescent="0.25">
      <c r="A1938">
        <v>10764638</v>
      </c>
      <c r="B1938" t="s">
        <v>68</v>
      </c>
    </row>
    <row r="1939" spans="1:2" x14ac:dyDescent="0.25">
      <c r="A1939">
        <v>10765814</v>
      </c>
      <c r="B1939" t="s">
        <v>213</v>
      </c>
    </row>
    <row r="1940" spans="1:2" x14ac:dyDescent="0.25">
      <c r="A1940">
        <v>10753951</v>
      </c>
      <c r="B1940" t="s">
        <v>212</v>
      </c>
    </row>
    <row r="1941" spans="1:2" x14ac:dyDescent="0.25">
      <c r="A1941">
        <v>10782142</v>
      </c>
      <c r="B1941" t="s">
        <v>211</v>
      </c>
    </row>
    <row r="1942" spans="1:2" x14ac:dyDescent="0.25">
      <c r="A1942">
        <v>10779059</v>
      </c>
      <c r="B1942" t="s">
        <v>210</v>
      </c>
    </row>
    <row r="1943" spans="1:2" x14ac:dyDescent="0.25">
      <c r="A1943">
        <v>10834966</v>
      </c>
      <c r="B1943" t="s">
        <v>47</v>
      </c>
    </row>
    <row r="1944" spans="1:2" x14ac:dyDescent="0.25">
      <c r="A1944">
        <v>10823695</v>
      </c>
      <c r="B1944" t="s">
        <v>45</v>
      </c>
    </row>
    <row r="1945" spans="1:2" x14ac:dyDescent="0.25">
      <c r="A1945">
        <v>10843926</v>
      </c>
      <c r="B1945" t="s">
        <v>47</v>
      </c>
    </row>
    <row r="1946" spans="1:2" x14ac:dyDescent="0.25">
      <c r="A1946">
        <v>10814947</v>
      </c>
      <c r="B1946" t="s">
        <v>46</v>
      </c>
    </row>
    <row r="1947" spans="1:2" x14ac:dyDescent="0.25">
      <c r="A1947">
        <v>10816864</v>
      </c>
      <c r="B1947" t="s">
        <v>209</v>
      </c>
    </row>
    <row r="1948" spans="1:2" x14ac:dyDescent="0.25">
      <c r="A1948">
        <v>10806122</v>
      </c>
      <c r="B1948" t="s">
        <v>208</v>
      </c>
    </row>
    <row r="1949" spans="1:2" x14ac:dyDescent="0.25">
      <c r="A1949">
        <v>10803679</v>
      </c>
      <c r="B1949" t="s">
        <v>207</v>
      </c>
    </row>
    <row r="1950" spans="1:2" x14ac:dyDescent="0.25">
      <c r="A1950">
        <v>10803759</v>
      </c>
      <c r="B1950" t="s">
        <v>206</v>
      </c>
    </row>
    <row r="1951" spans="1:2" x14ac:dyDescent="0.25">
      <c r="A1951">
        <v>10804080</v>
      </c>
      <c r="B1951" t="s">
        <v>111</v>
      </c>
    </row>
    <row r="1952" spans="1:2" x14ac:dyDescent="0.25">
      <c r="A1952">
        <v>10873337</v>
      </c>
      <c r="B1952" t="s">
        <v>205</v>
      </c>
    </row>
    <row r="1953" spans="1:2" x14ac:dyDescent="0.25">
      <c r="A1953">
        <v>10868219</v>
      </c>
      <c r="B1953" t="s">
        <v>46</v>
      </c>
    </row>
    <row r="1954" spans="1:2" x14ac:dyDescent="0.25">
      <c r="A1954">
        <v>10869496</v>
      </c>
      <c r="B1954" t="s">
        <v>67</v>
      </c>
    </row>
    <row r="1955" spans="1:2" x14ac:dyDescent="0.25">
      <c r="A1955">
        <v>10869526</v>
      </c>
      <c r="B1955" t="s">
        <v>47</v>
      </c>
    </row>
    <row r="1956" spans="1:2" x14ac:dyDescent="0.25">
      <c r="A1956">
        <v>10869639</v>
      </c>
      <c r="B1956" t="s">
        <v>204</v>
      </c>
    </row>
    <row r="1957" spans="1:2" x14ac:dyDescent="0.25">
      <c r="A1957">
        <v>10860499</v>
      </c>
      <c r="B1957" t="s">
        <v>67</v>
      </c>
    </row>
    <row r="1958" spans="1:2" x14ac:dyDescent="0.25">
      <c r="A1958">
        <v>10861032</v>
      </c>
      <c r="B1958" t="s">
        <v>54</v>
      </c>
    </row>
    <row r="1959" spans="1:2" x14ac:dyDescent="0.25">
      <c r="A1959">
        <v>10867131</v>
      </c>
      <c r="B1959" t="s">
        <v>203</v>
      </c>
    </row>
    <row r="1960" spans="1:2" x14ac:dyDescent="0.25">
      <c r="A1960">
        <v>10850894</v>
      </c>
      <c r="B1960" t="s">
        <v>202</v>
      </c>
    </row>
    <row r="1961" spans="1:2" x14ac:dyDescent="0.25">
      <c r="A1961">
        <v>10893807</v>
      </c>
      <c r="B1961" t="s">
        <v>45</v>
      </c>
    </row>
    <row r="1962" spans="1:2" x14ac:dyDescent="0.25">
      <c r="A1962">
        <v>10898058</v>
      </c>
      <c r="B1962" t="s">
        <v>66</v>
      </c>
    </row>
    <row r="1963" spans="1:2" x14ac:dyDescent="0.25">
      <c r="A1963">
        <v>10904180</v>
      </c>
      <c r="B1963" t="s">
        <v>196</v>
      </c>
    </row>
    <row r="1964" spans="1:2" x14ac:dyDescent="0.25">
      <c r="A1964">
        <v>10920661</v>
      </c>
      <c r="B1964" t="s">
        <v>201</v>
      </c>
    </row>
    <row r="1965" spans="1:2" x14ac:dyDescent="0.25">
      <c r="A1965">
        <v>10915665</v>
      </c>
      <c r="B1965" t="s">
        <v>47</v>
      </c>
    </row>
    <row r="1966" spans="1:2" x14ac:dyDescent="0.25">
      <c r="A1966">
        <v>10916151</v>
      </c>
      <c r="B1966" t="s">
        <v>200</v>
      </c>
    </row>
    <row r="1967" spans="1:2" x14ac:dyDescent="0.25">
      <c r="A1967">
        <v>10691481</v>
      </c>
      <c r="B1967" t="s">
        <v>156</v>
      </c>
    </row>
    <row r="1968" spans="1:2" x14ac:dyDescent="0.25">
      <c r="A1968">
        <v>10692039</v>
      </c>
      <c r="B1968" t="s">
        <v>199</v>
      </c>
    </row>
    <row r="1969" spans="1:2" x14ac:dyDescent="0.25">
      <c r="A1969">
        <v>11693311</v>
      </c>
      <c r="B1969" t="s">
        <v>44</v>
      </c>
    </row>
    <row r="1970" spans="1:2" x14ac:dyDescent="0.25">
      <c r="A1970">
        <v>11715944</v>
      </c>
      <c r="B1970" t="s">
        <v>198</v>
      </c>
    </row>
    <row r="1971" spans="1:2" x14ac:dyDescent="0.25">
      <c r="A1971">
        <v>11746723</v>
      </c>
      <c r="B1971" t="s">
        <v>44</v>
      </c>
    </row>
    <row r="1972" spans="1:2" x14ac:dyDescent="0.25">
      <c r="A1972">
        <v>11682454</v>
      </c>
      <c r="B1972" t="s">
        <v>197</v>
      </c>
    </row>
    <row r="1973" spans="1:2" x14ac:dyDescent="0.25">
      <c r="A1973">
        <v>11685706</v>
      </c>
      <c r="B1973" t="s">
        <v>44</v>
      </c>
    </row>
    <row r="1974" spans="1:2" x14ac:dyDescent="0.25">
      <c r="A1974">
        <v>11549074</v>
      </c>
      <c r="B1974" t="s">
        <v>67</v>
      </c>
    </row>
    <row r="1975" spans="1:2" x14ac:dyDescent="0.25">
      <c r="A1975">
        <v>11524388</v>
      </c>
      <c r="B1975" t="s">
        <v>44</v>
      </c>
    </row>
    <row r="1976" spans="1:2" x14ac:dyDescent="0.25">
      <c r="A1976">
        <v>11527692</v>
      </c>
      <c r="B1976" t="s">
        <v>47</v>
      </c>
    </row>
    <row r="1977" spans="1:2" x14ac:dyDescent="0.25">
      <c r="A1977">
        <v>11331877</v>
      </c>
      <c r="B1977" t="s">
        <v>44</v>
      </c>
    </row>
    <row r="1978" spans="1:2" x14ac:dyDescent="0.25">
      <c r="A1978">
        <v>11664724</v>
      </c>
      <c r="B1978" t="s">
        <v>196</v>
      </c>
    </row>
    <row r="1979" spans="1:2" x14ac:dyDescent="0.25">
      <c r="A1979">
        <v>11707234</v>
      </c>
      <c r="B1979" t="s">
        <v>67</v>
      </c>
    </row>
    <row r="1980" spans="1:2" x14ac:dyDescent="0.25">
      <c r="A1980">
        <v>11447359</v>
      </c>
      <c r="B1980" t="s">
        <v>46</v>
      </c>
    </row>
    <row r="1981" spans="1:2" x14ac:dyDescent="0.25">
      <c r="A1981">
        <v>11465068</v>
      </c>
      <c r="B1981" t="s">
        <v>47</v>
      </c>
    </row>
    <row r="1982" spans="1:2" x14ac:dyDescent="0.25">
      <c r="A1982">
        <v>10951238</v>
      </c>
      <c r="B1982" t="s">
        <v>195</v>
      </c>
    </row>
    <row r="1983" spans="1:2" x14ac:dyDescent="0.25">
      <c r="A1983">
        <v>11498479</v>
      </c>
      <c r="B1983" t="s">
        <v>194</v>
      </c>
    </row>
    <row r="1984" spans="1:2" x14ac:dyDescent="0.25">
      <c r="A1984">
        <v>11498689</v>
      </c>
      <c r="B1984" t="s">
        <v>67</v>
      </c>
    </row>
    <row r="1985" spans="1:2" x14ac:dyDescent="0.25">
      <c r="A1985">
        <v>11512476</v>
      </c>
      <c r="B1985" t="s">
        <v>54</v>
      </c>
    </row>
    <row r="1986" spans="1:2" x14ac:dyDescent="0.25">
      <c r="A1986">
        <v>11444637</v>
      </c>
      <c r="B1986" t="s">
        <v>47</v>
      </c>
    </row>
    <row r="1987" spans="1:2" x14ac:dyDescent="0.25">
      <c r="A1987">
        <v>11434479</v>
      </c>
      <c r="B1987" t="s">
        <v>91</v>
      </c>
    </row>
    <row r="1988" spans="1:2" x14ac:dyDescent="0.25">
      <c r="A1988">
        <v>11393183</v>
      </c>
      <c r="B1988" t="s">
        <v>46</v>
      </c>
    </row>
    <row r="1989" spans="1:2" x14ac:dyDescent="0.25">
      <c r="A1989">
        <v>11381611</v>
      </c>
      <c r="B1989" t="s">
        <v>44</v>
      </c>
    </row>
    <row r="1990" spans="1:2" x14ac:dyDescent="0.25">
      <c r="A1990">
        <v>11395125</v>
      </c>
      <c r="B1990" t="s">
        <v>193</v>
      </c>
    </row>
    <row r="1991" spans="1:2" x14ac:dyDescent="0.25">
      <c r="A1991">
        <v>11270435</v>
      </c>
      <c r="B1991" t="s">
        <v>192</v>
      </c>
    </row>
    <row r="1992" spans="1:2" x14ac:dyDescent="0.25">
      <c r="A1992">
        <v>11279361</v>
      </c>
      <c r="B1992" t="s">
        <v>70</v>
      </c>
    </row>
    <row r="1993" spans="1:2" x14ac:dyDescent="0.25">
      <c r="A1993">
        <v>11304512</v>
      </c>
      <c r="B1993" t="s">
        <v>191</v>
      </c>
    </row>
    <row r="1994" spans="1:2" x14ac:dyDescent="0.25">
      <c r="A1994">
        <v>11299844</v>
      </c>
      <c r="B1994" t="s">
        <v>190</v>
      </c>
    </row>
    <row r="1995" spans="1:2" x14ac:dyDescent="0.25">
      <c r="A1995">
        <v>11511313</v>
      </c>
      <c r="B1995" t="s">
        <v>168</v>
      </c>
    </row>
    <row r="1996" spans="1:2" x14ac:dyDescent="0.25">
      <c r="A1996">
        <v>11300254</v>
      </c>
      <c r="B1996" t="s">
        <v>106</v>
      </c>
    </row>
    <row r="1997" spans="1:2" x14ac:dyDescent="0.25">
      <c r="A1997">
        <v>11569192</v>
      </c>
      <c r="B1997" t="s">
        <v>189</v>
      </c>
    </row>
    <row r="1998" spans="1:2" x14ac:dyDescent="0.25">
      <c r="A1998">
        <v>11579756</v>
      </c>
      <c r="B1998" t="s">
        <v>188</v>
      </c>
    </row>
    <row r="1999" spans="1:2" x14ac:dyDescent="0.25">
      <c r="A1999">
        <v>11564403</v>
      </c>
      <c r="B1999" t="s">
        <v>60</v>
      </c>
    </row>
    <row r="2000" spans="1:2" x14ac:dyDescent="0.25">
      <c r="A2000">
        <v>11615648</v>
      </c>
      <c r="B2000" t="s">
        <v>47</v>
      </c>
    </row>
    <row r="2001" spans="1:2" x14ac:dyDescent="0.25">
      <c r="A2001">
        <v>11623779</v>
      </c>
      <c r="B2001" t="s">
        <v>170</v>
      </c>
    </row>
    <row r="2002" spans="1:2" x14ac:dyDescent="0.25">
      <c r="A2002">
        <v>11628281</v>
      </c>
      <c r="B2002" t="s">
        <v>44</v>
      </c>
    </row>
    <row r="2003" spans="1:2" x14ac:dyDescent="0.25">
      <c r="A2003">
        <v>11737026</v>
      </c>
      <c r="B2003" t="s">
        <v>187</v>
      </c>
    </row>
    <row r="2004" spans="1:2" x14ac:dyDescent="0.25">
      <c r="A2004">
        <v>11775944</v>
      </c>
      <c r="B2004" t="s">
        <v>83</v>
      </c>
    </row>
    <row r="2005" spans="1:2" x14ac:dyDescent="0.25">
      <c r="A2005">
        <v>11883217</v>
      </c>
      <c r="B2005" t="s">
        <v>186</v>
      </c>
    </row>
    <row r="2006" spans="1:2" x14ac:dyDescent="0.25">
      <c r="A2006">
        <v>11921300</v>
      </c>
      <c r="B2006" t="s">
        <v>46</v>
      </c>
    </row>
    <row r="2007" spans="1:2" x14ac:dyDescent="0.25">
      <c r="A2007">
        <v>11951528</v>
      </c>
      <c r="B2007" t="s">
        <v>111</v>
      </c>
    </row>
    <row r="2008" spans="1:2" x14ac:dyDescent="0.25">
      <c r="A2008">
        <v>11942450</v>
      </c>
      <c r="B2008" t="s">
        <v>185</v>
      </c>
    </row>
    <row r="2009" spans="1:2" x14ac:dyDescent="0.25">
      <c r="A2009">
        <v>11916697</v>
      </c>
      <c r="B2009" t="s">
        <v>184</v>
      </c>
    </row>
    <row r="2010" spans="1:2" x14ac:dyDescent="0.25">
      <c r="A2010">
        <v>11858304</v>
      </c>
      <c r="B2010" t="s">
        <v>183</v>
      </c>
    </row>
    <row r="2011" spans="1:2" x14ac:dyDescent="0.25">
      <c r="A2011">
        <v>11827579</v>
      </c>
      <c r="B2011" t="s">
        <v>173</v>
      </c>
    </row>
    <row r="2012" spans="1:2" x14ac:dyDescent="0.25">
      <c r="A2012">
        <v>11843195</v>
      </c>
      <c r="B2012" t="s">
        <v>182</v>
      </c>
    </row>
    <row r="2013" spans="1:2" x14ac:dyDescent="0.25">
      <c r="A2013">
        <v>11844676</v>
      </c>
      <c r="B2013" t="s">
        <v>70</v>
      </c>
    </row>
    <row r="2014" spans="1:2" x14ac:dyDescent="0.25">
      <c r="A2014">
        <v>11844725</v>
      </c>
      <c r="B2014" t="s">
        <v>70</v>
      </c>
    </row>
    <row r="2015" spans="1:2" x14ac:dyDescent="0.25">
      <c r="A2015">
        <v>11865613</v>
      </c>
      <c r="B2015" t="s">
        <v>67</v>
      </c>
    </row>
    <row r="2016" spans="1:2" x14ac:dyDescent="0.25">
      <c r="A2016">
        <v>12022721</v>
      </c>
      <c r="B2016" t="s">
        <v>47</v>
      </c>
    </row>
    <row r="2017" spans="1:2" x14ac:dyDescent="0.25">
      <c r="A2017">
        <v>10921422</v>
      </c>
      <c r="B2017" t="s">
        <v>181</v>
      </c>
    </row>
    <row r="2018" spans="1:2" x14ac:dyDescent="0.25">
      <c r="A2018">
        <v>10922721</v>
      </c>
      <c r="B2018" t="s">
        <v>111</v>
      </c>
    </row>
    <row r="2019" spans="1:2" x14ac:dyDescent="0.25">
      <c r="A2019">
        <v>10919044</v>
      </c>
      <c r="B2019" t="s">
        <v>47</v>
      </c>
    </row>
    <row r="2020" spans="1:2" x14ac:dyDescent="0.25">
      <c r="A2020">
        <v>10904914</v>
      </c>
      <c r="B2020" t="s">
        <v>44</v>
      </c>
    </row>
    <row r="2021" spans="1:2" x14ac:dyDescent="0.25">
      <c r="A2021">
        <v>10691527</v>
      </c>
      <c r="B2021" t="s">
        <v>180</v>
      </c>
    </row>
    <row r="2022" spans="1:2" x14ac:dyDescent="0.25">
      <c r="A2022">
        <v>10884777</v>
      </c>
      <c r="B2022" t="s">
        <v>112</v>
      </c>
    </row>
    <row r="2023" spans="1:2" x14ac:dyDescent="0.25">
      <c r="A2023">
        <v>10893618</v>
      </c>
      <c r="B2023" t="s">
        <v>113</v>
      </c>
    </row>
    <row r="2024" spans="1:2" x14ac:dyDescent="0.25">
      <c r="A2024">
        <v>10877161</v>
      </c>
      <c r="B2024" t="s">
        <v>179</v>
      </c>
    </row>
    <row r="2025" spans="1:2" x14ac:dyDescent="0.25">
      <c r="A2025">
        <v>10879479</v>
      </c>
      <c r="B2025" t="s">
        <v>178</v>
      </c>
    </row>
    <row r="2026" spans="1:2" x14ac:dyDescent="0.25">
      <c r="A2026">
        <v>10881110</v>
      </c>
      <c r="B2026" t="s">
        <v>177</v>
      </c>
    </row>
    <row r="2027" spans="1:2" x14ac:dyDescent="0.25">
      <c r="A2027">
        <v>10765916</v>
      </c>
      <c r="B2027" t="s">
        <v>176</v>
      </c>
    </row>
    <row r="2028" spans="1:2" x14ac:dyDescent="0.25">
      <c r="A2028">
        <v>10781568</v>
      </c>
      <c r="B2028" t="s">
        <v>175</v>
      </c>
    </row>
    <row r="2029" spans="1:2" x14ac:dyDescent="0.25">
      <c r="A2029">
        <v>10782207</v>
      </c>
      <c r="B2029" t="s">
        <v>54</v>
      </c>
    </row>
    <row r="2030" spans="1:2" x14ac:dyDescent="0.25">
      <c r="A2030">
        <v>10794033</v>
      </c>
      <c r="B2030" t="s">
        <v>57</v>
      </c>
    </row>
    <row r="2031" spans="1:2" x14ac:dyDescent="0.25">
      <c r="A2031">
        <v>10797650</v>
      </c>
      <c r="B2031" t="s">
        <v>47</v>
      </c>
    </row>
    <row r="2032" spans="1:2" x14ac:dyDescent="0.25">
      <c r="A2032">
        <v>10850362</v>
      </c>
      <c r="B2032" t="s">
        <v>174</v>
      </c>
    </row>
    <row r="2033" spans="1:2" x14ac:dyDescent="0.25">
      <c r="A2033">
        <v>10851143</v>
      </c>
      <c r="B2033" t="s">
        <v>173</v>
      </c>
    </row>
    <row r="2034" spans="1:2" x14ac:dyDescent="0.25">
      <c r="A2034">
        <v>10751641</v>
      </c>
      <c r="B2034" t="s">
        <v>70</v>
      </c>
    </row>
    <row r="2035" spans="1:2" x14ac:dyDescent="0.25">
      <c r="A2035">
        <v>10750569</v>
      </c>
      <c r="B2035" t="s">
        <v>172</v>
      </c>
    </row>
    <row r="2036" spans="1:2" x14ac:dyDescent="0.25">
      <c r="A2036">
        <v>10594958</v>
      </c>
      <c r="B2036" t="s">
        <v>54</v>
      </c>
    </row>
    <row r="2037" spans="1:2" x14ac:dyDescent="0.25">
      <c r="A2037">
        <v>10590214</v>
      </c>
      <c r="B2037" t="s">
        <v>89</v>
      </c>
    </row>
    <row r="2038" spans="1:2" x14ac:dyDescent="0.25">
      <c r="A2038">
        <v>10610471</v>
      </c>
      <c r="B2038" t="s">
        <v>58</v>
      </c>
    </row>
    <row r="2039" spans="1:2" x14ac:dyDescent="0.25">
      <c r="A2039">
        <v>10580602</v>
      </c>
      <c r="B2039" t="s">
        <v>44</v>
      </c>
    </row>
    <row r="2040" spans="1:2" x14ac:dyDescent="0.25">
      <c r="A2040">
        <v>10580665</v>
      </c>
      <c r="B2040" t="s">
        <v>171</v>
      </c>
    </row>
    <row r="2041" spans="1:2" x14ac:dyDescent="0.25">
      <c r="A2041">
        <v>10583128</v>
      </c>
      <c r="B2041" t="s">
        <v>170</v>
      </c>
    </row>
    <row r="2042" spans="1:2" x14ac:dyDescent="0.25">
      <c r="A2042">
        <v>10583203</v>
      </c>
      <c r="B2042" t="s">
        <v>170</v>
      </c>
    </row>
    <row r="2043" spans="1:2" x14ac:dyDescent="0.25">
      <c r="A2043">
        <v>10583847</v>
      </c>
      <c r="B2043" t="s">
        <v>70</v>
      </c>
    </row>
    <row r="2044" spans="1:2" x14ac:dyDescent="0.25">
      <c r="A2044">
        <v>10589210</v>
      </c>
      <c r="B2044" t="s">
        <v>169</v>
      </c>
    </row>
    <row r="2045" spans="1:2" x14ac:dyDescent="0.25">
      <c r="A2045">
        <v>10589395</v>
      </c>
      <c r="B2045" t="s">
        <v>168</v>
      </c>
    </row>
    <row r="2046" spans="1:2" x14ac:dyDescent="0.25">
      <c r="A2046">
        <v>10589414</v>
      </c>
      <c r="B2046" t="s">
        <v>70</v>
      </c>
    </row>
    <row r="2047" spans="1:2" x14ac:dyDescent="0.25">
      <c r="A2047">
        <v>10589498</v>
      </c>
      <c r="B2047" t="s">
        <v>167</v>
      </c>
    </row>
    <row r="2048" spans="1:2" x14ac:dyDescent="0.25">
      <c r="A2048">
        <v>10608811</v>
      </c>
      <c r="B2048" t="s">
        <v>44</v>
      </c>
    </row>
    <row r="2049" spans="1:2" x14ac:dyDescent="0.25">
      <c r="A2049">
        <v>10615968</v>
      </c>
      <c r="B2049" t="s">
        <v>156</v>
      </c>
    </row>
    <row r="2050" spans="1:2" x14ac:dyDescent="0.25">
      <c r="A2050">
        <v>11257822</v>
      </c>
      <c r="B2050" t="s">
        <v>85</v>
      </c>
    </row>
    <row r="2051" spans="1:2" x14ac:dyDescent="0.25">
      <c r="A2051">
        <v>10577408</v>
      </c>
      <c r="B2051" t="s">
        <v>166</v>
      </c>
    </row>
    <row r="2052" spans="1:2" x14ac:dyDescent="0.25">
      <c r="A2052">
        <v>10565887</v>
      </c>
      <c r="B2052" t="s">
        <v>83</v>
      </c>
    </row>
    <row r="2053" spans="1:2" x14ac:dyDescent="0.25">
      <c r="A2053">
        <v>10572118</v>
      </c>
      <c r="B2053" t="s">
        <v>165</v>
      </c>
    </row>
    <row r="2054" spans="1:2" x14ac:dyDescent="0.25">
      <c r="A2054">
        <v>10637945</v>
      </c>
      <c r="B2054" t="s">
        <v>164</v>
      </c>
    </row>
    <row r="2055" spans="1:2" x14ac:dyDescent="0.25">
      <c r="A2055">
        <v>10638303</v>
      </c>
      <c r="B2055" t="s">
        <v>163</v>
      </c>
    </row>
    <row r="2056" spans="1:2" x14ac:dyDescent="0.25">
      <c r="A2056">
        <v>10624639</v>
      </c>
      <c r="B2056" t="s">
        <v>162</v>
      </c>
    </row>
    <row r="2057" spans="1:2" x14ac:dyDescent="0.25">
      <c r="A2057">
        <v>10626690</v>
      </c>
      <c r="B2057" t="s">
        <v>47</v>
      </c>
    </row>
    <row r="2058" spans="1:2" x14ac:dyDescent="0.25">
      <c r="A2058">
        <v>10655248</v>
      </c>
      <c r="B2058" t="s">
        <v>87</v>
      </c>
    </row>
    <row r="2059" spans="1:2" x14ac:dyDescent="0.25">
      <c r="A2059">
        <v>10657111</v>
      </c>
      <c r="B2059" t="s">
        <v>46</v>
      </c>
    </row>
    <row r="2060" spans="1:2" x14ac:dyDescent="0.25">
      <c r="A2060">
        <v>10641259</v>
      </c>
      <c r="B2060" t="s">
        <v>54</v>
      </c>
    </row>
    <row r="2061" spans="1:2" x14ac:dyDescent="0.25">
      <c r="A2061">
        <v>10644770</v>
      </c>
      <c r="B2061" t="s">
        <v>71</v>
      </c>
    </row>
    <row r="2062" spans="1:2" x14ac:dyDescent="0.25">
      <c r="A2062">
        <v>10644974</v>
      </c>
      <c r="B2062" t="s">
        <v>161</v>
      </c>
    </row>
    <row r="2063" spans="1:2" x14ac:dyDescent="0.25">
      <c r="A2063">
        <v>10623971</v>
      </c>
      <c r="B2063" t="s">
        <v>160</v>
      </c>
    </row>
    <row r="2064" spans="1:2" x14ac:dyDescent="0.25">
      <c r="A2064">
        <v>10624054</v>
      </c>
      <c r="B2064" t="s">
        <v>159</v>
      </c>
    </row>
    <row r="2065" spans="1:2" x14ac:dyDescent="0.25">
      <c r="A2065">
        <v>10623631</v>
      </c>
      <c r="B2065" t="s">
        <v>44</v>
      </c>
    </row>
    <row r="2066" spans="1:2" x14ac:dyDescent="0.25">
      <c r="A2066">
        <v>10621734</v>
      </c>
      <c r="B2066" t="s">
        <v>82</v>
      </c>
    </row>
    <row r="2067" spans="1:2" x14ac:dyDescent="0.25">
      <c r="A2067">
        <v>10621890</v>
      </c>
      <c r="B2067" t="s">
        <v>116</v>
      </c>
    </row>
    <row r="2068" spans="1:2" x14ac:dyDescent="0.25">
      <c r="A2068">
        <v>10621914</v>
      </c>
      <c r="B2068" t="s">
        <v>96</v>
      </c>
    </row>
    <row r="2069" spans="1:2" x14ac:dyDescent="0.25">
      <c r="A2069">
        <v>10622159</v>
      </c>
      <c r="B2069" t="s">
        <v>158</v>
      </c>
    </row>
    <row r="2070" spans="1:2" x14ac:dyDescent="0.25">
      <c r="A2070">
        <v>10622261</v>
      </c>
      <c r="B2070" t="s">
        <v>66</v>
      </c>
    </row>
    <row r="2071" spans="1:2" x14ac:dyDescent="0.25">
      <c r="A2071">
        <v>10622429</v>
      </c>
      <c r="B2071" t="s">
        <v>47</v>
      </c>
    </row>
    <row r="2072" spans="1:2" x14ac:dyDescent="0.25">
      <c r="A2072">
        <v>10623517</v>
      </c>
      <c r="B2072" t="s">
        <v>157</v>
      </c>
    </row>
    <row r="2073" spans="1:2" x14ac:dyDescent="0.25">
      <c r="A2073">
        <v>10614204</v>
      </c>
      <c r="B2073" t="s">
        <v>156</v>
      </c>
    </row>
    <row r="2074" spans="1:2" x14ac:dyDescent="0.25">
      <c r="A2074">
        <v>10597756</v>
      </c>
      <c r="B2074" t="s">
        <v>155</v>
      </c>
    </row>
    <row r="2075" spans="1:2" x14ac:dyDescent="0.25">
      <c r="A2075">
        <v>10733484</v>
      </c>
      <c r="B2075" t="s">
        <v>96</v>
      </c>
    </row>
    <row r="2076" spans="1:2" x14ac:dyDescent="0.25">
      <c r="A2076">
        <v>10737628</v>
      </c>
      <c r="B2076" t="s">
        <v>154</v>
      </c>
    </row>
    <row r="2077" spans="1:2" x14ac:dyDescent="0.25">
      <c r="A2077">
        <v>10727456</v>
      </c>
      <c r="B2077" t="s">
        <v>47</v>
      </c>
    </row>
    <row r="2078" spans="1:2" x14ac:dyDescent="0.25">
      <c r="A2078">
        <v>10781389</v>
      </c>
      <c r="B2078" t="s">
        <v>153</v>
      </c>
    </row>
    <row r="2079" spans="1:2" x14ac:dyDescent="0.25">
      <c r="A2079">
        <v>10780737</v>
      </c>
      <c r="B2079" t="s">
        <v>152</v>
      </c>
    </row>
    <row r="2080" spans="1:2" x14ac:dyDescent="0.25">
      <c r="A2080">
        <v>10804235</v>
      </c>
      <c r="B2080" t="s">
        <v>151</v>
      </c>
    </row>
    <row r="2081" spans="1:2" x14ac:dyDescent="0.25">
      <c r="A2081">
        <v>10808557</v>
      </c>
      <c r="B2081" t="s">
        <v>68</v>
      </c>
    </row>
    <row r="2082" spans="1:2" x14ac:dyDescent="0.25">
      <c r="A2082">
        <v>10595672</v>
      </c>
      <c r="B2082" t="s">
        <v>102</v>
      </c>
    </row>
    <row r="2083" spans="1:2" x14ac:dyDescent="0.25">
      <c r="A2083">
        <v>10892001</v>
      </c>
      <c r="B2083" t="s">
        <v>60</v>
      </c>
    </row>
    <row r="2084" spans="1:2" x14ac:dyDescent="0.25">
      <c r="A2084">
        <v>10665770</v>
      </c>
      <c r="B2084" t="s">
        <v>60</v>
      </c>
    </row>
    <row r="2085" spans="1:2" x14ac:dyDescent="0.25">
      <c r="A2085">
        <v>10620379</v>
      </c>
      <c r="B2085" t="s">
        <v>150</v>
      </c>
    </row>
    <row r="2086" spans="1:2" x14ac:dyDescent="0.25">
      <c r="A2086">
        <v>11422465</v>
      </c>
      <c r="B2086" t="s">
        <v>54</v>
      </c>
    </row>
    <row r="2087" spans="1:2" x14ac:dyDescent="0.25">
      <c r="A2087">
        <v>10643397</v>
      </c>
      <c r="B2087" t="s">
        <v>44</v>
      </c>
    </row>
    <row r="2088" spans="1:2" x14ac:dyDescent="0.25">
      <c r="A2088">
        <v>10644875</v>
      </c>
      <c r="B2088" t="s">
        <v>102</v>
      </c>
    </row>
    <row r="2089" spans="1:2" x14ac:dyDescent="0.25">
      <c r="A2089">
        <v>10650572</v>
      </c>
      <c r="B2089" t="s">
        <v>149</v>
      </c>
    </row>
    <row r="2090" spans="1:2" x14ac:dyDescent="0.25">
      <c r="A2090">
        <v>10665511</v>
      </c>
      <c r="B2090" t="s">
        <v>47</v>
      </c>
    </row>
    <row r="2091" spans="1:2" x14ac:dyDescent="0.25">
      <c r="A2091">
        <v>10639663</v>
      </c>
      <c r="B2091" t="s">
        <v>48</v>
      </c>
    </row>
    <row r="2092" spans="1:2" x14ac:dyDescent="0.25">
      <c r="A2092">
        <v>10627783</v>
      </c>
      <c r="B2092" t="s">
        <v>87</v>
      </c>
    </row>
    <row r="2093" spans="1:2" x14ac:dyDescent="0.25">
      <c r="A2093">
        <v>10620898</v>
      </c>
      <c r="B2093" t="s">
        <v>54</v>
      </c>
    </row>
    <row r="2094" spans="1:2" x14ac:dyDescent="0.25">
      <c r="A2094">
        <v>10608837</v>
      </c>
      <c r="B2094" t="s">
        <v>148</v>
      </c>
    </row>
    <row r="2095" spans="1:2" x14ac:dyDescent="0.25">
      <c r="A2095">
        <v>10601766</v>
      </c>
      <c r="B2095" t="s">
        <v>47</v>
      </c>
    </row>
    <row r="2096" spans="1:2" x14ac:dyDescent="0.25">
      <c r="A2096">
        <v>10623136</v>
      </c>
      <c r="B2096" t="s">
        <v>66</v>
      </c>
    </row>
    <row r="2097" spans="1:2" x14ac:dyDescent="0.25">
      <c r="A2097">
        <v>10609417</v>
      </c>
      <c r="B2097" t="s">
        <v>45</v>
      </c>
    </row>
    <row r="2098" spans="1:2" x14ac:dyDescent="0.25">
      <c r="A2098">
        <v>10614259</v>
      </c>
      <c r="B2098" t="s">
        <v>44</v>
      </c>
    </row>
    <row r="2099" spans="1:2" x14ac:dyDescent="0.25">
      <c r="A2099">
        <v>10617978</v>
      </c>
      <c r="B2099" t="s">
        <v>147</v>
      </c>
    </row>
    <row r="2100" spans="1:2" x14ac:dyDescent="0.25">
      <c r="A2100">
        <v>10565957</v>
      </c>
      <c r="B2100" t="s">
        <v>88</v>
      </c>
    </row>
    <row r="2101" spans="1:2" x14ac:dyDescent="0.25">
      <c r="A2101">
        <v>10566399</v>
      </c>
      <c r="B2101" t="s">
        <v>146</v>
      </c>
    </row>
    <row r="2102" spans="1:2" x14ac:dyDescent="0.25">
      <c r="A2102">
        <v>10567513</v>
      </c>
      <c r="B2102" t="s">
        <v>86</v>
      </c>
    </row>
    <row r="2103" spans="1:2" x14ac:dyDescent="0.25">
      <c r="A2103">
        <v>10575766</v>
      </c>
      <c r="B2103" t="s">
        <v>44</v>
      </c>
    </row>
    <row r="2104" spans="1:2" x14ac:dyDescent="0.25">
      <c r="A2104">
        <v>10584889</v>
      </c>
      <c r="B2104" t="s">
        <v>145</v>
      </c>
    </row>
    <row r="2105" spans="1:2" x14ac:dyDescent="0.25">
      <c r="A2105">
        <v>10588876</v>
      </c>
      <c r="B2105" t="s">
        <v>144</v>
      </c>
    </row>
    <row r="2106" spans="1:2" x14ac:dyDescent="0.25">
      <c r="A2106">
        <v>10589017</v>
      </c>
      <c r="B2106" t="s">
        <v>143</v>
      </c>
    </row>
    <row r="2107" spans="1:2" x14ac:dyDescent="0.25">
      <c r="A2107">
        <v>10590887</v>
      </c>
      <c r="B2107" t="s">
        <v>142</v>
      </c>
    </row>
    <row r="2108" spans="1:2" x14ac:dyDescent="0.25">
      <c r="A2108">
        <v>10595463</v>
      </c>
      <c r="B2108" t="s">
        <v>44</v>
      </c>
    </row>
    <row r="2109" spans="1:2" x14ac:dyDescent="0.25">
      <c r="A2109">
        <v>10595742</v>
      </c>
      <c r="B2109" t="s">
        <v>141</v>
      </c>
    </row>
    <row r="2110" spans="1:2" x14ac:dyDescent="0.25">
      <c r="A2110">
        <v>10595388</v>
      </c>
      <c r="B2110" t="s">
        <v>44</v>
      </c>
    </row>
    <row r="2111" spans="1:2" x14ac:dyDescent="0.25">
      <c r="A2111">
        <v>10595392</v>
      </c>
      <c r="B2111" t="s">
        <v>140</v>
      </c>
    </row>
    <row r="2112" spans="1:2" x14ac:dyDescent="0.25">
      <c r="A2112">
        <v>10578265</v>
      </c>
      <c r="B2112" t="s">
        <v>139</v>
      </c>
    </row>
    <row r="2113" spans="1:2" x14ac:dyDescent="0.25">
      <c r="A2113">
        <v>10578279</v>
      </c>
      <c r="B2113" t="s">
        <v>88</v>
      </c>
    </row>
    <row r="2114" spans="1:2" x14ac:dyDescent="0.25">
      <c r="A2114">
        <v>10628730</v>
      </c>
      <c r="B2114" t="s">
        <v>138</v>
      </c>
    </row>
    <row r="2115" spans="1:2" x14ac:dyDescent="0.25">
      <c r="A2115">
        <v>11346670</v>
      </c>
      <c r="B2115" t="s">
        <v>137</v>
      </c>
    </row>
    <row r="2116" spans="1:2" x14ac:dyDescent="0.25">
      <c r="A2116">
        <v>11571805</v>
      </c>
      <c r="B2116" t="s">
        <v>136</v>
      </c>
    </row>
    <row r="2117" spans="1:2" x14ac:dyDescent="0.25">
      <c r="A2117">
        <v>11379126</v>
      </c>
      <c r="B2117" t="s">
        <v>45</v>
      </c>
    </row>
    <row r="2118" spans="1:2" x14ac:dyDescent="0.25">
      <c r="A2118">
        <v>11405544</v>
      </c>
      <c r="B2118" t="s">
        <v>135</v>
      </c>
    </row>
    <row r="2119" spans="1:2" x14ac:dyDescent="0.25">
      <c r="A2119">
        <v>11708061</v>
      </c>
      <c r="B2119" t="s">
        <v>134</v>
      </c>
    </row>
    <row r="2120" spans="1:2" x14ac:dyDescent="0.25">
      <c r="A2120">
        <v>11860545</v>
      </c>
      <c r="B2120" t="s">
        <v>133</v>
      </c>
    </row>
    <row r="2121" spans="1:2" x14ac:dyDescent="0.25">
      <c r="A2121">
        <v>10790033</v>
      </c>
      <c r="B2121" t="s">
        <v>58</v>
      </c>
    </row>
    <row r="2122" spans="1:2" x14ac:dyDescent="0.25">
      <c r="A2122">
        <v>10790347</v>
      </c>
      <c r="B2122" t="s">
        <v>132</v>
      </c>
    </row>
    <row r="2123" spans="1:2" x14ac:dyDescent="0.25">
      <c r="A2123">
        <v>11832452</v>
      </c>
      <c r="B2123" t="s">
        <v>60</v>
      </c>
    </row>
    <row r="2124" spans="1:2" x14ac:dyDescent="0.25">
      <c r="A2124">
        <v>11385747</v>
      </c>
      <c r="B2124" t="s">
        <v>131</v>
      </c>
    </row>
    <row r="2125" spans="1:2" x14ac:dyDescent="0.25">
      <c r="A2125">
        <v>11371270</v>
      </c>
      <c r="B2125" t="s">
        <v>54</v>
      </c>
    </row>
    <row r="2126" spans="1:2" x14ac:dyDescent="0.25">
      <c r="A2126">
        <v>11400319</v>
      </c>
      <c r="B2126" t="s">
        <v>47</v>
      </c>
    </row>
    <row r="2127" spans="1:2" x14ac:dyDescent="0.25">
      <c r="A2127">
        <v>11348185</v>
      </c>
      <c r="B2127" t="s">
        <v>130</v>
      </c>
    </row>
    <row r="2128" spans="1:2" x14ac:dyDescent="0.25">
      <c r="A2128">
        <v>11826088</v>
      </c>
      <c r="B2128" t="s">
        <v>60</v>
      </c>
    </row>
    <row r="2129" spans="1:2" x14ac:dyDescent="0.25">
      <c r="A2129">
        <v>11619491</v>
      </c>
      <c r="B2129" t="s">
        <v>54</v>
      </c>
    </row>
    <row r="2130" spans="1:2" x14ac:dyDescent="0.25">
      <c r="A2130">
        <v>11348882</v>
      </c>
      <c r="B2130" t="s">
        <v>47</v>
      </c>
    </row>
    <row r="2131" spans="1:2" x14ac:dyDescent="0.25">
      <c r="A2131">
        <v>11363915</v>
      </c>
      <c r="B2131" t="s">
        <v>129</v>
      </c>
    </row>
    <row r="2132" spans="1:2" x14ac:dyDescent="0.25">
      <c r="A2132">
        <v>11599483</v>
      </c>
      <c r="B2132" t="s">
        <v>128</v>
      </c>
    </row>
    <row r="2133" spans="1:2" x14ac:dyDescent="0.25">
      <c r="A2133">
        <v>11404623</v>
      </c>
      <c r="B2133" t="s">
        <v>127</v>
      </c>
    </row>
    <row r="2134" spans="1:2" x14ac:dyDescent="0.25">
      <c r="A2134">
        <v>11356313</v>
      </c>
      <c r="B2134" t="s">
        <v>126</v>
      </c>
    </row>
    <row r="2135" spans="1:2" x14ac:dyDescent="0.25">
      <c r="A2135">
        <v>11376032</v>
      </c>
      <c r="B2135" t="s">
        <v>125</v>
      </c>
    </row>
    <row r="2136" spans="1:2" x14ac:dyDescent="0.25">
      <c r="A2136">
        <v>11318868</v>
      </c>
      <c r="B2136" t="s">
        <v>124</v>
      </c>
    </row>
    <row r="2137" spans="1:2" x14ac:dyDescent="0.25">
      <c r="A2137">
        <v>11302924</v>
      </c>
      <c r="B2137" t="s">
        <v>123</v>
      </c>
    </row>
    <row r="2138" spans="1:2" x14ac:dyDescent="0.25">
      <c r="A2138">
        <v>11618817</v>
      </c>
      <c r="B2138" t="s">
        <v>88</v>
      </c>
    </row>
    <row r="2139" spans="1:2" x14ac:dyDescent="0.25">
      <c r="A2139">
        <v>11648017</v>
      </c>
      <c r="B2139" t="s">
        <v>88</v>
      </c>
    </row>
    <row r="2140" spans="1:2" x14ac:dyDescent="0.25">
      <c r="A2140">
        <v>11345196</v>
      </c>
      <c r="B2140" t="s">
        <v>46</v>
      </c>
    </row>
    <row r="2141" spans="1:2" x14ac:dyDescent="0.25">
      <c r="A2141">
        <v>11425029</v>
      </c>
      <c r="B2141" t="s">
        <v>122</v>
      </c>
    </row>
    <row r="2142" spans="1:2" x14ac:dyDescent="0.25">
      <c r="A2142">
        <v>11405634</v>
      </c>
      <c r="B2142" t="s">
        <v>54</v>
      </c>
    </row>
    <row r="2143" spans="1:2" x14ac:dyDescent="0.25">
      <c r="A2143">
        <v>11394061</v>
      </c>
      <c r="B2143" t="s">
        <v>121</v>
      </c>
    </row>
    <row r="2144" spans="1:2" x14ac:dyDescent="0.25">
      <c r="A2144">
        <v>11407220</v>
      </c>
      <c r="B2144" t="s">
        <v>47</v>
      </c>
    </row>
    <row r="2145" spans="1:2" x14ac:dyDescent="0.25">
      <c r="A2145">
        <v>11440821</v>
      </c>
      <c r="B2145" t="s">
        <v>58</v>
      </c>
    </row>
    <row r="2146" spans="1:2" x14ac:dyDescent="0.25">
      <c r="A2146">
        <v>11379346</v>
      </c>
      <c r="B2146" t="s">
        <v>47</v>
      </c>
    </row>
    <row r="2147" spans="1:2" x14ac:dyDescent="0.25">
      <c r="A2147">
        <v>11062050</v>
      </c>
      <c r="B2147" t="s">
        <v>57</v>
      </c>
    </row>
    <row r="2148" spans="1:2" x14ac:dyDescent="0.25">
      <c r="A2148">
        <v>10719149</v>
      </c>
      <c r="B2148" t="s">
        <v>47</v>
      </c>
    </row>
    <row r="2149" spans="1:2" x14ac:dyDescent="0.25">
      <c r="A2149">
        <v>11231327</v>
      </c>
      <c r="B2149" t="s">
        <v>120</v>
      </c>
    </row>
    <row r="2150" spans="1:2" x14ac:dyDescent="0.25">
      <c r="A2150">
        <v>11345584</v>
      </c>
      <c r="B2150" t="s">
        <v>61</v>
      </c>
    </row>
    <row r="2151" spans="1:2" x14ac:dyDescent="0.25">
      <c r="A2151">
        <v>11857547</v>
      </c>
      <c r="B2151" t="s">
        <v>119</v>
      </c>
    </row>
    <row r="2152" spans="1:2" x14ac:dyDescent="0.25">
      <c r="A2152">
        <v>11350108</v>
      </c>
      <c r="B2152" t="s">
        <v>118</v>
      </c>
    </row>
    <row r="2153" spans="1:2" x14ac:dyDescent="0.25">
      <c r="A2153">
        <v>11447315</v>
      </c>
      <c r="B2153" t="s">
        <v>117</v>
      </c>
    </row>
    <row r="2154" spans="1:2" x14ac:dyDescent="0.25">
      <c r="A2154">
        <v>11483931</v>
      </c>
      <c r="B2154" t="s">
        <v>116</v>
      </c>
    </row>
    <row r="2155" spans="1:2" x14ac:dyDescent="0.25">
      <c r="A2155">
        <v>10816536</v>
      </c>
      <c r="B2155" t="s">
        <v>90</v>
      </c>
    </row>
    <row r="2156" spans="1:2" x14ac:dyDescent="0.25">
      <c r="A2156">
        <v>10868823</v>
      </c>
      <c r="B2156" t="s">
        <v>115</v>
      </c>
    </row>
    <row r="2157" spans="1:2" x14ac:dyDescent="0.25">
      <c r="A2157">
        <v>10870501</v>
      </c>
      <c r="B2157" t="s">
        <v>46</v>
      </c>
    </row>
    <row r="2158" spans="1:2" x14ac:dyDescent="0.25">
      <c r="A2158">
        <v>10873254</v>
      </c>
      <c r="B2158" t="s">
        <v>114</v>
      </c>
    </row>
    <row r="2159" spans="1:2" x14ac:dyDescent="0.25">
      <c r="A2159">
        <v>10877455</v>
      </c>
      <c r="B2159" t="s">
        <v>113</v>
      </c>
    </row>
    <row r="2160" spans="1:2" x14ac:dyDescent="0.25">
      <c r="A2160">
        <v>10904333</v>
      </c>
      <c r="B2160" t="s">
        <v>58</v>
      </c>
    </row>
    <row r="2161" spans="1:2" x14ac:dyDescent="0.25">
      <c r="A2161">
        <v>10704139</v>
      </c>
      <c r="B2161" t="s">
        <v>112</v>
      </c>
    </row>
    <row r="2162" spans="1:2" x14ac:dyDescent="0.25">
      <c r="A2162">
        <v>10894240</v>
      </c>
      <c r="B2162" t="s">
        <v>111</v>
      </c>
    </row>
    <row r="2163" spans="1:2" x14ac:dyDescent="0.25">
      <c r="A2163">
        <v>10881268</v>
      </c>
      <c r="B2163" t="s">
        <v>82</v>
      </c>
    </row>
    <row r="2164" spans="1:2" x14ac:dyDescent="0.25">
      <c r="A2164">
        <v>10825193</v>
      </c>
      <c r="B2164" t="s">
        <v>45</v>
      </c>
    </row>
    <row r="2165" spans="1:2" x14ac:dyDescent="0.25">
      <c r="A2165">
        <v>10847542</v>
      </c>
      <c r="B2165" t="s">
        <v>96</v>
      </c>
    </row>
    <row r="2166" spans="1:2" x14ac:dyDescent="0.25">
      <c r="A2166">
        <v>10613309</v>
      </c>
      <c r="B2166" t="s">
        <v>110</v>
      </c>
    </row>
    <row r="2167" spans="1:2" x14ac:dyDescent="0.25">
      <c r="A2167">
        <v>10796614</v>
      </c>
      <c r="B2167" t="s">
        <v>109</v>
      </c>
    </row>
    <row r="2168" spans="1:2" x14ac:dyDescent="0.25">
      <c r="A2168">
        <v>10801540</v>
      </c>
      <c r="B2168" t="s">
        <v>108</v>
      </c>
    </row>
    <row r="2169" spans="1:2" x14ac:dyDescent="0.25">
      <c r="A2169">
        <v>11461304</v>
      </c>
      <c r="B2169" t="s">
        <v>47</v>
      </c>
    </row>
    <row r="2170" spans="1:2" x14ac:dyDescent="0.25">
      <c r="A2170">
        <v>11095212</v>
      </c>
      <c r="B2170" t="s">
        <v>95</v>
      </c>
    </row>
    <row r="2171" spans="1:2" x14ac:dyDescent="0.25">
      <c r="A2171">
        <v>11090607</v>
      </c>
      <c r="B2171" t="s">
        <v>83</v>
      </c>
    </row>
    <row r="2172" spans="1:2" x14ac:dyDescent="0.25">
      <c r="A2172">
        <v>10971582</v>
      </c>
      <c r="B2172" t="s">
        <v>107</v>
      </c>
    </row>
    <row r="2173" spans="1:2" x14ac:dyDescent="0.25">
      <c r="A2173">
        <v>11072933</v>
      </c>
      <c r="B2173" t="s">
        <v>106</v>
      </c>
    </row>
    <row r="2174" spans="1:2" x14ac:dyDescent="0.25">
      <c r="A2174">
        <v>11038381</v>
      </c>
      <c r="B2174" t="s">
        <v>105</v>
      </c>
    </row>
    <row r="2175" spans="1:2" x14ac:dyDescent="0.25">
      <c r="A2175">
        <v>11280537</v>
      </c>
      <c r="B2175" t="s">
        <v>104</v>
      </c>
    </row>
    <row r="2176" spans="1:2" x14ac:dyDescent="0.25">
      <c r="A2176">
        <v>11346500</v>
      </c>
      <c r="B2176" t="s">
        <v>103</v>
      </c>
    </row>
    <row r="2177" spans="1:2" x14ac:dyDescent="0.25">
      <c r="A2177">
        <v>11360269</v>
      </c>
      <c r="B2177" t="s">
        <v>102</v>
      </c>
    </row>
    <row r="2178" spans="1:2" x14ac:dyDescent="0.25">
      <c r="A2178">
        <v>11368045</v>
      </c>
      <c r="B2178" t="s">
        <v>101</v>
      </c>
    </row>
    <row r="2179" spans="1:2" x14ac:dyDescent="0.25">
      <c r="A2179">
        <v>11380279</v>
      </c>
      <c r="B2179" t="s">
        <v>94</v>
      </c>
    </row>
    <row r="2180" spans="1:2" x14ac:dyDescent="0.25">
      <c r="A2180">
        <v>11403007</v>
      </c>
      <c r="B2180" t="s">
        <v>60</v>
      </c>
    </row>
    <row r="2181" spans="1:2" x14ac:dyDescent="0.25">
      <c r="A2181">
        <v>11405328</v>
      </c>
      <c r="B2181" t="s">
        <v>47</v>
      </c>
    </row>
    <row r="2182" spans="1:2" x14ac:dyDescent="0.25">
      <c r="A2182">
        <v>11518450</v>
      </c>
      <c r="B2182" t="s">
        <v>47</v>
      </c>
    </row>
    <row r="2183" spans="1:2" x14ac:dyDescent="0.25">
      <c r="A2183">
        <v>11123950</v>
      </c>
      <c r="B2183" t="s">
        <v>47</v>
      </c>
    </row>
    <row r="2184" spans="1:2" x14ac:dyDescent="0.25">
      <c r="A2184">
        <v>11124460</v>
      </c>
      <c r="B2184" t="s">
        <v>44</v>
      </c>
    </row>
    <row r="2185" spans="1:2" x14ac:dyDescent="0.25">
      <c r="A2185">
        <v>11132858</v>
      </c>
      <c r="B2185" t="s">
        <v>100</v>
      </c>
    </row>
    <row r="2186" spans="1:2" x14ac:dyDescent="0.25">
      <c r="A2186">
        <v>11058280</v>
      </c>
      <c r="B2186" t="s">
        <v>45</v>
      </c>
    </row>
    <row r="2187" spans="1:2" x14ac:dyDescent="0.25">
      <c r="A2187">
        <v>10962990</v>
      </c>
      <c r="B2187" t="s">
        <v>99</v>
      </c>
    </row>
    <row r="2188" spans="1:2" x14ac:dyDescent="0.25">
      <c r="A2188">
        <v>10955391</v>
      </c>
      <c r="B2188" t="s">
        <v>98</v>
      </c>
    </row>
    <row r="2189" spans="1:2" x14ac:dyDescent="0.25">
      <c r="A2189">
        <v>10954406</v>
      </c>
      <c r="B2189" t="s">
        <v>97</v>
      </c>
    </row>
    <row r="2190" spans="1:2" x14ac:dyDescent="0.25">
      <c r="A2190">
        <v>11013051</v>
      </c>
      <c r="B2190" t="s">
        <v>96</v>
      </c>
    </row>
    <row r="2191" spans="1:2" x14ac:dyDescent="0.25">
      <c r="A2191">
        <v>10930723</v>
      </c>
      <c r="B2191" t="s">
        <v>95</v>
      </c>
    </row>
    <row r="2192" spans="1:2" x14ac:dyDescent="0.25">
      <c r="A2192">
        <v>10922736</v>
      </c>
      <c r="B2192" t="s">
        <v>94</v>
      </c>
    </row>
    <row r="2193" spans="1:2" x14ac:dyDescent="0.25">
      <c r="A2193">
        <v>10831529</v>
      </c>
      <c r="B2193" t="s">
        <v>93</v>
      </c>
    </row>
    <row r="2194" spans="1:2" x14ac:dyDescent="0.25">
      <c r="A2194">
        <v>10849506</v>
      </c>
      <c r="B2194" t="s">
        <v>44</v>
      </c>
    </row>
    <row r="2195" spans="1:2" x14ac:dyDescent="0.25">
      <c r="A2195">
        <v>10899716</v>
      </c>
      <c r="B2195" t="s">
        <v>92</v>
      </c>
    </row>
    <row r="2196" spans="1:2" x14ac:dyDescent="0.25">
      <c r="A2196">
        <v>10934165</v>
      </c>
      <c r="B2196" t="s">
        <v>91</v>
      </c>
    </row>
    <row r="2197" spans="1:2" x14ac:dyDescent="0.25">
      <c r="A2197">
        <v>10923734</v>
      </c>
      <c r="B2197" t="s">
        <v>90</v>
      </c>
    </row>
    <row r="2198" spans="1:2" x14ac:dyDescent="0.25">
      <c r="A2198">
        <v>10933472</v>
      </c>
      <c r="B2198" t="s">
        <v>89</v>
      </c>
    </row>
    <row r="2199" spans="1:2" x14ac:dyDescent="0.25">
      <c r="A2199">
        <v>10915370</v>
      </c>
      <c r="B2199" t="s">
        <v>47</v>
      </c>
    </row>
    <row r="2200" spans="1:2" x14ac:dyDescent="0.25">
      <c r="A2200">
        <v>10903742</v>
      </c>
      <c r="B2200" t="s">
        <v>58</v>
      </c>
    </row>
    <row r="2201" spans="1:2" x14ac:dyDescent="0.25">
      <c r="A2201">
        <v>10912162</v>
      </c>
      <c r="B2201" t="s">
        <v>78</v>
      </c>
    </row>
    <row r="2202" spans="1:2" x14ac:dyDescent="0.25">
      <c r="A2202">
        <v>10912241</v>
      </c>
      <c r="B2202" t="s">
        <v>78</v>
      </c>
    </row>
    <row r="2203" spans="1:2" x14ac:dyDescent="0.25">
      <c r="A2203">
        <v>11719927</v>
      </c>
      <c r="B2203" t="s">
        <v>88</v>
      </c>
    </row>
    <row r="2204" spans="1:2" x14ac:dyDescent="0.25">
      <c r="A2204">
        <v>11746608</v>
      </c>
      <c r="B2204" t="s">
        <v>87</v>
      </c>
    </row>
    <row r="2205" spans="1:2" x14ac:dyDescent="0.25">
      <c r="A2205">
        <v>11587874</v>
      </c>
      <c r="B2205" t="s">
        <v>87</v>
      </c>
    </row>
    <row r="2206" spans="1:2" x14ac:dyDescent="0.25">
      <c r="A2206">
        <v>11686506</v>
      </c>
      <c r="B2206" t="s">
        <v>67</v>
      </c>
    </row>
    <row r="2207" spans="1:2" x14ac:dyDescent="0.25">
      <c r="A2207">
        <v>11702239</v>
      </c>
      <c r="B2207" t="s">
        <v>86</v>
      </c>
    </row>
    <row r="2208" spans="1:2" x14ac:dyDescent="0.25">
      <c r="A2208">
        <v>11675305</v>
      </c>
      <c r="B2208" t="s">
        <v>85</v>
      </c>
    </row>
    <row r="2209" spans="1:2" x14ac:dyDescent="0.25">
      <c r="A2209">
        <v>11857034</v>
      </c>
      <c r="B2209" t="s">
        <v>84</v>
      </c>
    </row>
    <row r="2210" spans="1:2" x14ac:dyDescent="0.25">
      <c r="A2210">
        <v>11948139</v>
      </c>
      <c r="B2210" t="s">
        <v>83</v>
      </c>
    </row>
    <row r="2211" spans="1:2" x14ac:dyDescent="0.25">
      <c r="A2211">
        <v>10952763</v>
      </c>
      <c r="B2211" t="s">
        <v>82</v>
      </c>
    </row>
    <row r="2212" spans="1:2" x14ac:dyDescent="0.25">
      <c r="A2212">
        <v>11290631</v>
      </c>
      <c r="B2212" t="s">
        <v>81</v>
      </c>
    </row>
    <row r="2213" spans="1:2" x14ac:dyDescent="0.25">
      <c r="A2213">
        <v>11290658</v>
      </c>
      <c r="B2213" t="s">
        <v>81</v>
      </c>
    </row>
    <row r="2214" spans="1:2" x14ac:dyDescent="0.25">
      <c r="A2214">
        <v>11276200</v>
      </c>
      <c r="B2214" t="s">
        <v>47</v>
      </c>
    </row>
    <row r="2215" spans="1:2" x14ac:dyDescent="0.25">
      <c r="A2215">
        <v>11280408</v>
      </c>
      <c r="B2215" t="s">
        <v>80</v>
      </c>
    </row>
    <row r="2216" spans="1:2" x14ac:dyDescent="0.25">
      <c r="A2216">
        <v>11348385</v>
      </c>
      <c r="B2216" t="s">
        <v>45</v>
      </c>
    </row>
    <row r="2217" spans="1:2" x14ac:dyDescent="0.25">
      <c r="A2217">
        <v>11348065</v>
      </c>
      <c r="B2217" t="s">
        <v>47</v>
      </c>
    </row>
    <row r="2218" spans="1:2" x14ac:dyDescent="0.25">
      <c r="A2218">
        <v>11331617</v>
      </c>
      <c r="B2218" t="s">
        <v>47</v>
      </c>
    </row>
    <row r="2219" spans="1:2" x14ac:dyDescent="0.25">
      <c r="A2219">
        <v>11333325</v>
      </c>
      <c r="B2219" t="s">
        <v>79</v>
      </c>
    </row>
    <row r="2220" spans="1:2" x14ac:dyDescent="0.25">
      <c r="A2220">
        <v>11346556</v>
      </c>
      <c r="B2220" t="s">
        <v>78</v>
      </c>
    </row>
    <row r="2221" spans="1:2" x14ac:dyDescent="0.25">
      <c r="A2221">
        <v>11344565</v>
      </c>
      <c r="B2221" t="s">
        <v>77</v>
      </c>
    </row>
    <row r="2222" spans="1:2" x14ac:dyDescent="0.25">
      <c r="A2222">
        <v>11301260</v>
      </c>
      <c r="B2222" t="s">
        <v>76</v>
      </c>
    </row>
    <row r="2223" spans="1:2" x14ac:dyDescent="0.25">
      <c r="A2223">
        <v>10751375</v>
      </c>
      <c r="B2223" t="s">
        <v>75</v>
      </c>
    </row>
    <row r="2224" spans="1:2" x14ac:dyDescent="0.25">
      <c r="A2224">
        <v>10782630</v>
      </c>
      <c r="B2224" t="s">
        <v>74</v>
      </c>
    </row>
    <row r="2225" spans="1:2" x14ac:dyDescent="0.25">
      <c r="A2225">
        <v>10687926</v>
      </c>
      <c r="B2225" t="s">
        <v>54</v>
      </c>
    </row>
    <row r="2226" spans="1:2" x14ac:dyDescent="0.25">
      <c r="A2226">
        <v>10691487</v>
      </c>
      <c r="B2226" t="s">
        <v>52</v>
      </c>
    </row>
    <row r="2227" spans="1:2" x14ac:dyDescent="0.25">
      <c r="A2227">
        <v>10719851</v>
      </c>
      <c r="B2227" t="s">
        <v>73</v>
      </c>
    </row>
    <row r="2228" spans="1:2" x14ac:dyDescent="0.25">
      <c r="A2228">
        <v>11002797</v>
      </c>
      <c r="B2228" t="s">
        <v>72</v>
      </c>
    </row>
    <row r="2229" spans="1:2" x14ac:dyDescent="0.25">
      <c r="A2229">
        <v>10968443</v>
      </c>
      <c r="B2229" t="s">
        <v>71</v>
      </c>
    </row>
    <row r="2230" spans="1:2" x14ac:dyDescent="0.25">
      <c r="A2230">
        <v>10987728</v>
      </c>
      <c r="B2230" t="s">
        <v>70</v>
      </c>
    </row>
    <row r="2231" spans="1:2" x14ac:dyDescent="0.25">
      <c r="A2231">
        <v>10992120</v>
      </c>
      <c r="B2231" t="s">
        <v>46</v>
      </c>
    </row>
    <row r="2232" spans="1:2" x14ac:dyDescent="0.25">
      <c r="A2232">
        <v>10961468</v>
      </c>
      <c r="B2232" t="s">
        <v>69</v>
      </c>
    </row>
    <row r="2233" spans="1:2" x14ac:dyDescent="0.25">
      <c r="A2233">
        <v>10947994</v>
      </c>
      <c r="B2233" t="s">
        <v>68</v>
      </c>
    </row>
    <row r="2234" spans="1:2" x14ac:dyDescent="0.25">
      <c r="A2234">
        <v>11385999</v>
      </c>
      <c r="B2234" t="s">
        <v>47</v>
      </c>
    </row>
    <row r="2235" spans="1:2" x14ac:dyDescent="0.25">
      <c r="A2235">
        <v>11812374</v>
      </c>
      <c r="B2235" t="s">
        <v>67</v>
      </c>
    </row>
    <row r="2236" spans="1:2" x14ac:dyDescent="0.25">
      <c r="A2236">
        <v>11803303</v>
      </c>
      <c r="B2236" t="s">
        <v>47</v>
      </c>
    </row>
    <row r="2237" spans="1:2" x14ac:dyDescent="0.25">
      <c r="A2237">
        <v>11806684</v>
      </c>
      <c r="B2237" t="s">
        <v>66</v>
      </c>
    </row>
    <row r="2238" spans="1:2" x14ac:dyDescent="0.25">
      <c r="A2238">
        <v>11743456</v>
      </c>
      <c r="B2238" t="s">
        <v>47</v>
      </c>
    </row>
    <row r="2239" spans="1:2" x14ac:dyDescent="0.25">
      <c r="A2239">
        <v>11496644</v>
      </c>
      <c r="B2239" t="s">
        <v>54</v>
      </c>
    </row>
    <row r="2240" spans="1:2" x14ac:dyDescent="0.25">
      <c r="A2240">
        <v>11611126</v>
      </c>
      <c r="B2240" t="s">
        <v>44</v>
      </c>
    </row>
    <row r="2241" spans="1:2" x14ac:dyDescent="0.25">
      <c r="A2241">
        <v>11607209</v>
      </c>
      <c r="B2241" t="s">
        <v>47</v>
      </c>
    </row>
    <row r="2242" spans="1:2" x14ac:dyDescent="0.25">
      <c r="A2242">
        <v>11597932</v>
      </c>
      <c r="B2242" t="s">
        <v>65</v>
      </c>
    </row>
    <row r="2243" spans="1:2" x14ac:dyDescent="0.25">
      <c r="A2243">
        <v>11599540</v>
      </c>
      <c r="B2243" t="s">
        <v>64</v>
      </c>
    </row>
    <row r="2244" spans="1:2" x14ac:dyDescent="0.25">
      <c r="A2244">
        <v>11664703</v>
      </c>
      <c r="B2244" t="s">
        <v>63</v>
      </c>
    </row>
    <row r="2245" spans="1:2" x14ac:dyDescent="0.25">
      <c r="A2245">
        <v>10852883</v>
      </c>
      <c r="B2245" t="s">
        <v>62</v>
      </c>
    </row>
    <row r="2246" spans="1:2" x14ac:dyDescent="0.25">
      <c r="A2246">
        <v>11398532</v>
      </c>
      <c r="B2246" t="s">
        <v>61</v>
      </c>
    </row>
    <row r="2247" spans="1:2" x14ac:dyDescent="0.25">
      <c r="A2247">
        <v>11370666</v>
      </c>
      <c r="B2247" t="s">
        <v>60</v>
      </c>
    </row>
    <row r="2248" spans="1:2" x14ac:dyDescent="0.25">
      <c r="A2248">
        <v>11363382</v>
      </c>
      <c r="B2248" t="s">
        <v>59</v>
      </c>
    </row>
    <row r="2249" spans="1:2" x14ac:dyDescent="0.25">
      <c r="A2249">
        <v>11371137</v>
      </c>
      <c r="B2249" t="s">
        <v>58</v>
      </c>
    </row>
    <row r="2250" spans="1:2" x14ac:dyDescent="0.25">
      <c r="A2250">
        <v>11949340</v>
      </c>
      <c r="B2250" t="s">
        <v>57</v>
      </c>
    </row>
    <row r="2251" spans="1:2" x14ac:dyDescent="0.25">
      <c r="A2251">
        <v>11976456</v>
      </c>
      <c r="B2251" t="s">
        <v>44</v>
      </c>
    </row>
    <row r="2252" spans="1:2" x14ac:dyDescent="0.25">
      <c r="A2252">
        <v>11978275</v>
      </c>
      <c r="B2252" t="s">
        <v>44</v>
      </c>
    </row>
    <row r="2253" spans="1:2" x14ac:dyDescent="0.25">
      <c r="A2253">
        <v>12012532</v>
      </c>
      <c r="B2253" t="s">
        <v>56</v>
      </c>
    </row>
    <row r="2254" spans="1:2" x14ac:dyDescent="0.25">
      <c r="A2254">
        <v>12007108</v>
      </c>
      <c r="B2254" t="s">
        <v>55</v>
      </c>
    </row>
    <row r="2255" spans="1:2" x14ac:dyDescent="0.25">
      <c r="A2255">
        <v>12002261</v>
      </c>
      <c r="B2255" t="s">
        <v>47</v>
      </c>
    </row>
    <row r="2256" spans="1:2" x14ac:dyDescent="0.25">
      <c r="A2256">
        <v>12023868</v>
      </c>
      <c r="B2256" t="s">
        <v>54</v>
      </c>
    </row>
    <row r="2257" spans="1:2" x14ac:dyDescent="0.25">
      <c r="A2257">
        <v>12023976</v>
      </c>
      <c r="B2257" t="s">
        <v>47</v>
      </c>
    </row>
    <row r="2258" spans="1:2" x14ac:dyDescent="0.25">
      <c r="A2258">
        <v>12024031</v>
      </c>
      <c r="B2258" t="s">
        <v>54</v>
      </c>
    </row>
    <row r="2259" spans="1:2" x14ac:dyDescent="0.25">
      <c r="A2259">
        <v>11395433</v>
      </c>
      <c r="B2259" t="s">
        <v>53</v>
      </c>
    </row>
    <row r="2260" spans="1:2" x14ac:dyDescent="0.25">
      <c r="A2260">
        <v>11382010</v>
      </c>
      <c r="B2260" t="s">
        <v>52</v>
      </c>
    </row>
    <row r="2261" spans="1:2" x14ac:dyDescent="0.25">
      <c r="A2261">
        <v>12021648</v>
      </c>
      <c r="B2261" t="s">
        <v>51</v>
      </c>
    </row>
    <row r="2262" spans="1:2" x14ac:dyDescent="0.25">
      <c r="A2262">
        <v>11875914</v>
      </c>
      <c r="B2262" t="s">
        <v>44</v>
      </c>
    </row>
    <row r="2263" spans="1:2" x14ac:dyDescent="0.25">
      <c r="A2263">
        <v>11871590</v>
      </c>
      <c r="B2263" t="s">
        <v>47</v>
      </c>
    </row>
    <row r="2264" spans="1:2" x14ac:dyDescent="0.25">
      <c r="A2264">
        <v>11858022</v>
      </c>
      <c r="B2264" t="s">
        <v>44</v>
      </c>
    </row>
    <row r="2265" spans="1:2" x14ac:dyDescent="0.25">
      <c r="A2265">
        <v>11789649</v>
      </c>
      <c r="B2265" t="s">
        <v>50</v>
      </c>
    </row>
    <row r="2266" spans="1:2" x14ac:dyDescent="0.25">
      <c r="A2266">
        <v>11738122</v>
      </c>
      <c r="B2266" t="s">
        <v>43</v>
      </c>
    </row>
    <row r="2267" spans="1:2" x14ac:dyDescent="0.25">
      <c r="A2267">
        <v>11680530</v>
      </c>
      <c r="B2267" t="s">
        <v>49</v>
      </c>
    </row>
    <row r="2268" spans="1:2" x14ac:dyDescent="0.25">
      <c r="A2268">
        <v>11708785</v>
      </c>
      <c r="B2268" t="s">
        <v>48</v>
      </c>
    </row>
    <row r="2269" spans="1:2" x14ac:dyDescent="0.25">
      <c r="A2269">
        <v>11297983</v>
      </c>
      <c r="B2269" t="s">
        <v>46</v>
      </c>
    </row>
    <row r="2270" spans="1:2" x14ac:dyDescent="0.25">
      <c r="A2270">
        <v>11331813</v>
      </c>
      <c r="B2270" t="s">
        <v>47</v>
      </c>
    </row>
    <row r="2271" spans="1:2" x14ac:dyDescent="0.25">
      <c r="A2271">
        <v>10846258</v>
      </c>
      <c r="B2271" t="s">
        <v>46</v>
      </c>
    </row>
    <row r="2272" spans="1:2" x14ac:dyDescent="0.25">
      <c r="A2272">
        <v>11562089</v>
      </c>
      <c r="B2272" t="s">
        <v>45</v>
      </c>
    </row>
    <row r="2273" spans="1:2" x14ac:dyDescent="0.25">
      <c r="A2273">
        <v>11561275</v>
      </c>
      <c r="B2273" t="s">
        <v>44</v>
      </c>
    </row>
    <row r="2274" spans="1:2" x14ac:dyDescent="0.25">
      <c r="A2274">
        <v>11566253</v>
      </c>
      <c r="B227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9126-94DA-4835-B627-F615AE58F250}">
  <dimension ref="A1:B2274"/>
  <sheetViews>
    <sheetView topLeftCell="A2245" workbookViewId="0">
      <selection activeCell="D2272" sqref="D2272"/>
    </sheetView>
  </sheetViews>
  <sheetFormatPr defaultRowHeight="15" x14ac:dyDescent="0.25"/>
  <cols>
    <col min="2" max="2" width="8.7109375" bestFit="1" customWidth="1"/>
  </cols>
  <sheetData>
    <row r="1" spans="1:2" x14ac:dyDescent="0.25">
      <c r="A1" t="s">
        <v>2</v>
      </c>
      <c r="B1" t="s">
        <v>574</v>
      </c>
    </row>
    <row r="2" spans="1:2" x14ac:dyDescent="0.25">
      <c r="A2">
        <v>11316042</v>
      </c>
      <c r="B2" t="s">
        <v>569</v>
      </c>
    </row>
    <row r="3" spans="1:2" x14ac:dyDescent="0.25">
      <c r="A3">
        <v>11374979</v>
      </c>
      <c r="B3" t="s">
        <v>570</v>
      </c>
    </row>
    <row r="4" spans="1:2" x14ac:dyDescent="0.25">
      <c r="A4">
        <v>11997870</v>
      </c>
    </row>
    <row r="5" spans="1:2" x14ac:dyDescent="0.25">
      <c r="A5">
        <v>11930537</v>
      </c>
    </row>
    <row r="6" spans="1:2" x14ac:dyDescent="0.25">
      <c r="A6">
        <v>11899381</v>
      </c>
    </row>
    <row r="7" spans="1:2" x14ac:dyDescent="0.25">
      <c r="A7">
        <v>11899592</v>
      </c>
    </row>
    <row r="8" spans="1:2" x14ac:dyDescent="0.25">
      <c r="A8">
        <v>11889399</v>
      </c>
    </row>
    <row r="9" spans="1:2" x14ac:dyDescent="0.25">
      <c r="A9">
        <v>11842866</v>
      </c>
    </row>
    <row r="10" spans="1:2" x14ac:dyDescent="0.25">
      <c r="A10">
        <v>11843011</v>
      </c>
    </row>
    <row r="11" spans="1:2" x14ac:dyDescent="0.25">
      <c r="A11">
        <v>11684556</v>
      </c>
    </row>
    <row r="12" spans="1:2" x14ac:dyDescent="0.25">
      <c r="A12">
        <v>11685062</v>
      </c>
    </row>
    <row r="13" spans="1:2" x14ac:dyDescent="0.25">
      <c r="A13">
        <v>11698167</v>
      </c>
    </row>
    <row r="14" spans="1:2" x14ac:dyDescent="0.25">
      <c r="A14">
        <v>11698312</v>
      </c>
    </row>
    <row r="15" spans="1:2" x14ac:dyDescent="0.25">
      <c r="A15">
        <v>11684204</v>
      </c>
    </row>
    <row r="16" spans="1:2" x14ac:dyDescent="0.25">
      <c r="A16">
        <v>11684264</v>
      </c>
    </row>
    <row r="17" spans="1:2" x14ac:dyDescent="0.25">
      <c r="A17">
        <v>11357814</v>
      </c>
      <c r="B17" t="s">
        <v>568</v>
      </c>
    </row>
    <row r="18" spans="1:2" x14ac:dyDescent="0.25">
      <c r="A18">
        <v>11842580</v>
      </c>
    </row>
    <row r="19" spans="1:2" x14ac:dyDescent="0.25">
      <c r="A19">
        <v>11842668</v>
      </c>
    </row>
    <row r="20" spans="1:2" x14ac:dyDescent="0.25">
      <c r="A20">
        <v>11806208</v>
      </c>
    </row>
    <row r="21" spans="1:2" x14ac:dyDescent="0.25">
      <c r="A21">
        <v>11817123</v>
      </c>
    </row>
    <row r="22" spans="1:2" x14ac:dyDescent="0.25">
      <c r="A22">
        <v>11774094</v>
      </c>
    </row>
    <row r="23" spans="1:2" x14ac:dyDescent="0.25">
      <c r="A23">
        <v>11741460</v>
      </c>
    </row>
    <row r="24" spans="1:2" x14ac:dyDescent="0.25">
      <c r="A24">
        <v>11741181</v>
      </c>
    </row>
    <row r="25" spans="1:2" x14ac:dyDescent="0.25">
      <c r="A25">
        <v>11698497</v>
      </c>
    </row>
    <row r="26" spans="1:2" x14ac:dyDescent="0.25">
      <c r="A26">
        <v>11698513</v>
      </c>
    </row>
    <row r="27" spans="1:2" x14ac:dyDescent="0.25">
      <c r="A27">
        <v>11698524</v>
      </c>
    </row>
    <row r="28" spans="1:2" x14ac:dyDescent="0.25">
      <c r="A28">
        <v>11699034</v>
      </c>
    </row>
    <row r="29" spans="1:2" x14ac:dyDescent="0.25">
      <c r="A29">
        <v>11741070</v>
      </c>
    </row>
    <row r="30" spans="1:2" x14ac:dyDescent="0.25">
      <c r="A30">
        <v>10566142</v>
      </c>
      <c r="B30" t="s">
        <v>572</v>
      </c>
    </row>
    <row r="31" spans="1:2" x14ac:dyDescent="0.25">
      <c r="A31">
        <v>10572176</v>
      </c>
      <c r="B31" t="s">
        <v>569</v>
      </c>
    </row>
    <row r="32" spans="1:2" x14ac:dyDescent="0.25">
      <c r="A32">
        <v>10581011</v>
      </c>
      <c r="B32" t="s">
        <v>572</v>
      </c>
    </row>
    <row r="33" spans="1:2" x14ac:dyDescent="0.25">
      <c r="A33">
        <v>10621157</v>
      </c>
      <c r="B33" t="s">
        <v>569</v>
      </c>
    </row>
    <row r="34" spans="1:2" x14ac:dyDescent="0.25">
      <c r="A34">
        <v>10608029</v>
      </c>
      <c r="B34" t="s">
        <v>569</v>
      </c>
    </row>
    <row r="35" spans="1:2" x14ac:dyDescent="0.25">
      <c r="A35">
        <v>10590212</v>
      </c>
      <c r="B35" t="s">
        <v>569</v>
      </c>
    </row>
    <row r="36" spans="1:2" x14ac:dyDescent="0.25">
      <c r="A36">
        <v>10590859</v>
      </c>
      <c r="B36" t="s">
        <v>568</v>
      </c>
    </row>
    <row r="37" spans="1:2" x14ac:dyDescent="0.25">
      <c r="A37">
        <v>11390110</v>
      </c>
      <c r="B37" t="s">
        <v>569</v>
      </c>
    </row>
    <row r="38" spans="1:2" x14ac:dyDescent="0.25">
      <c r="A38">
        <v>11899460</v>
      </c>
    </row>
    <row r="39" spans="1:2" x14ac:dyDescent="0.25">
      <c r="A39">
        <v>11269120</v>
      </c>
      <c r="B39" t="s">
        <v>569</v>
      </c>
    </row>
    <row r="40" spans="1:2" x14ac:dyDescent="0.25">
      <c r="A40">
        <v>11344672</v>
      </c>
      <c r="B40" t="s">
        <v>571</v>
      </c>
    </row>
    <row r="41" spans="1:2" x14ac:dyDescent="0.25">
      <c r="A41">
        <v>11269632</v>
      </c>
      <c r="B41" t="s">
        <v>568</v>
      </c>
    </row>
    <row r="42" spans="1:2" x14ac:dyDescent="0.25">
      <c r="A42">
        <v>11600384</v>
      </c>
    </row>
    <row r="43" spans="1:2" x14ac:dyDescent="0.25">
      <c r="A43">
        <v>11600003</v>
      </c>
    </row>
    <row r="44" spans="1:2" x14ac:dyDescent="0.25">
      <c r="A44">
        <v>11612125</v>
      </c>
    </row>
    <row r="45" spans="1:2" x14ac:dyDescent="0.25">
      <c r="A45">
        <v>11612134</v>
      </c>
    </row>
    <row r="46" spans="1:2" x14ac:dyDescent="0.25">
      <c r="A46">
        <v>11612150</v>
      </c>
    </row>
    <row r="47" spans="1:2" x14ac:dyDescent="0.25">
      <c r="A47">
        <v>11684485</v>
      </c>
    </row>
    <row r="48" spans="1:2" x14ac:dyDescent="0.25">
      <c r="A48">
        <v>11684795</v>
      </c>
    </row>
    <row r="49" spans="1:1" x14ac:dyDescent="0.25">
      <c r="A49">
        <v>11684898</v>
      </c>
    </row>
    <row r="50" spans="1:1" x14ac:dyDescent="0.25">
      <c r="A50">
        <v>11685013</v>
      </c>
    </row>
    <row r="51" spans="1:1" x14ac:dyDescent="0.25">
      <c r="A51">
        <v>11714445</v>
      </c>
    </row>
    <row r="52" spans="1:1" x14ac:dyDescent="0.25">
      <c r="A52">
        <v>11714617</v>
      </c>
    </row>
    <row r="53" spans="1:1" x14ac:dyDescent="0.25">
      <c r="A53">
        <v>11714640</v>
      </c>
    </row>
    <row r="54" spans="1:1" x14ac:dyDescent="0.25">
      <c r="A54">
        <v>11714702</v>
      </c>
    </row>
    <row r="55" spans="1:1" x14ac:dyDescent="0.25">
      <c r="A55">
        <v>11717819</v>
      </c>
    </row>
    <row r="56" spans="1:1" x14ac:dyDescent="0.25">
      <c r="A56">
        <v>11717984</v>
      </c>
    </row>
    <row r="57" spans="1:1" x14ac:dyDescent="0.25">
      <c r="A57">
        <v>11718243</v>
      </c>
    </row>
    <row r="58" spans="1:1" x14ac:dyDescent="0.25">
      <c r="A58">
        <v>11718364</v>
      </c>
    </row>
    <row r="59" spans="1:1" x14ac:dyDescent="0.25">
      <c r="A59">
        <v>11718437</v>
      </c>
    </row>
    <row r="60" spans="1:1" x14ac:dyDescent="0.25">
      <c r="A60">
        <v>11718549</v>
      </c>
    </row>
    <row r="61" spans="1:1" x14ac:dyDescent="0.25">
      <c r="A61">
        <v>11740755</v>
      </c>
    </row>
    <row r="62" spans="1:1" x14ac:dyDescent="0.25">
      <c r="A62">
        <v>11740859</v>
      </c>
    </row>
    <row r="63" spans="1:1" x14ac:dyDescent="0.25">
      <c r="A63">
        <v>11698469</v>
      </c>
    </row>
    <row r="64" spans="1:1" x14ac:dyDescent="0.25">
      <c r="A64">
        <v>11698475</v>
      </c>
    </row>
    <row r="65" spans="1:1" x14ac:dyDescent="0.25">
      <c r="A65">
        <v>11773367</v>
      </c>
    </row>
    <row r="66" spans="1:1" x14ac:dyDescent="0.25">
      <c r="A66">
        <v>11773409</v>
      </c>
    </row>
    <row r="67" spans="1:1" x14ac:dyDescent="0.25">
      <c r="A67">
        <v>11757048</v>
      </c>
    </row>
    <row r="68" spans="1:1" x14ac:dyDescent="0.25">
      <c r="A68">
        <v>11774377</v>
      </c>
    </row>
    <row r="69" spans="1:1" x14ac:dyDescent="0.25">
      <c r="A69">
        <v>11798332</v>
      </c>
    </row>
    <row r="70" spans="1:1" x14ac:dyDescent="0.25">
      <c r="A70">
        <v>11799384</v>
      </c>
    </row>
    <row r="71" spans="1:1" x14ac:dyDescent="0.25">
      <c r="A71">
        <v>11800181</v>
      </c>
    </row>
    <row r="72" spans="1:1" x14ac:dyDescent="0.25">
      <c r="A72">
        <v>11800788</v>
      </c>
    </row>
    <row r="73" spans="1:1" x14ac:dyDescent="0.25">
      <c r="A73">
        <v>11806133</v>
      </c>
    </row>
    <row r="74" spans="1:1" x14ac:dyDescent="0.25">
      <c r="A74">
        <v>11611775</v>
      </c>
    </row>
    <row r="75" spans="1:1" x14ac:dyDescent="0.25">
      <c r="A75">
        <v>11832009</v>
      </c>
    </row>
    <row r="76" spans="1:1" x14ac:dyDescent="0.25">
      <c r="A76">
        <v>11832538</v>
      </c>
    </row>
    <row r="77" spans="1:1" x14ac:dyDescent="0.25">
      <c r="A77">
        <v>11842737</v>
      </c>
    </row>
    <row r="78" spans="1:1" x14ac:dyDescent="0.25">
      <c r="A78">
        <v>11843401</v>
      </c>
    </row>
    <row r="79" spans="1:1" x14ac:dyDescent="0.25">
      <c r="A79">
        <v>11888712</v>
      </c>
    </row>
    <row r="80" spans="1:1" x14ac:dyDescent="0.25">
      <c r="A80">
        <v>11889032</v>
      </c>
    </row>
    <row r="81" spans="1:2" x14ac:dyDescent="0.25">
      <c r="A81">
        <v>11890089</v>
      </c>
    </row>
    <row r="82" spans="1:2" x14ac:dyDescent="0.25">
      <c r="A82">
        <v>11930488</v>
      </c>
    </row>
    <row r="83" spans="1:2" x14ac:dyDescent="0.25">
      <c r="A83">
        <v>11899817</v>
      </c>
    </row>
    <row r="84" spans="1:2" x14ac:dyDescent="0.25">
      <c r="A84">
        <v>10706315</v>
      </c>
      <c r="B84" t="s">
        <v>569</v>
      </c>
    </row>
    <row r="85" spans="1:2" x14ac:dyDescent="0.25">
      <c r="A85">
        <v>11296113</v>
      </c>
      <c r="B85" t="s">
        <v>569</v>
      </c>
    </row>
    <row r="86" spans="1:2" x14ac:dyDescent="0.25">
      <c r="A86">
        <v>11611811</v>
      </c>
    </row>
    <row r="87" spans="1:2" x14ac:dyDescent="0.25">
      <c r="A87">
        <v>11588015</v>
      </c>
    </row>
    <row r="88" spans="1:2" x14ac:dyDescent="0.25">
      <c r="A88">
        <v>11599660</v>
      </c>
    </row>
    <row r="89" spans="1:2" x14ac:dyDescent="0.25">
      <c r="A89">
        <v>11599672</v>
      </c>
    </row>
    <row r="90" spans="1:2" x14ac:dyDescent="0.25">
      <c r="A90">
        <v>11599681</v>
      </c>
    </row>
    <row r="91" spans="1:2" x14ac:dyDescent="0.25">
      <c r="A91">
        <v>11599755</v>
      </c>
    </row>
    <row r="92" spans="1:2" x14ac:dyDescent="0.25">
      <c r="A92">
        <v>11600028</v>
      </c>
    </row>
    <row r="93" spans="1:2" x14ac:dyDescent="0.25">
      <c r="A93">
        <v>11067193</v>
      </c>
    </row>
    <row r="94" spans="1:2" x14ac:dyDescent="0.25">
      <c r="A94">
        <v>11068581</v>
      </c>
    </row>
    <row r="95" spans="1:2" x14ac:dyDescent="0.25">
      <c r="A95">
        <v>11069471</v>
      </c>
    </row>
    <row r="96" spans="1:2" x14ac:dyDescent="0.25">
      <c r="A96">
        <v>11069911</v>
      </c>
    </row>
    <row r="97" spans="1:2" x14ac:dyDescent="0.25">
      <c r="A97">
        <v>11068167</v>
      </c>
    </row>
    <row r="98" spans="1:2" x14ac:dyDescent="0.25">
      <c r="A98">
        <v>11149370</v>
      </c>
    </row>
    <row r="99" spans="1:2" x14ac:dyDescent="0.25">
      <c r="A99">
        <v>11322951</v>
      </c>
      <c r="B99" t="s">
        <v>569</v>
      </c>
    </row>
    <row r="100" spans="1:2" x14ac:dyDescent="0.25">
      <c r="A100">
        <v>10781227</v>
      </c>
      <c r="B100" t="s">
        <v>569</v>
      </c>
    </row>
    <row r="101" spans="1:2" x14ac:dyDescent="0.25">
      <c r="A101">
        <v>11348488</v>
      </c>
      <c r="B101" t="s">
        <v>571</v>
      </c>
    </row>
    <row r="102" spans="1:2" x14ac:dyDescent="0.25">
      <c r="A102">
        <v>11067294</v>
      </c>
      <c r="B102" t="s">
        <v>568</v>
      </c>
    </row>
    <row r="103" spans="1:2" x14ac:dyDescent="0.25">
      <c r="A103">
        <v>10817381</v>
      </c>
      <c r="B103" t="s">
        <v>569</v>
      </c>
    </row>
    <row r="104" spans="1:2" x14ac:dyDescent="0.25">
      <c r="A104">
        <v>10718989</v>
      </c>
      <c r="B104" t="s">
        <v>570</v>
      </c>
    </row>
    <row r="105" spans="1:2" x14ac:dyDescent="0.25">
      <c r="A105">
        <v>10930967</v>
      </c>
      <c r="B105" t="s">
        <v>569</v>
      </c>
    </row>
    <row r="106" spans="1:2" x14ac:dyDescent="0.25">
      <c r="A106">
        <v>11548332</v>
      </c>
      <c r="B106" t="s">
        <v>569</v>
      </c>
    </row>
    <row r="107" spans="1:2" x14ac:dyDescent="0.25">
      <c r="A107">
        <v>11997721</v>
      </c>
    </row>
    <row r="108" spans="1:2" x14ac:dyDescent="0.25">
      <c r="A108">
        <v>11899953</v>
      </c>
    </row>
    <row r="109" spans="1:2" x14ac:dyDescent="0.25">
      <c r="A109">
        <v>11888689</v>
      </c>
    </row>
    <row r="110" spans="1:2" x14ac:dyDescent="0.25">
      <c r="A110">
        <v>11890450</v>
      </c>
    </row>
    <row r="111" spans="1:2" x14ac:dyDescent="0.25">
      <c r="A111">
        <v>11863838</v>
      </c>
    </row>
    <row r="112" spans="1:2" x14ac:dyDescent="0.25">
      <c r="A112">
        <v>11468363</v>
      </c>
      <c r="B112" t="s">
        <v>569</v>
      </c>
    </row>
    <row r="113" spans="1:2" x14ac:dyDescent="0.25">
      <c r="A113">
        <v>11684394</v>
      </c>
    </row>
    <row r="114" spans="1:2" x14ac:dyDescent="0.25">
      <c r="A114">
        <v>11684463</v>
      </c>
    </row>
    <row r="115" spans="1:2" x14ac:dyDescent="0.25">
      <c r="A115">
        <v>11699049</v>
      </c>
    </row>
    <row r="116" spans="1:2" x14ac:dyDescent="0.25">
      <c r="A116">
        <v>11698491</v>
      </c>
    </row>
    <row r="117" spans="1:2" x14ac:dyDescent="0.25">
      <c r="A117">
        <v>11351151</v>
      </c>
      <c r="B117" t="s">
        <v>569</v>
      </c>
    </row>
    <row r="118" spans="1:2" x14ac:dyDescent="0.25">
      <c r="A118">
        <v>11889547</v>
      </c>
    </row>
    <row r="119" spans="1:2" x14ac:dyDescent="0.25">
      <c r="A119">
        <v>11376296</v>
      </c>
      <c r="B119" t="s">
        <v>569</v>
      </c>
    </row>
    <row r="120" spans="1:2" x14ac:dyDescent="0.25">
      <c r="A120">
        <v>11405795</v>
      </c>
      <c r="B120" t="s">
        <v>568</v>
      </c>
    </row>
    <row r="121" spans="1:2" x14ac:dyDescent="0.25">
      <c r="A121">
        <v>10729437</v>
      </c>
      <c r="B121" t="s">
        <v>569</v>
      </c>
    </row>
    <row r="122" spans="1:2" x14ac:dyDescent="0.25">
      <c r="A122">
        <v>11890569</v>
      </c>
    </row>
    <row r="123" spans="1:2" x14ac:dyDescent="0.25">
      <c r="A123">
        <v>11930626</v>
      </c>
    </row>
    <row r="124" spans="1:2" x14ac:dyDescent="0.25">
      <c r="A124">
        <v>11803035</v>
      </c>
    </row>
    <row r="125" spans="1:2" x14ac:dyDescent="0.25">
      <c r="A125">
        <v>11773470</v>
      </c>
    </row>
    <row r="126" spans="1:2" x14ac:dyDescent="0.25">
      <c r="A126">
        <v>11611673</v>
      </c>
    </row>
    <row r="127" spans="1:2" x14ac:dyDescent="0.25">
      <c r="A127">
        <v>11997468</v>
      </c>
    </row>
    <row r="128" spans="1:2" x14ac:dyDescent="0.25">
      <c r="A128">
        <v>11997542</v>
      </c>
    </row>
    <row r="129" spans="1:2" x14ac:dyDescent="0.25">
      <c r="A129">
        <v>11899917</v>
      </c>
    </row>
    <row r="130" spans="1:2" x14ac:dyDescent="0.25">
      <c r="A130">
        <v>12011164</v>
      </c>
    </row>
    <row r="131" spans="1:2" x14ac:dyDescent="0.25">
      <c r="A131">
        <v>12011236</v>
      </c>
    </row>
    <row r="132" spans="1:2" x14ac:dyDescent="0.25">
      <c r="A132">
        <v>11890484</v>
      </c>
    </row>
    <row r="133" spans="1:2" x14ac:dyDescent="0.25">
      <c r="A133">
        <v>10715251</v>
      </c>
      <c r="B133" t="s">
        <v>570</v>
      </c>
    </row>
    <row r="134" spans="1:2" x14ac:dyDescent="0.25">
      <c r="A134">
        <v>11588046</v>
      </c>
    </row>
    <row r="135" spans="1:2" x14ac:dyDescent="0.25">
      <c r="A135">
        <v>11587818</v>
      </c>
    </row>
    <row r="136" spans="1:2" x14ac:dyDescent="0.25">
      <c r="A136">
        <v>11587864</v>
      </c>
    </row>
    <row r="137" spans="1:2" x14ac:dyDescent="0.25">
      <c r="A137">
        <v>11587883</v>
      </c>
    </row>
    <row r="138" spans="1:2" x14ac:dyDescent="0.25">
      <c r="A138">
        <v>11588003</v>
      </c>
    </row>
    <row r="139" spans="1:2" x14ac:dyDescent="0.25">
      <c r="A139">
        <v>11588013</v>
      </c>
    </row>
    <row r="140" spans="1:2" x14ac:dyDescent="0.25">
      <c r="A140">
        <v>11364047</v>
      </c>
      <c r="B140" t="s">
        <v>569</v>
      </c>
    </row>
    <row r="141" spans="1:2" x14ac:dyDescent="0.25">
      <c r="A141">
        <v>11611596</v>
      </c>
    </row>
    <row r="142" spans="1:2" x14ac:dyDescent="0.25">
      <c r="A142">
        <v>11311587</v>
      </c>
      <c r="B142" t="s">
        <v>569</v>
      </c>
    </row>
    <row r="143" spans="1:2" x14ac:dyDescent="0.25">
      <c r="A143">
        <v>11359265</v>
      </c>
      <c r="B143" t="s">
        <v>569</v>
      </c>
    </row>
    <row r="144" spans="1:2" x14ac:dyDescent="0.25">
      <c r="A144">
        <v>11269104</v>
      </c>
      <c r="B144" t="s">
        <v>570</v>
      </c>
    </row>
    <row r="145" spans="1:2" x14ac:dyDescent="0.25">
      <c r="A145">
        <v>11343103</v>
      </c>
      <c r="B145" t="s">
        <v>568</v>
      </c>
    </row>
    <row r="146" spans="1:2" x14ac:dyDescent="0.25">
      <c r="A146">
        <v>11212833</v>
      </c>
      <c r="B146" t="s">
        <v>570</v>
      </c>
    </row>
    <row r="147" spans="1:2" x14ac:dyDescent="0.25">
      <c r="A147">
        <v>11259578</v>
      </c>
      <c r="B147" t="s">
        <v>572</v>
      </c>
    </row>
    <row r="148" spans="1:2" x14ac:dyDescent="0.25">
      <c r="A148">
        <v>11329820</v>
      </c>
      <c r="B148" t="s">
        <v>570</v>
      </c>
    </row>
    <row r="149" spans="1:2" x14ac:dyDescent="0.25">
      <c r="A149">
        <v>11405869</v>
      </c>
      <c r="B149" t="s">
        <v>568</v>
      </c>
    </row>
    <row r="150" spans="1:2" x14ac:dyDescent="0.25">
      <c r="A150">
        <v>10691773</v>
      </c>
      <c r="B150" t="s">
        <v>570</v>
      </c>
    </row>
    <row r="151" spans="1:2" x14ac:dyDescent="0.25">
      <c r="A151">
        <v>11405760</v>
      </c>
      <c r="B151" t="s">
        <v>569</v>
      </c>
    </row>
    <row r="152" spans="1:2" x14ac:dyDescent="0.25">
      <c r="A152">
        <v>11348251</v>
      </c>
      <c r="B152" t="s">
        <v>569</v>
      </c>
    </row>
    <row r="153" spans="1:2" x14ac:dyDescent="0.25">
      <c r="A153">
        <v>11371519</v>
      </c>
      <c r="B153" t="s">
        <v>569</v>
      </c>
    </row>
    <row r="154" spans="1:2" x14ac:dyDescent="0.25">
      <c r="A154">
        <v>11311851</v>
      </c>
      <c r="B154" t="s">
        <v>570</v>
      </c>
    </row>
    <row r="155" spans="1:2" x14ac:dyDescent="0.25">
      <c r="A155">
        <v>11346192</v>
      </c>
      <c r="B155" t="s">
        <v>569</v>
      </c>
    </row>
    <row r="156" spans="1:2" x14ac:dyDescent="0.25">
      <c r="A156">
        <v>11368730</v>
      </c>
      <c r="B156" t="s">
        <v>569</v>
      </c>
    </row>
    <row r="157" spans="1:2" x14ac:dyDescent="0.25">
      <c r="A157">
        <v>10782702</v>
      </c>
      <c r="B157" t="s">
        <v>568</v>
      </c>
    </row>
    <row r="158" spans="1:2" x14ac:dyDescent="0.25">
      <c r="A158">
        <v>11394466</v>
      </c>
      <c r="B158" t="s">
        <v>568</v>
      </c>
    </row>
    <row r="159" spans="1:2" x14ac:dyDescent="0.25">
      <c r="A159">
        <v>11400710</v>
      </c>
      <c r="B159" t="s">
        <v>569</v>
      </c>
    </row>
    <row r="160" spans="1:2" x14ac:dyDescent="0.25">
      <c r="A160">
        <v>11104749</v>
      </c>
      <c r="B160" t="s">
        <v>570</v>
      </c>
    </row>
    <row r="161" spans="1:2" x14ac:dyDescent="0.25">
      <c r="A161">
        <v>11356166</v>
      </c>
      <c r="B161" t="s">
        <v>569</v>
      </c>
    </row>
    <row r="162" spans="1:2" x14ac:dyDescent="0.25">
      <c r="A162">
        <v>11374891</v>
      </c>
      <c r="B162" t="s">
        <v>569</v>
      </c>
    </row>
    <row r="163" spans="1:2" x14ac:dyDescent="0.25">
      <c r="A163">
        <v>11328772</v>
      </c>
      <c r="B163" t="s">
        <v>570</v>
      </c>
    </row>
    <row r="164" spans="1:2" x14ac:dyDescent="0.25">
      <c r="A164">
        <v>11305170</v>
      </c>
      <c r="B164" t="s">
        <v>568</v>
      </c>
    </row>
    <row r="165" spans="1:2" x14ac:dyDescent="0.25">
      <c r="A165">
        <v>11220990</v>
      </c>
      <c r="B165" t="s">
        <v>571</v>
      </c>
    </row>
    <row r="166" spans="1:2" x14ac:dyDescent="0.25">
      <c r="A166">
        <v>10586869</v>
      </c>
      <c r="B166" t="s">
        <v>570</v>
      </c>
    </row>
    <row r="167" spans="1:2" x14ac:dyDescent="0.25">
      <c r="A167">
        <v>11348239</v>
      </c>
      <c r="B167" t="s">
        <v>568</v>
      </c>
    </row>
    <row r="168" spans="1:2" x14ac:dyDescent="0.25">
      <c r="A168">
        <v>11367824</v>
      </c>
      <c r="B168" t="s">
        <v>569</v>
      </c>
    </row>
    <row r="169" spans="1:2" x14ac:dyDescent="0.25">
      <c r="A169">
        <v>11238880</v>
      </c>
      <c r="B169" t="s">
        <v>570</v>
      </c>
    </row>
    <row r="170" spans="1:2" x14ac:dyDescent="0.25">
      <c r="A170">
        <v>11310421</v>
      </c>
      <c r="B170" t="s">
        <v>570</v>
      </c>
    </row>
    <row r="171" spans="1:2" x14ac:dyDescent="0.25">
      <c r="A171">
        <v>11280178</v>
      </c>
      <c r="B171" t="s">
        <v>570</v>
      </c>
    </row>
    <row r="172" spans="1:2" x14ac:dyDescent="0.25">
      <c r="A172">
        <v>11234339</v>
      </c>
      <c r="B172" t="s">
        <v>572</v>
      </c>
    </row>
    <row r="173" spans="1:2" x14ac:dyDescent="0.25">
      <c r="A173">
        <v>11370493</v>
      </c>
      <c r="B173" t="s">
        <v>569</v>
      </c>
    </row>
    <row r="174" spans="1:2" x14ac:dyDescent="0.25">
      <c r="A174">
        <v>11390437</v>
      </c>
      <c r="B174" t="s">
        <v>568</v>
      </c>
    </row>
    <row r="175" spans="1:2" x14ac:dyDescent="0.25">
      <c r="A175">
        <v>11375164</v>
      </c>
      <c r="B175" t="s">
        <v>572</v>
      </c>
    </row>
    <row r="176" spans="1:2" x14ac:dyDescent="0.25">
      <c r="A176">
        <v>11409688</v>
      </c>
      <c r="B176" t="s">
        <v>568</v>
      </c>
    </row>
    <row r="177" spans="1:2" x14ac:dyDescent="0.25">
      <c r="A177">
        <v>10857822</v>
      </c>
      <c r="B177" t="s">
        <v>569</v>
      </c>
    </row>
    <row r="178" spans="1:2" x14ac:dyDescent="0.25">
      <c r="A178">
        <v>11835112</v>
      </c>
      <c r="B178" t="s">
        <v>568</v>
      </c>
    </row>
    <row r="179" spans="1:2" x14ac:dyDescent="0.25">
      <c r="A179">
        <v>10803683</v>
      </c>
      <c r="B179" t="s">
        <v>568</v>
      </c>
    </row>
    <row r="180" spans="1:2" x14ac:dyDescent="0.25">
      <c r="A180">
        <v>11886254</v>
      </c>
      <c r="B180" t="s">
        <v>569</v>
      </c>
    </row>
    <row r="181" spans="1:2" x14ac:dyDescent="0.25">
      <c r="A181">
        <v>10746597</v>
      </c>
      <c r="B181" t="s">
        <v>568</v>
      </c>
    </row>
    <row r="182" spans="1:2" x14ac:dyDescent="0.25">
      <c r="A182">
        <v>11003387</v>
      </c>
      <c r="B182" t="s">
        <v>569</v>
      </c>
    </row>
    <row r="183" spans="1:2" x14ac:dyDescent="0.25">
      <c r="A183">
        <v>12021752</v>
      </c>
      <c r="B183" t="s">
        <v>569</v>
      </c>
    </row>
    <row r="184" spans="1:2" x14ac:dyDescent="0.25">
      <c r="A184">
        <v>11014776</v>
      </c>
      <c r="B184" t="s">
        <v>568</v>
      </c>
    </row>
    <row r="185" spans="1:2" x14ac:dyDescent="0.25">
      <c r="A185">
        <v>10825345</v>
      </c>
      <c r="B185" t="s">
        <v>570</v>
      </c>
    </row>
    <row r="186" spans="1:2" x14ac:dyDescent="0.25">
      <c r="A186">
        <v>11512393</v>
      </c>
      <c r="B186" t="s">
        <v>569</v>
      </c>
    </row>
    <row r="187" spans="1:2" x14ac:dyDescent="0.25">
      <c r="A187">
        <v>11322644</v>
      </c>
      <c r="B187" t="s">
        <v>569</v>
      </c>
    </row>
    <row r="188" spans="1:2" x14ac:dyDescent="0.25">
      <c r="A188">
        <v>11490805</v>
      </c>
      <c r="B188" t="s">
        <v>572</v>
      </c>
    </row>
    <row r="189" spans="1:2" x14ac:dyDescent="0.25">
      <c r="A189">
        <v>11557554</v>
      </c>
      <c r="B189" t="s">
        <v>569</v>
      </c>
    </row>
    <row r="190" spans="1:2" x14ac:dyDescent="0.25">
      <c r="A190">
        <v>10691175</v>
      </c>
      <c r="B190" t="s">
        <v>572</v>
      </c>
    </row>
    <row r="191" spans="1:2" x14ac:dyDescent="0.25">
      <c r="A191">
        <v>11486805</v>
      </c>
      <c r="B191" t="s">
        <v>568</v>
      </c>
    </row>
    <row r="192" spans="1:2" x14ac:dyDescent="0.25">
      <c r="A192">
        <v>11939640</v>
      </c>
      <c r="B192" t="s">
        <v>569</v>
      </c>
    </row>
    <row r="193" spans="1:2" x14ac:dyDescent="0.25">
      <c r="A193">
        <v>11538815</v>
      </c>
      <c r="B193" t="s">
        <v>570</v>
      </c>
    </row>
    <row r="194" spans="1:2" x14ac:dyDescent="0.25">
      <c r="A194">
        <v>10813486</v>
      </c>
      <c r="B194" t="s">
        <v>569</v>
      </c>
    </row>
    <row r="195" spans="1:2" x14ac:dyDescent="0.25">
      <c r="A195">
        <v>11381487</v>
      </c>
      <c r="B195" t="s">
        <v>572</v>
      </c>
    </row>
    <row r="196" spans="1:2" x14ac:dyDescent="0.25">
      <c r="A196">
        <v>11561964</v>
      </c>
      <c r="B196" t="s">
        <v>569</v>
      </c>
    </row>
    <row r="197" spans="1:2" x14ac:dyDescent="0.25">
      <c r="A197">
        <v>11559160</v>
      </c>
      <c r="B197" t="s">
        <v>569</v>
      </c>
    </row>
    <row r="198" spans="1:2" x14ac:dyDescent="0.25">
      <c r="A198">
        <v>10710980</v>
      </c>
      <c r="B198" t="s">
        <v>569</v>
      </c>
    </row>
    <row r="199" spans="1:2" x14ac:dyDescent="0.25">
      <c r="A199">
        <v>10721997</v>
      </c>
      <c r="B199" t="s">
        <v>569</v>
      </c>
    </row>
    <row r="200" spans="1:2" x14ac:dyDescent="0.25">
      <c r="A200">
        <v>10678108</v>
      </c>
      <c r="B200" t="s">
        <v>569</v>
      </c>
    </row>
    <row r="201" spans="1:2" x14ac:dyDescent="0.25">
      <c r="A201">
        <v>11761727</v>
      </c>
      <c r="B201" t="s">
        <v>570</v>
      </c>
    </row>
    <row r="202" spans="1:2" x14ac:dyDescent="0.25">
      <c r="A202">
        <v>10970965</v>
      </c>
      <c r="B202" t="s">
        <v>572</v>
      </c>
    </row>
    <row r="203" spans="1:2" x14ac:dyDescent="0.25">
      <c r="A203">
        <v>10991466</v>
      </c>
      <c r="B203" t="s">
        <v>568</v>
      </c>
    </row>
    <row r="204" spans="1:2" x14ac:dyDescent="0.25">
      <c r="A204">
        <v>10791168</v>
      </c>
      <c r="B204" t="s">
        <v>568</v>
      </c>
    </row>
    <row r="205" spans="1:2" x14ac:dyDescent="0.25">
      <c r="A205">
        <v>11900959</v>
      </c>
      <c r="B205" t="s">
        <v>571</v>
      </c>
    </row>
    <row r="206" spans="1:2" x14ac:dyDescent="0.25">
      <c r="A206">
        <v>10811525</v>
      </c>
      <c r="B206" t="s">
        <v>568</v>
      </c>
    </row>
    <row r="207" spans="1:2" x14ac:dyDescent="0.25">
      <c r="A207">
        <v>10750040</v>
      </c>
      <c r="B207" t="s">
        <v>569</v>
      </c>
    </row>
    <row r="208" spans="1:2" x14ac:dyDescent="0.25">
      <c r="A208">
        <v>11735716</v>
      </c>
      <c r="B208" t="s">
        <v>568</v>
      </c>
    </row>
    <row r="209" spans="1:2" x14ac:dyDescent="0.25">
      <c r="A209">
        <v>11906760</v>
      </c>
      <c r="B209" t="s">
        <v>568</v>
      </c>
    </row>
    <row r="210" spans="1:2" x14ac:dyDescent="0.25">
      <c r="A210">
        <v>10817431</v>
      </c>
      <c r="B210" t="s">
        <v>569</v>
      </c>
    </row>
    <row r="211" spans="1:2" x14ac:dyDescent="0.25">
      <c r="A211">
        <v>11666943</v>
      </c>
      <c r="B211" t="s">
        <v>568</v>
      </c>
    </row>
    <row r="212" spans="1:2" x14ac:dyDescent="0.25">
      <c r="A212">
        <v>11718022</v>
      </c>
    </row>
    <row r="213" spans="1:2" x14ac:dyDescent="0.25">
      <c r="A213">
        <v>10717713</v>
      </c>
      <c r="B213" t="s">
        <v>569</v>
      </c>
    </row>
    <row r="214" spans="1:2" x14ac:dyDescent="0.25">
      <c r="A214">
        <v>10728544</v>
      </c>
      <c r="B214" t="s">
        <v>568</v>
      </c>
    </row>
    <row r="215" spans="1:2" x14ac:dyDescent="0.25">
      <c r="A215">
        <v>10749046</v>
      </c>
      <c r="B215" t="s">
        <v>570</v>
      </c>
    </row>
    <row r="216" spans="1:2" x14ac:dyDescent="0.25">
      <c r="A216">
        <v>11480163</v>
      </c>
      <c r="B216" t="s">
        <v>569</v>
      </c>
    </row>
    <row r="217" spans="1:2" x14ac:dyDescent="0.25">
      <c r="A217">
        <v>11375179</v>
      </c>
      <c r="B217" t="s">
        <v>569</v>
      </c>
    </row>
    <row r="218" spans="1:2" x14ac:dyDescent="0.25">
      <c r="A218">
        <v>10898295</v>
      </c>
      <c r="B218" t="s">
        <v>569</v>
      </c>
    </row>
    <row r="219" spans="1:2" x14ac:dyDescent="0.25">
      <c r="A219">
        <v>10604691</v>
      </c>
      <c r="B219" t="s">
        <v>570</v>
      </c>
    </row>
    <row r="220" spans="1:2" x14ac:dyDescent="0.25">
      <c r="A220">
        <v>11077871</v>
      </c>
      <c r="B220" t="s">
        <v>569</v>
      </c>
    </row>
    <row r="221" spans="1:2" x14ac:dyDescent="0.25">
      <c r="A221">
        <v>11882520</v>
      </c>
      <c r="B221" t="s">
        <v>570</v>
      </c>
    </row>
    <row r="222" spans="1:2" x14ac:dyDescent="0.25">
      <c r="A222">
        <v>11447298</v>
      </c>
      <c r="B222" t="s">
        <v>570</v>
      </c>
    </row>
    <row r="223" spans="1:2" x14ac:dyDescent="0.25">
      <c r="A223">
        <v>10929491</v>
      </c>
      <c r="B223" t="s">
        <v>569</v>
      </c>
    </row>
    <row r="224" spans="1:2" x14ac:dyDescent="0.25">
      <c r="A224">
        <v>11234085</v>
      </c>
      <c r="B224" t="s">
        <v>572</v>
      </c>
    </row>
    <row r="225" spans="1:2" x14ac:dyDescent="0.25">
      <c r="A225">
        <v>11806730</v>
      </c>
      <c r="B225" t="s">
        <v>570</v>
      </c>
    </row>
    <row r="226" spans="1:2" x14ac:dyDescent="0.25">
      <c r="A226">
        <v>11848124</v>
      </c>
      <c r="B226" t="s">
        <v>570</v>
      </c>
    </row>
    <row r="227" spans="1:2" x14ac:dyDescent="0.25">
      <c r="A227">
        <v>11935099</v>
      </c>
      <c r="B227" t="s">
        <v>569</v>
      </c>
    </row>
    <row r="228" spans="1:2" x14ac:dyDescent="0.25">
      <c r="A228">
        <v>11987935</v>
      </c>
      <c r="B228" t="s">
        <v>570</v>
      </c>
    </row>
    <row r="229" spans="1:2" x14ac:dyDescent="0.25">
      <c r="A229">
        <v>11073787</v>
      </c>
      <c r="B229" t="s">
        <v>572</v>
      </c>
    </row>
    <row r="230" spans="1:2" x14ac:dyDescent="0.25">
      <c r="A230">
        <v>11283975</v>
      </c>
      <c r="B230" t="s">
        <v>568</v>
      </c>
    </row>
    <row r="231" spans="1:2" x14ac:dyDescent="0.25">
      <c r="A231">
        <v>11990546</v>
      </c>
      <c r="B231" t="s">
        <v>569</v>
      </c>
    </row>
    <row r="232" spans="1:2" x14ac:dyDescent="0.25">
      <c r="A232">
        <v>10701133</v>
      </c>
      <c r="B232" t="s">
        <v>572</v>
      </c>
    </row>
    <row r="233" spans="1:2" x14ac:dyDescent="0.25">
      <c r="A233">
        <v>11559670</v>
      </c>
      <c r="B233" t="s">
        <v>569</v>
      </c>
    </row>
    <row r="234" spans="1:2" x14ac:dyDescent="0.25">
      <c r="A234">
        <v>11344552</v>
      </c>
      <c r="B234" t="s">
        <v>568</v>
      </c>
    </row>
    <row r="235" spans="1:2" x14ac:dyDescent="0.25">
      <c r="A235">
        <v>11420587</v>
      </c>
      <c r="B235" t="s">
        <v>569</v>
      </c>
    </row>
    <row r="236" spans="1:2" x14ac:dyDescent="0.25">
      <c r="A236">
        <v>11769401</v>
      </c>
      <c r="B236" t="s">
        <v>570</v>
      </c>
    </row>
    <row r="237" spans="1:2" x14ac:dyDescent="0.25">
      <c r="A237">
        <v>11959243</v>
      </c>
      <c r="B237" t="s">
        <v>568</v>
      </c>
    </row>
    <row r="238" spans="1:2" x14ac:dyDescent="0.25">
      <c r="A238">
        <v>11865927</v>
      </c>
      <c r="B238" t="s">
        <v>570</v>
      </c>
    </row>
    <row r="239" spans="1:2" x14ac:dyDescent="0.25">
      <c r="A239">
        <v>11033824</v>
      </c>
      <c r="B239" t="s">
        <v>571</v>
      </c>
    </row>
    <row r="240" spans="1:2" x14ac:dyDescent="0.25">
      <c r="A240">
        <v>11568457</v>
      </c>
      <c r="B240" t="s">
        <v>572</v>
      </c>
    </row>
    <row r="241" spans="1:2" x14ac:dyDescent="0.25">
      <c r="A241">
        <v>11745835</v>
      </c>
      <c r="B241" t="s">
        <v>569</v>
      </c>
    </row>
    <row r="242" spans="1:2" x14ac:dyDescent="0.25">
      <c r="A242">
        <v>11368232</v>
      </c>
      <c r="B242" t="s">
        <v>569</v>
      </c>
    </row>
    <row r="243" spans="1:2" x14ac:dyDescent="0.25">
      <c r="A243">
        <v>11741144</v>
      </c>
      <c r="B243" t="s">
        <v>569</v>
      </c>
    </row>
    <row r="244" spans="1:2" x14ac:dyDescent="0.25">
      <c r="A244">
        <v>11558233</v>
      </c>
      <c r="B244" t="s">
        <v>570</v>
      </c>
    </row>
    <row r="245" spans="1:2" x14ac:dyDescent="0.25">
      <c r="A245">
        <v>11826657</v>
      </c>
      <c r="B245" t="s">
        <v>573</v>
      </c>
    </row>
    <row r="246" spans="1:2" x14ac:dyDescent="0.25">
      <c r="A246">
        <v>11873425</v>
      </c>
      <c r="B246" t="s">
        <v>570</v>
      </c>
    </row>
    <row r="247" spans="1:2" x14ac:dyDescent="0.25">
      <c r="A247">
        <v>11598371</v>
      </c>
      <c r="B247" t="s">
        <v>569</v>
      </c>
    </row>
    <row r="248" spans="1:2" x14ac:dyDescent="0.25">
      <c r="A248">
        <v>11884177</v>
      </c>
      <c r="B248" t="s">
        <v>572</v>
      </c>
    </row>
    <row r="249" spans="1:2" x14ac:dyDescent="0.25">
      <c r="A249">
        <v>12001071</v>
      </c>
      <c r="B249" t="s">
        <v>569</v>
      </c>
    </row>
    <row r="250" spans="1:2" x14ac:dyDescent="0.25">
      <c r="A250">
        <v>12007688</v>
      </c>
      <c r="B250" t="s">
        <v>570</v>
      </c>
    </row>
    <row r="251" spans="1:2" x14ac:dyDescent="0.25">
      <c r="A251">
        <v>11583377</v>
      </c>
      <c r="B251" t="s">
        <v>569</v>
      </c>
    </row>
    <row r="252" spans="1:2" x14ac:dyDescent="0.25">
      <c r="A252">
        <v>11928126</v>
      </c>
      <c r="B252" t="s">
        <v>572</v>
      </c>
    </row>
    <row r="253" spans="1:2" x14ac:dyDescent="0.25">
      <c r="A253">
        <v>11407842</v>
      </c>
      <c r="B253" t="s">
        <v>569</v>
      </c>
    </row>
    <row r="254" spans="1:2" x14ac:dyDescent="0.25">
      <c r="A254">
        <v>11745625</v>
      </c>
      <c r="B254" t="s">
        <v>570</v>
      </c>
    </row>
    <row r="255" spans="1:2" x14ac:dyDescent="0.25">
      <c r="A255">
        <v>11969099</v>
      </c>
      <c r="B255" t="s">
        <v>569</v>
      </c>
    </row>
    <row r="256" spans="1:2" x14ac:dyDescent="0.25">
      <c r="A256">
        <v>11557524</v>
      </c>
      <c r="B256" t="s">
        <v>569</v>
      </c>
    </row>
    <row r="257" spans="1:2" x14ac:dyDescent="0.25">
      <c r="A257">
        <v>11725724</v>
      </c>
      <c r="B257" t="s">
        <v>571</v>
      </c>
    </row>
    <row r="258" spans="1:2" x14ac:dyDescent="0.25">
      <c r="A258">
        <v>11761662</v>
      </c>
      <c r="B258" t="s">
        <v>572</v>
      </c>
    </row>
    <row r="259" spans="1:2" x14ac:dyDescent="0.25">
      <c r="A259">
        <v>11564415</v>
      </c>
      <c r="B259" t="s">
        <v>572</v>
      </c>
    </row>
    <row r="260" spans="1:2" x14ac:dyDescent="0.25">
      <c r="A260">
        <v>11920359</v>
      </c>
      <c r="B260" t="s">
        <v>571</v>
      </c>
    </row>
    <row r="261" spans="1:2" x14ac:dyDescent="0.25">
      <c r="A261">
        <v>11391217</v>
      </c>
      <c r="B261" t="s">
        <v>572</v>
      </c>
    </row>
    <row r="262" spans="1:2" x14ac:dyDescent="0.25">
      <c r="A262">
        <v>11428491</v>
      </c>
      <c r="B262" t="s">
        <v>569</v>
      </c>
    </row>
    <row r="263" spans="1:2" x14ac:dyDescent="0.25">
      <c r="A263">
        <v>11009362</v>
      </c>
      <c r="B263" t="s">
        <v>569</v>
      </c>
    </row>
    <row r="264" spans="1:2" x14ac:dyDescent="0.25">
      <c r="A264">
        <v>11920631</v>
      </c>
      <c r="B264" t="s">
        <v>569</v>
      </c>
    </row>
    <row r="265" spans="1:2" x14ac:dyDescent="0.25">
      <c r="A265">
        <v>11975237</v>
      </c>
      <c r="B265" t="s">
        <v>569</v>
      </c>
    </row>
    <row r="266" spans="1:2" x14ac:dyDescent="0.25">
      <c r="A266">
        <v>11093405</v>
      </c>
      <c r="B266" t="s">
        <v>568</v>
      </c>
    </row>
    <row r="267" spans="1:2" x14ac:dyDescent="0.25">
      <c r="A267">
        <v>11281325</v>
      </c>
      <c r="B267" t="s">
        <v>571</v>
      </c>
    </row>
    <row r="268" spans="1:2" x14ac:dyDescent="0.25">
      <c r="A268">
        <v>10598364</v>
      </c>
      <c r="B268" t="s">
        <v>569</v>
      </c>
    </row>
    <row r="269" spans="1:2" x14ac:dyDescent="0.25">
      <c r="A269">
        <v>11464886</v>
      </c>
      <c r="B269" t="s">
        <v>569</v>
      </c>
    </row>
    <row r="270" spans="1:2" x14ac:dyDescent="0.25">
      <c r="A270">
        <v>11303526</v>
      </c>
      <c r="B270" t="s">
        <v>569</v>
      </c>
    </row>
    <row r="271" spans="1:2" x14ac:dyDescent="0.25">
      <c r="A271">
        <v>12012715</v>
      </c>
      <c r="B271" t="s">
        <v>573</v>
      </c>
    </row>
    <row r="272" spans="1:2" x14ac:dyDescent="0.25">
      <c r="A272">
        <v>10872965</v>
      </c>
      <c r="B272" t="s">
        <v>572</v>
      </c>
    </row>
    <row r="273" spans="1:2" x14ac:dyDescent="0.25">
      <c r="A273">
        <v>11111140</v>
      </c>
      <c r="B273" t="s">
        <v>572</v>
      </c>
    </row>
    <row r="274" spans="1:2" x14ac:dyDescent="0.25">
      <c r="A274">
        <v>12024483</v>
      </c>
      <c r="B274" t="s">
        <v>570</v>
      </c>
    </row>
    <row r="275" spans="1:2" x14ac:dyDescent="0.25">
      <c r="A275">
        <v>11078220</v>
      </c>
      <c r="B275" t="s">
        <v>569</v>
      </c>
    </row>
    <row r="276" spans="1:2" x14ac:dyDescent="0.25">
      <c r="A276">
        <v>11890851</v>
      </c>
      <c r="B276" t="s">
        <v>570</v>
      </c>
    </row>
    <row r="277" spans="1:2" x14ac:dyDescent="0.25">
      <c r="A277">
        <v>11067899</v>
      </c>
      <c r="B277" t="s">
        <v>573</v>
      </c>
    </row>
    <row r="278" spans="1:2" x14ac:dyDescent="0.25">
      <c r="A278">
        <v>10911396</v>
      </c>
      <c r="B278" t="s">
        <v>569</v>
      </c>
    </row>
    <row r="279" spans="1:2" x14ac:dyDescent="0.25">
      <c r="A279">
        <v>10915618</v>
      </c>
      <c r="B279" t="s">
        <v>570</v>
      </c>
    </row>
    <row r="280" spans="1:2" x14ac:dyDescent="0.25">
      <c r="A280">
        <v>11382329</v>
      </c>
      <c r="B280" t="s">
        <v>572</v>
      </c>
    </row>
    <row r="281" spans="1:2" x14ac:dyDescent="0.25">
      <c r="A281">
        <v>10607404</v>
      </c>
      <c r="B281" t="s">
        <v>569</v>
      </c>
    </row>
    <row r="282" spans="1:2" x14ac:dyDescent="0.25">
      <c r="A282">
        <v>10911301</v>
      </c>
      <c r="B282" t="s">
        <v>569</v>
      </c>
    </row>
    <row r="283" spans="1:2" x14ac:dyDescent="0.25">
      <c r="A283">
        <v>10683100</v>
      </c>
      <c r="B283" t="s">
        <v>568</v>
      </c>
    </row>
    <row r="284" spans="1:2" x14ac:dyDescent="0.25">
      <c r="A284">
        <v>10573985</v>
      </c>
      <c r="B284" t="s">
        <v>570</v>
      </c>
    </row>
    <row r="285" spans="1:2" x14ac:dyDescent="0.25">
      <c r="A285">
        <v>10595396</v>
      </c>
      <c r="B285" t="s">
        <v>568</v>
      </c>
    </row>
    <row r="286" spans="1:2" x14ac:dyDescent="0.25">
      <c r="A286">
        <v>11754585</v>
      </c>
      <c r="B286" t="s">
        <v>569</v>
      </c>
    </row>
    <row r="287" spans="1:2" x14ac:dyDescent="0.25">
      <c r="A287">
        <v>11752990</v>
      </c>
      <c r="B287" t="s">
        <v>570</v>
      </c>
    </row>
    <row r="288" spans="1:2" x14ac:dyDescent="0.25">
      <c r="A288">
        <v>11483392</v>
      </c>
      <c r="B288" t="s">
        <v>570</v>
      </c>
    </row>
    <row r="289" spans="1:2" x14ac:dyDescent="0.25">
      <c r="A289">
        <v>10838880</v>
      </c>
      <c r="B289" t="s">
        <v>568</v>
      </c>
    </row>
    <row r="290" spans="1:2" x14ac:dyDescent="0.25">
      <c r="A290">
        <v>11564721</v>
      </c>
      <c r="B290" t="s">
        <v>572</v>
      </c>
    </row>
    <row r="291" spans="1:2" x14ac:dyDescent="0.25">
      <c r="A291">
        <v>11247875</v>
      </c>
      <c r="B291" t="s">
        <v>572</v>
      </c>
    </row>
    <row r="292" spans="1:2" x14ac:dyDescent="0.25">
      <c r="A292">
        <v>10967363</v>
      </c>
      <c r="B292" t="s">
        <v>572</v>
      </c>
    </row>
    <row r="293" spans="1:2" x14ac:dyDescent="0.25">
      <c r="A293">
        <v>10967363</v>
      </c>
      <c r="B293" t="s">
        <v>572</v>
      </c>
    </row>
    <row r="294" spans="1:2" x14ac:dyDescent="0.25">
      <c r="A294">
        <v>10824534</v>
      </c>
      <c r="B294" t="s">
        <v>570</v>
      </c>
    </row>
    <row r="295" spans="1:2" x14ac:dyDescent="0.25">
      <c r="A295">
        <v>11733670</v>
      </c>
      <c r="B295" t="s">
        <v>570</v>
      </c>
    </row>
    <row r="296" spans="1:2" x14ac:dyDescent="0.25">
      <c r="A296">
        <v>10724788</v>
      </c>
      <c r="B296" t="s">
        <v>572</v>
      </c>
    </row>
    <row r="297" spans="1:2" x14ac:dyDescent="0.25">
      <c r="A297">
        <v>11560398</v>
      </c>
      <c r="B297" t="s">
        <v>569</v>
      </c>
    </row>
    <row r="298" spans="1:2" x14ac:dyDescent="0.25">
      <c r="A298">
        <v>11407595</v>
      </c>
      <c r="B298" t="s">
        <v>569</v>
      </c>
    </row>
    <row r="299" spans="1:2" x14ac:dyDescent="0.25">
      <c r="A299">
        <v>11902302</v>
      </c>
      <c r="B299" t="s">
        <v>569</v>
      </c>
    </row>
    <row r="300" spans="1:2" x14ac:dyDescent="0.25">
      <c r="A300">
        <v>11401562</v>
      </c>
      <c r="B300" t="s">
        <v>570</v>
      </c>
    </row>
    <row r="301" spans="1:2" x14ac:dyDescent="0.25">
      <c r="A301">
        <v>11115488</v>
      </c>
      <c r="B301" t="s">
        <v>569</v>
      </c>
    </row>
    <row r="302" spans="1:2" x14ac:dyDescent="0.25">
      <c r="A302">
        <v>11263911</v>
      </c>
      <c r="B302" t="s">
        <v>569</v>
      </c>
    </row>
    <row r="303" spans="1:2" x14ac:dyDescent="0.25">
      <c r="A303">
        <v>11901215</v>
      </c>
      <c r="B303" t="s">
        <v>572</v>
      </c>
    </row>
    <row r="304" spans="1:2" x14ac:dyDescent="0.25">
      <c r="A304">
        <v>11422021</v>
      </c>
      <c r="B304" t="s">
        <v>570</v>
      </c>
    </row>
    <row r="305" spans="1:2" x14ac:dyDescent="0.25">
      <c r="A305">
        <v>10749590</v>
      </c>
      <c r="B305" t="s">
        <v>570</v>
      </c>
    </row>
    <row r="306" spans="1:2" x14ac:dyDescent="0.25">
      <c r="A306">
        <v>10795816</v>
      </c>
      <c r="B306" t="s">
        <v>570</v>
      </c>
    </row>
    <row r="307" spans="1:2" x14ac:dyDescent="0.25">
      <c r="A307">
        <v>10893294</v>
      </c>
      <c r="B307" t="s">
        <v>570</v>
      </c>
    </row>
    <row r="308" spans="1:2" x14ac:dyDescent="0.25">
      <c r="A308">
        <v>11567791</v>
      </c>
      <c r="B308" t="s">
        <v>569</v>
      </c>
    </row>
    <row r="309" spans="1:2" x14ac:dyDescent="0.25">
      <c r="A309">
        <v>11406873</v>
      </c>
      <c r="B309" t="s">
        <v>570</v>
      </c>
    </row>
    <row r="310" spans="1:2" x14ac:dyDescent="0.25">
      <c r="A310">
        <v>10884738</v>
      </c>
      <c r="B310" t="s">
        <v>572</v>
      </c>
    </row>
    <row r="311" spans="1:2" x14ac:dyDescent="0.25">
      <c r="A311">
        <v>10912551</v>
      </c>
      <c r="B311" t="s">
        <v>569</v>
      </c>
    </row>
    <row r="312" spans="1:2" x14ac:dyDescent="0.25">
      <c r="A312">
        <v>11738816</v>
      </c>
      <c r="B312" t="s">
        <v>569</v>
      </c>
    </row>
    <row r="313" spans="1:2" x14ac:dyDescent="0.25">
      <c r="A313">
        <v>11266644</v>
      </c>
      <c r="B313" t="s">
        <v>569</v>
      </c>
    </row>
    <row r="314" spans="1:2" x14ac:dyDescent="0.25">
      <c r="A314">
        <v>11678652</v>
      </c>
      <c r="B314" t="s">
        <v>569</v>
      </c>
    </row>
    <row r="315" spans="1:2" x14ac:dyDescent="0.25">
      <c r="A315">
        <v>11847945</v>
      </c>
      <c r="B315" t="s">
        <v>569</v>
      </c>
    </row>
    <row r="316" spans="1:2" x14ac:dyDescent="0.25">
      <c r="A316">
        <v>11811803</v>
      </c>
      <c r="B316" t="s">
        <v>569</v>
      </c>
    </row>
    <row r="317" spans="1:2" x14ac:dyDescent="0.25">
      <c r="A317">
        <v>11790136</v>
      </c>
      <c r="B317" t="s">
        <v>568</v>
      </c>
    </row>
    <row r="318" spans="1:2" x14ac:dyDescent="0.25">
      <c r="A318">
        <v>11613619</v>
      </c>
      <c r="B318" t="s">
        <v>568</v>
      </c>
    </row>
    <row r="319" spans="1:2" x14ac:dyDescent="0.25">
      <c r="A319">
        <v>10782343</v>
      </c>
      <c r="B319" t="s">
        <v>569</v>
      </c>
    </row>
    <row r="320" spans="1:2" x14ac:dyDescent="0.25">
      <c r="A320">
        <v>11832932</v>
      </c>
      <c r="B320" t="s">
        <v>568</v>
      </c>
    </row>
    <row r="321" spans="1:2" x14ac:dyDescent="0.25">
      <c r="A321">
        <v>10881687</v>
      </c>
      <c r="B321" t="s">
        <v>572</v>
      </c>
    </row>
    <row r="322" spans="1:2" x14ac:dyDescent="0.25">
      <c r="A322">
        <v>11072481</v>
      </c>
      <c r="B322" t="s">
        <v>568</v>
      </c>
    </row>
    <row r="323" spans="1:2" x14ac:dyDescent="0.25">
      <c r="A323">
        <v>11555809</v>
      </c>
      <c r="B323" t="s">
        <v>570</v>
      </c>
    </row>
    <row r="324" spans="1:2" x14ac:dyDescent="0.25">
      <c r="A324">
        <v>10875489</v>
      </c>
      <c r="B324" t="s">
        <v>570</v>
      </c>
    </row>
    <row r="325" spans="1:2" x14ac:dyDescent="0.25">
      <c r="A325">
        <v>11610396</v>
      </c>
      <c r="B325" t="s">
        <v>569</v>
      </c>
    </row>
    <row r="326" spans="1:2" x14ac:dyDescent="0.25">
      <c r="A326">
        <v>10926403</v>
      </c>
      <c r="B326" t="s">
        <v>570</v>
      </c>
    </row>
    <row r="327" spans="1:2" x14ac:dyDescent="0.25">
      <c r="A327">
        <v>11294899</v>
      </c>
      <c r="B327" t="s">
        <v>570</v>
      </c>
    </row>
    <row r="328" spans="1:2" x14ac:dyDescent="0.25">
      <c r="A328">
        <v>11031338</v>
      </c>
      <c r="B328" t="s">
        <v>569</v>
      </c>
    </row>
    <row r="329" spans="1:2" x14ac:dyDescent="0.25">
      <c r="A329">
        <v>11755391</v>
      </c>
      <c r="B329" t="s">
        <v>569</v>
      </c>
    </row>
    <row r="330" spans="1:2" x14ac:dyDescent="0.25">
      <c r="A330">
        <v>11271376</v>
      </c>
      <c r="B330" t="s">
        <v>570</v>
      </c>
    </row>
    <row r="331" spans="1:2" x14ac:dyDescent="0.25">
      <c r="A331">
        <v>10869062</v>
      </c>
      <c r="B331" t="s">
        <v>569</v>
      </c>
    </row>
    <row r="332" spans="1:2" x14ac:dyDescent="0.25">
      <c r="A332">
        <v>11679182</v>
      </c>
      <c r="B332" t="s">
        <v>568</v>
      </c>
    </row>
    <row r="333" spans="1:2" x14ac:dyDescent="0.25">
      <c r="A333">
        <v>11661528</v>
      </c>
      <c r="B333" t="s">
        <v>569</v>
      </c>
    </row>
    <row r="334" spans="1:2" x14ac:dyDescent="0.25">
      <c r="A334">
        <v>11171593</v>
      </c>
      <c r="B334" t="s">
        <v>569</v>
      </c>
    </row>
    <row r="335" spans="1:2" x14ac:dyDescent="0.25">
      <c r="A335">
        <v>10665780</v>
      </c>
      <c r="B335" t="s">
        <v>569</v>
      </c>
    </row>
    <row r="336" spans="1:2" x14ac:dyDescent="0.25">
      <c r="A336">
        <v>11129279</v>
      </c>
      <c r="B336" t="s">
        <v>569</v>
      </c>
    </row>
    <row r="337" spans="1:2" x14ac:dyDescent="0.25">
      <c r="A337">
        <v>11129279</v>
      </c>
      <c r="B337" t="s">
        <v>569</v>
      </c>
    </row>
    <row r="338" spans="1:2" x14ac:dyDescent="0.25">
      <c r="A338">
        <v>11893994</v>
      </c>
      <c r="B338" t="s">
        <v>570</v>
      </c>
    </row>
    <row r="339" spans="1:2" x14ac:dyDescent="0.25">
      <c r="A339">
        <v>11372318</v>
      </c>
      <c r="B339" t="s">
        <v>569</v>
      </c>
    </row>
    <row r="340" spans="1:2" x14ac:dyDescent="0.25">
      <c r="A340">
        <v>11659772</v>
      </c>
      <c r="B340" t="s">
        <v>572</v>
      </c>
    </row>
    <row r="341" spans="1:2" x14ac:dyDescent="0.25">
      <c r="A341">
        <v>10887561</v>
      </c>
      <c r="B341" t="s">
        <v>569</v>
      </c>
    </row>
    <row r="342" spans="1:2" x14ac:dyDescent="0.25">
      <c r="A342">
        <v>10754956</v>
      </c>
      <c r="B342" t="s">
        <v>573</v>
      </c>
    </row>
    <row r="343" spans="1:2" x14ac:dyDescent="0.25">
      <c r="A343">
        <v>10863129</v>
      </c>
      <c r="B343" t="s">
        <v>569</v>
      </c>
    </row>
    <row r="344" spans="1:2" x14ac:dyDescent="0.25">
      <c r="A344">
        <v>10572026</v>
      </c>
      <c r="B344" t="s">
        <v>572</v>
      </c>
    </row>
    <row r="345" spans="1:2" x14ac:dyDescent="0.25">
      <c r="A345">
        <v>10620735</v>
      </c>
      <c r="B345" t="s">
        <v>569</v>
      </c>
    </row>
    <row r="346" spans="1:2" x14ac:dyDescent="0.25">
      <c r="A346">
        <v>10598070</v>
      </c>
      <c r="B346" t="s">
        <v>573</v>
      </c>
    </row>
    <row r="347" spans="1:2" x14ac:dyDescent="0.25">
      <c r="A347">
        <v>12020098</v>
      </c>
      <c r="B347" t="s">
        <v>569</v>
      </c>
    </row>
    <row r="348" spans="1:2" x14ac:dyDescent="0.25">
      <c r="A348">
        <v>10695016</v>
      </c>
      <c r="B348" t="s">
        <v>570</v>
      </c>
    </row>
    <row r="349" spans="1:2" x14ac:dyDescent="0.25">
      <c r="A349">
        <v>10793315</v>
      </c>
      <c r="B349" t="s">
        <v>572</v>
      </c>
    </row>
    <row r="350" spans="1:2" x14ac:dyDescent="0.25">
      <c r="A350">
        <v>11906727</v>
      </c>
      <c r="B350" t="s">
        <v>569</v>
      </c>
    </row>
    <row r="351" spans="1:2" x14ac:dyDescent="0.25">
      <c r="A351">
        <v>11741364</v>
      </c>
    </row>
    <row r="352" spans="1:2" x14ac:dyDescent="0.25">
      <c r="A352">
        <v>11817612</v>
      </c>
    </row>
    <row r="353" spans="1:1" x14ac:dyDescent="0.25">
      <c r="A353">
        <v>11817238</v>
      </c>
    </row>
    <row r="354" spans="1:1" x14ac:dyDescent="0.25">
      <c r="A354">
        <v>11817265</v>
      </c>
    </row>
    <row r="355" spans="1:1" x14ac:dyDescent="0.25">
      <c r="A355">
        <v>11757043</v>
      </c>
    </row>
    <row r="356" spans="1:1" x14ac:dyDescent="0.25">
      <c r="A356">
        <v>11684341</v>
      </c>
    </row>
    <row r="357" spans="1:1" x14ac:dyDescent="0.25">
      <c r="A357">
        <v>11997607</v>
      </c>
    </row>
    <row r="358" spans="1:1" x14ac:dyDescent="0.25">
      <c r="A358">
        <v>11773554</v>
      </c>
    </row>
    <row r="359" spans="1:1" x14ac:dyDescent="0.25">
      <c r="A359">
        <v>11774286</v>
      </c>
    </row>
    <row r="360" spans="1:1" x14ac:dyDescent="0.25">
      <c r="A360">
        <v>11741116</v>
      </c>
    </row>
    <row r="361" spans="1:1" x14ac:dyDescent="0.25">
      <c r="A361">
        <v>11741396</v>
      </c>
    </row>
    <row r="362" spans="1:1" x14ac:dyDescent="0.25">
      <c r="A362">
        <v>11741433</v>
      </c>
    </row>
    <row r="363" spans="1:1" x14ac:dyDescent="0.25">
      <c r="A363">
        <v>11740914</v>
      </c>
    </row>
    <row r="364" spans="1:1" x14ac:dyDescent="0.25">
      <c r="A364">
        <v>11740967</v>
      </c>
    </row>
    <row r="365" spans="1:1" x14ac:dyDescent="0.25">
      <c r="A365">
        <v>11740982</v>
      </c>
    </row>
    <row r="366" spans="1:1" x14ac:dyDescent="0.25">
      <c r="A366">
        <v>11600344</v>
      </c>
    </row>
    <row r="367" spans="1:1" x14ac:dyDescent="0.25">
      <c r="A367">
        <v>12013373</v>
      </c>
    </row>
    <row r="368" spans="1:1" x14ac:dyDescent="0.25">
      <c r="A368">
        <v>11889570</v>
      </c>
    </row>
    <row r="369" spans="1:1" x14ac:dyDescent="0.25">
      <c r="A369">
        <v>11832504</v>
      </c>
    </row>
    <row r="370" spans="1:1" x14ac:dyDescent="0.25">
      <c r="A370">
        <v>11817312</v>
      </c>
    </row>
    <row r="371" spans="1:1" x14ac:dyDescent="0.25">
      <c r="A371">
        <v>11817562</v>
      </c>
    </row>
    <row r="372" spans="1:1" x14ac:dyDescent="0.25">
      <c r="A372">
        <v>11817754</v>
      </c>
    </row>
    <row r="373" spans="1:1" x14ac:dyDescent="0.25">
      <c r="A373">
        <v>11817815</v>
      </c>
    </row>
    <row r="374" spans="1:1" x14ac:dyDescent="0.25">
      <c r="A374">
        <v>11831953</v>
      </c>
    </row>
    <row r="375" spans="1:1" x14ac:dyDescent="0.25">
      <c r="A375">
        <v>11070133</v>
      </c>
    </row>
    <row r="376" spans="1:1" x14ac:dyDescent="0.25">
      <c r="A376">
        <v>11068445</v>
      </c>
    </row>
    <row r="377" spans="1:1" x14ac:dyDescent="0.25">
      <c r="A377">
        <v>11068460</v>
      </c>
    </row>
    <row r="378" spans="1:1" x14ac:dyDescent="0.25">
      <c r="A378">
        <v>11067285</v>
      </c>
    </row>
    <row r="379" spans="1:1" x14ac:dyDescent="0.25">
      <c r="A379">
        <v>11997653</v>
      </c>
    </row>
    <row r="380" spans="1:1" x14ac:dyDescent="0.25">
      <c r="A380">
        <v>11832424</v>
      </c>
    </row>
    <row r="381" spans="1:1" x14ac:dyDescent="0.25">
      <c r="A381">
        <v>12013087</v>
      </c>
    </row>
    <row r="382" spans="1:1" x14ac:dyDescent="0.25">
      <c r="A382">
        <v>12013225</v>
      </c>
    </row>
    <row r="383" spans="1:1" x14ac:dyDescent="0.25">
      <c r="A383">
        <v>11817176</v>
      </c>
    </row>
    <row r="384" spans="1:1" x14ac:dyDescent="0.25">
      <c r="A384">
        <v>11817209</v>
      </c>
    </row>
    <row r="385" spans="1:1" x14ac:dyDescent="0.25">
      <c r="A385">
        <v>12013244</v>
      </c>
    </row>
    <row r="386" spans="1:1" x14ac:dyDescent="0.25">
      <c r="A386">
        <v>11890649</v>
      </c>
    </row>
    <row r="387" spans="1:1" x14ac:dyDescent="0.25">
      <c r="A387">
        <v>11997578</v>
      </c>
    </row>
    <row r="388" spans="1:1" x14ac:dyDescent="0.25">
      <c r="A388">
        <v>11899637</v>
      </c>
    </row>
    <row r="389" spans="1:1" x14ac:dyDescent="0.25">
      <c r="A389">
        <v>12011806</v>
      </c>
    </row>
    <row r="390" spans="1:1" x14ac:dyDescent="0.25">
      <c r="A390">
        <v>12012359</v>
      </c>
    </row>
    <row r="391" spans="1:1" x14ac:dyDescent="0.25">
      <c r="A391">
        <v>11067204</v>
      </c>
    </row>
    <row r="392" spans="1:1" x14ac:dyDescent="0.25">
      <c r="A392">
        <v>12013259</v>
      </c>
    </row>
    <row r="393" spans="1:1" x14ac:dyDescent="0.25">
      <c r="A393">
        <v>12013280</v>
      </c>
    </row>
    <row r="394" spans="1:1" x14ac:dyDescent="0.25">
      <c r="A394">
        <v>11757420</v>
      </c>
    </row>
    <row r="395" spans="1:1" x14ac:dyDescent="0.25">
      <c r="A395">
        <v>11831938</v>
      </c>
    </row>
    <row r="396" spans="1:1" x14ac:dyDescent="0.25">
      <c r="A396">
        <v>11773509</v>
      </c>
    </row>
    <row r="397" spans="1:1" x14ac:dyDescent="0.25">
      <c r="A397">
        <v>12011842</v>
      </c>
    </row>
    <row r="398" spans="1:1" x14ac:dyDescent="0.25">
      <c r="A398">
        <v>11817106</v>
      </c>
    </row>
    <row r="399" spans="1:1" x14ac:dyDescent="0.25">
      <c r="A399">
        <v>11817284</v>
      </c>
    </row>
    <row r="400" spans="1:1" x14ac:dyDescent="0.25">
      <c r="A400">
        <v>11817507</v>
      </c>
    </row>
    <row r="401" spans="1:2" x14ac:dyDescent="0.25">
      <c r="A401">
        <v>11817540</v>
      </c>
    </row>
    <row r="402" spans="1:2" x14ac:dyDescent="0.25">
      <c r="A402">
        <v>11817728</v>
      </c>
    </row>
    <row r="403" spans="1:2" x14ac:dyDescent="0.25">
      <c r="A403">
        <v>11817779</v>
      </c>
    </row>
    <row r="404" spans="1:2" x14ac:dyDescent="0.25">
      <c r="A404">
        <v>11817943</v>
      </c>
    </row>
    <row r="405" spans="1:2" x14ac:dyDescent="0.25">
      <c r="A405">
        <v>11817970</v>
      </c>
    </row>
    <row r="406" spans="1:2" x14ac:dyDescent="0.25">
      <c r="A406">
        <v>11817857</v>
      </c>
    </row>
    <row r="407" spans="1:2" x14ac:dyDescent="0.25">
      <c r="A407">
        <v>10630317</v>
      </c>
      <c r="B407" t="s">
        <v>570</v>
      </c>
    </row>
    <row r="408" spans="1:2" x14ac:dyDescent="0.25">
      <c r="A408">
        <v>11096675</v>
      </c>
      <c r="B408" t="s">
        <v>570</v>
      </c>
    </row>
    <row r="409" spans="1:2" x14ac:dyDescent="0.25">
      <c r="A409">
        <v>10697418</v>
      </c>
      <c r="B409" t="s">
        <v>569</v>
      </c>
    </row>
    <row r="410" spans="1:2" x14ac:dyDescent="0.25">
      <c r="A410">
        <v>11507173</v>
      </c>
      <c r="B410" t="s">
        <v>569</v>
      </c>
    </row>
    <row r="411" spans="1:2" x14ac:dyDescent="0.25">
      <c r="A411">
        <v>11508459</v>
      </c>
      <c r="B411" t="s">
        <v>569</v>
      </c>
    </row>
    <row r="412" spans="1:2" x14ac:dyDescent="0.25">
      <c r="A412">
        <v>10583824</v>
      </c>
      <c r="B412" t="s">
        <v>569</v>
      </c>
    </row>
    <row r="413" spans="1:2" x14ac:dyDescent="0.25">
      <c r="A413">
        <v>10873644</v>
      </c>
      <c r="B413" t="s">
        <v>572</v>
      </c>
    </row>
    <row r="414" spans="1:2" x14ac:dyDescent="0.25">
      <c r="A414">
        <v>11544104</v>
      </c>
      <c r="B414" t="s">
        <v>569</v>
      </c>
    </row>
    <row r="415" spans="1:2" x14ac:dyDescent="0.25">
      <c r="A415">
        <v>10596858</v>
      </c>
      <c r="B415" t="s">
        <v>569</v>
      </c>
    </row>
    <row r="416" spans="1:2" x14ac:dyDescent="0.25">
      <c r="A416">
        <v>11843144</v>
      </c>
      <c r="B416" t="s">
        <v>568</v>
      </c>
    </row>
    <row r="417" spans="1:2" x14ac:dyDescent="0.25">
      <c r="A417">
        <v>11906028</v>
      </c>
      <c r="B417" t="s">
        <v>569</v>
      </c>
    </row>
    <row r="418" spans="1:2" x14ac:dyDescent="0.25">
      <c r="A418">
        <v>10973405</v>
      </c>
      <c r="B418" t="s">
        <v>570</v>
      </c>
    </row>
    <row r="419" spans="1:2" x14ac:dyDescent="0.25">
      <c r="A419">
        <v>11381359</v>
      </c>
      <c r="B419" t="s">
        <v>570</v>
      </c>
    </row>
    <row r="420" spans="1:2" x14ac:dyDescent="0.25">
      <c r="A420">
        <v>11089424</v>
      </c>
      <c r="B420" t="s">
        <v>572</v>
      </c>
    </row>
    <row r="421" spans="1:2" x14ac:dyDescent="0.25">
      <c r="A421">
        <v>11378172</v>
      </c>
      <c r="B421" t="s">
        <v>569</v>
      </c>
    </row>
    <row r="422" spans="1:2" x14ac:dyDescent="0.25">
      <c r="A422">
        <v>10566317</v>
      </c>
      <c r="B422" t="s">
        <v>569</v>
      </c>
    </row>
    <row r="423" spans="1:2" x14ac:dyDescent="0.25">
      <c r="A423">
        <v>11238517</v>
      </c>
      <c r="B423" t="s">
        <v>572</v>
      </c>
    </row>
    <row r="424" spans="1:2" x14ac:dyDescent="0.25">
      <c r="A424">
        <v>10639628</v>
      </c>
    </row>
    <row r="425" spans="1:2" x14ac:dyDescent="0.25">
      <c r="A425">
        <v>11278708</v>
      </c>
      <c r="B425" t="s">
        <v>569</v>
      </c>
    </row>
    <row r="426" spans="1:2" x14ac:dyDescent="0.25">
      <c r="A426">
        <v>10831945</v>
      </c>
      <c r="B426" t="s">
        <v>568</v>
      </c>
    </row>
    <row r="427" spans="1:2" x14ac:dyDescent="0.25">
      <c r="A427">
        <v>10982578</v>
      </c>
      <c r="B427" t="s">
        <v>568</v>
      </c>
    </row>
    <row r="428" spans="1:2" x14ac:dyDescent="0.25">
      <c r="A428">
        <v>12024523</v>
      </c>
      <c r="B428" t="s">
        <v>569</v>
      </c>
    </row>
    <row r="429" spans="1:2" x14ac:dyDescent="0.25">
      <c r="A429">
        <v>10955140</v>
      </c>
      <c r="B429" t="s">
        <v>569</v>
      </c>
    </row>
    <row r="430" spans="1:2" x14ac:dyDescent="0.25">
      <c r="A430">
        <v>11693180</v>
      </c>
      <c r="B430" t="s">
        <v>570</v>
      </c>
    </row>
    <row r="431" spans="1:2" x14ac:dyDescent="0.25">
      <c r="A431">
        <v>10700751</v>
      </c>
      <c r="B431" t="s">
        <v>569</v>
      </c>
    </row>
    <row r="432" spans="1:2" x14ac:dyDescent="0.25">
      <c r="A432">
        <v>10741561</v>
      </c>
      <c r="B432" t="s">
        <v>570</v>
      </c>
    </row>
    <row r="433" spans="1:2" x14ac:dyDescent="0.25">
      <c r="A433">
        <v>11063476</v>
      </c>
      <c r="B433" t="s">
        <v>569</v>
      </c>
    </row>
    <row r="434" spans="1:2" x14ac:dyDescent="0.25">
      <c r="A434">
        <v>11577253</v>
      </c>
      <c r="B434" t="s">
        <v>569</v>
      </c>
    </row>
    <row r="435" spans="1:2" x14ac:dyDescent="0.25">
      <c r="A435">
        <v>11603854</v>
      </c>
      <c r="B435" t="s">
        <v>570</v>
      </c>
    </row>
    <row r="436" spans="1:2" x14ac:dyDescent="0.25">
      <c r="A436">
        <v>10749012</v>
      </c>
      <c r="B436" t="s">
        <v>572</v>
      </c>
    </row>
    <row r="437" spans="1:2" x14ac:dyDescent="0.25">
      <c r="A437">
        <v>11559327</v>
      </c>
      <c r="B437" t="s">
        <v>571</v>
      </c>
    </row>
    <row r="438" spans="1:2" x14ac:dyDescent="0.25">
      <c r="A438">
        <v>11361839</v>
      </c>
      <c r="B438" t="s">
        <v>570</v>
      </c>
    </row>
    <row r="439" spans="1:2" x14ac:dyDescent="0.25">
      <c r="A439">
        <v>10681703</v>
      </c>
      <c r="B439" t="s">
        <v>569</v>
      </c>
    </row>
    <row r="440" spans="1:2" x14ac:dyDescent="0.25">
      <c r="A440">
        <v>11552018</v>
      </c>
      <c r="B440" t="s">
        <v>568</v>
      </c>
    </row>
    <row r="441" spans="1:2" x14ac:dyDescent="0.25">
      <c r="A441">
        <v>11557819</v>
      </c>
      <c r="B441" t="s">
        <v>569</v>
      </c>
    </row>
    <row r="442" spans="1:2" x14ac:dyDescent="0.25">
      <c r="A442">
        <v>11456879</v>
      </c>
      <c r="B442" t="s">
        <v>569</v>
      </c>
    </row>
    <row r="443" spans="1:2" x14ac:dyDescent="0.25">
      <c r="A443">
        <v>11354531</v>
      </c>
      <c r="B443" t="s">
        <v>570</v>
      </c>
    </row>
    <row r="444" spans="1:2" x14ac:dyDescent="0.25">
      <c r="A444">
        <v>11451537</v>
      </c>
      <c r="B444" t="s">
        <v>572</v>
      </c>
    </row>
    <row r="445" spans="1:2" x14ac:dyDescent="0.25">
      <c r="A445">
        <v>11604211</v>
      </c>
      <c r="B445" t="s">
        <v>569</v>
      </c>
    </row>
    <row r="446" spans="1:2" x14ac:dyDescent="0.25">
      <c r="A446">
        <v>11358865</v>
      </c>
      <c r="B446" t="s">
        <v>570</v>
      </c>
    </row>
    <row r="447" spans="1:2" x14ac:dyDescent="0.25">
      <c r="A447">
        <v>11629274</v>
      </c>
      <c r="B447" t="s">
        <v>569</v>
      </c>
    </row>
    <row r="448" spans="1:2" x14ac:dyDescent="0.25">
      <c r="A448">
        <v>10626886</v>
      </c>
      <c r="B448" t="s">
        <v>569</v>
      </c>
    </row>
    <row r="449" spans="1:2" x14ac:dyDescent="0.25">
      <c r="A449">
        <v>11573016</v>
      </c>
      <c r="B449" t="s">
        <v>572</v>
      </c>
    </row>
    <row r="450" spans="1:2" x14ac:dyDescent="0.25">
      <c r="A450">
        <v>11705265</v>
      </c>
      <c r="B450" t="s">
        <v>568</v>
      </c>
    </row>
    <row r="451" spans="1:2" x14ac:dyDescent="0.25">
      <c r="A451">
        <v>10700341</v>
      </c>
      <c r="B451" t="s">
        <v>570</v>
      </c>
    </row>
    <row r="452" spans="1:2" x14ac:dyDescent="0.25">
      <c r="A452">
        <v>11899897</v>
      </c>
      <c r="B452" t="s">
        <v>568</v>
      </c>
    </row>
    <row r="453" spans="1:2" x14ac:dyDescent="0.25">
      <c r="A453">
        <v>10691985</v>
      </c>
      <c r="B453" t="s">
        <v>569</v>
      </c>
    </row>
    <row r="454" spans="1:2" x14ac:dyDescent="0.25">
      <c r="A454">
        <v>11543442</v>
      </c>
      <c r="B454" t="s">
        <v>568</v>
      </c>
    </row>
    <row r="455" spans="1:2" x14ac:dyDescent="0.25">
      <c r="A455">
        <v>11497559</v>
      </c>
      <c r="B455" t="s">
        <v>568</v>
      </c>
    </row>
    <row r="456" spans="1:2" x14ac:dyDescent="0.25">
      <c r="A456">
        <v>11393874</v>
      </c>
      <c r="B456" t="s">
        <v>568</v>
      </c>
    </row>
    <row r="457" spans="1:2" x14ac:dyDescent="0.25">
      <c r="A457">
        <v>10808173</v>
      </c>
      <c r="B457" t="s">
        <v>572</v>
      </c>
    </row>
    <row r="458" spans="1:2" x14ac:dyDescent="0.25">
      <c r="A458">
        <v>10918335</v>
      </c>
      <c r="B458" t="s">
        <v>572</v>
      </c>
    </row>
    <row r="459" spans="1:2" x14ac:dyDescent="0.25">
      <c r="A459">
        <v>11558932</v>
      </c>
      <c r="B459" t="s">
        <v>569</v>
      </c>
    </row>
    <row r="460" spans="1:2" x14ac:dyDescent="0.25">
      <c r="A460">
        <v>11634655</v>
      </c>
      <c r="B460" t="s">
        <v>568</v>
      </c>
    </row>
    <row r="461" spans="1:2" x14ac:dyDescent="0.25">
      <c r="A461">
        <v>11606409</v>
      </c>
      <c r="B461" t="s">
        <v>569</v>
      </c>
    </row>
    <row r="462" spans="1:2" x14ac:dyDescent="0.25">
      <c r="A462">
        <v>10800533</v>
      </c>
      <c r="B462" t="s">
        <v>569</v>
      </c>
    </row>
    <row r="463" spans="1:2" x14ac:dyDescent="0.25">
      <c r="A463">
        <v>11419977</v>
      </c>
      <c r="B463" t="s">
        <v>569</v>
      </c>
    </row>
    <row r="464" spans="1:2" x14ac:dyDescent="0.25">
      <c r="A464">
        <v>11686300</v>
      </c>
      <c r="B464" t="s">
        <v>569</v>
      </c>
    </row>
    <row r="465" spans="1:2" x14ac:dyDescent="0.25">
      <c r="A465">
        <v>11720665</v>
      </c>
      <c r="B465" t="s">
        <v>570</v>
      </c>
    </row>
    <row r="466" spans="1:2" x14ac:dyDescent="0.25">
      <c r="A466">
        <v>11016916</v>
      </c>
      <c r="B466" t="s">
        <v>569</v>
      </c>
    </row>
    <row r="467" spans="1:2" x14ac:dyDescent="0.25">
      <c r="A467">
        <v>10750150</v>
      </c>
      <c r="B467" t="s">
        <v>569</v>
      </c>
    </row>
    <row r="468" spans="1:2" x14ac:dyDescent="0.25">
      <c r="A468">
        <v>10884778</v>
      </c>
      <c r="B468" t="s">
        <v>568</v>
      </c>
    </row>
    <row r="469" spans="1:2" x14ac:dyDescent="0.25">
      <c r="A469">
        <v>10939883</v>
      </c>
      <c r="B469" t="s">
        <v>568</v>
      </c>
    </row>
    <row r="470" spans="1:2" x14ac:dyDescent="0.25">
      <c r="A470">
        <v>11424189</v>
      </c>
      <c r="B470" t="s">
        <v>572</v>
      </c>
    </row>
    <row r="471" spans="1:2" x14ac:dyDescent="0.25">
      <c r="A471">
        <v>10699973</v>
      </c>
      <c r="B471" t="s">
        <v>572</v>
      </c>
    </row>
    <row r="472" spans="1:2" x14ac:dyDescent="0.25">
      <c r="A472">
        <v>10782637</v>
      </c>
      <c r="B472" t="s">
        <v>568</v>
      </c>
    </row>
    <row r="473" spans="1:2" x14ac:dyDescent="0.25">
      <c r="A473">
        <v>10623536</v>
      </c>
      <c r="B473" t="s">
        <v>569</v>
      </c>
    </row>
    <row r="474" spans="1:2" x14ac:dyDescent="0.25">
      <c r="A474">
        <v>11580101</v>
      </c>
      <c r="B474" t="s">
        <v>569</v>
      </c>
    </row>
    <row r="475" spans="1:2" x14ac:dyDescent="0.25">
      <c r="A475">
        <v>11205931</v>
      </c>
      <c r="B475" t="s">
        <v>568</v>
      </c>
    </row>
    <row r="476" spans="1:2" x14ac:dyDescent="0.25">
      <c r="A476">
        <v>11379021</v>
      </c>
      <c r="B476" t="s">
        <v>569</v>
      </c>
    </row>
    <row r="477" spans="1:2" x14ac:dyDescent="0.25">
      <c r="A477">
        <v>11229198</v>
      </c>
      <c r="B477" t="s">
        <v>570</v>
      </c>
    </row>
    <row r="478" spans="1:2" x14ac:dyDescent="0.25">
      <c r="A478">
        <v>11792213</v>
      </c>
      <c r="B478" t="s">
        <v>571</v>
      </c>
    </row>
    <row r="479" spans="1:2" x14ac:dyDescent="0.25">
      <c r="A479">
        <v>11405987</v>
      </c>
      <c r="B479" t="s">
        <v>568</v>
      </c>
    </row>
    <row r="480" spans="1:2" x14ac:dyDescent="0.25">
      <c r="A480">
        <v>10714472</v>
      </c>
      <c r="B480" t="s">
        <v>569</v>
      </c>
    </row>
    <row r="481" spans="1:2" x14ac:dyDescent="0.25">
      <c r="A481">
        <v>10921075</v>
      </c>
      <c r="B481" t="s">
        <v>569</v>
      </c>
    </row>
    <row r="482" spans="1:2" x14ac:dyDescent="0.25">
      <c r="A482">
        <v>10596750</v>
      </c>
      <c r="B482" t="s">
        <v>570</v>
      </c>
    </row>
    <row r="483" spans="1:2" x14ac:dyDescent="0.25">
      <c r="A483">
        <v>10932494</v>
      </c>
      <c r="B483" t="s">
        <v>570</v>
      </c>
    </row>
    <row r="484" spans="1:2" x14ac:dyDescent="0.25">
      <c r="A484">
        <v>11611681</v>
      </c>
      <c r="B484" t="s">
        <v>569</v>
      </c>
    </row>
    <row r="485" spans="1:2" x14ac:dyDescent="0.25">
      <c r="A485">
        <v>11131503</v>
      </c>
      <c r="B485" t="s">
        <v>569</v>
      </c>
    </row>
    <row r="486" spans="1:2" x14ac:dyDescent="0.25">
      <c r="A486">
        <v>10923434</v>
      </c>
      <c r="B486" t="s">
        <v>568</v>
      </c>
    </row>
    <row r="487" spans="1:2" x14ac:dyDescent="0.25">
      <c r="A487">
        <v>12025086</v>
      </c>
      <c r="B487" t="s">
        <v>568</v>
      </c>
    </row>
    <row r="488" spans="1:2" x14ac:dyDescent="0.25">
      <c r="A488">
        <v>10800572</v>
      </c>
      <c r="B488" t="s">
        <v>569</v>
      </c>
    </row>
    <row r="489" spans="1:2" x14ac:dyDescent="0.25">
      <c r="A489">
        <v>11067209</v>
      </c>
      <c r="B489" t="s">
        <v>570</v>
      </c>
    </row>
    <row r="490" spans="1:2" x14ac:dyDescent="0.25">
      <c r="A490">
        <v>10848984</v>
      </c>
      <c r="B490" t="s">
        <v>568</v>
      </c>
    </row>
    <row r="491" spans="1:2" x14ac:dyDescent="0.25">
      <c r="A491">
        <v>10893550</v>
      </c>
      <c r="B491" t="s">
        <v>568</v>
      </c>
    </row>
    <row r="492" spans="1:2" x14ac:dyDescent="0.25">
      <c r="A492">
        <v>10824528</v>
      </c>
      <c r="B492" t="s">
        <v>569</v>
      </c>
    </row>
    <row r="493" spans="1:2" x14ac:dyDescent="0.25">
      <c r="A493">
        <v>11593009</v>
      </c>
      <c r="B493" t="s">
        <v>569</v>
      </c>
    </row>
    <row r="494" spans="1:2" x14ac:dyDescent="0.25">
      <c r="A494">
        <v>10623079</v>
      </c>
      <c r="B494" t="s">
        <v>570</v>
      </c>
    </row>
    <row r="495" spans="1:2" x14ac:dyDescent="0.25">
      <c r="A495">
        <v>10595345</v>
      </c>
      <c r="B495" t="s">
        <v>569</v>
      </c>
    </row>
    <row r="496" spans="1:2" x14ac:dyDescent="0.25">
      <c r="A496">
        <v>11847311</v>
      </c>
      <c r="B496" t="s">
        <v>569</v>
      </c>
    </row>
    <row r="497" spans="1:2" x14ac:dyDescent="0.25">
      <c r="A497">
        <v>10583012</v>
      </c>
      <c r="B497" t="s">
        <v>569</v>
      </c>
    </row>
    <row r="498" spans="1:2" x14ac:dyDescent="0.25">
      <c r="A498">
        <v>11402457</v>
      </c>
      <c r="B498" t="s">
        <v>569</v>
      </c>
    </row>
    <row r="499" spans="1:2" x14ac:dyDescent="0.25">
      <c r="A499">
        <v>11561180</v>
      </c>
      <c r="B499" t="s">
        <v>568</v>
      </c>
    </row>
    <row r="500" spans="1:2" x14ac:dyDescent="0.25">
      <c r="A500">
        <v>10827980</v>
      </c>
      <c r="B500" t="s">
        <v>572</v>
      </c>
    </row>
    <row r="501" spans="1:2" x14ac:dyDescent="0.25">
      <c r="A501">
        <v>11348270</v>
      </c>
      <c r="B501" t="s">
        <v>568</v>
      </c>
    </row>
    <row r="502" spans="1:2" x14ac:dyDescent="0.25">
      <c r="A502">
        <v>10940809</v>
      </c>
      <c r="B502" t="s">
        <v>572</v>
      </c>
    </row>
    <row r="503" spans="1:2" x14ac:dyDescent="0.25">
      <c r="A503">
        <v>11193291</v>
      </c>
      <c r="B503" t="s">
        <v>570</v>
      </c>
    </row>
    <row r="504" spans="1:2" x14ac:dyDescent="0.25">
      <c r="A504">
        <v>11668093</v>
      </c>
      <c r="B504" t="s">
        <v>570</v>
      </c>
    </row>
    <row r="505" spans="1:2" x14ac:dyDescent="0.25">
      <c r="A505">
        <v>10658821</v>
      </c>
      <c r="B505" t="s">
        <v>568</v>
      </c>
    </row>
    <row r="506" spans="1:2" x14ac:dyDescent="0.25">
      <c r="A506">
        <v>11434027</v>
      </c>
      <c r="B506" t="s">
        <v>573</v>
      </c>
    </row>
    <row r="507" spans="1:2" x14ac:dyDescent="0.25">
      <c r="A507">
        <v>10795841</v>
      </c>
      <c r="B507" t="s">
        <v>570</v>
      </c>
    </row>
    <row r="508" spans="1:2" x14ac:dyDescent="0.25">
      <c r="A508">
        <v>11831921</v>
      </c>
      <c r="B508" t="s">
        <v>569</v>
      </c>
    </row>
    <row r="509" spans="1:2" x14ac:dyDescent="0.25">
      <c r="A509">
        <v>11425056</v>
      </c>
      <c r="B509" t="s">
        <v>569</v>
      </c>
    </row>
    <row r="510" spans="1:2" x14ac:dyDescent="0.25">
      <c r="A510">
        <v>11416829</v>
      </c>
      <c r="B510" t="s">
        <v>568</v>
      </c>
    </row>
    <row r="511" spans="1:2" x14ac:dyDescent="0.25">
      <c r="A511">
        <v>10730410</v>
      </c>
      <c r="B511" t="s">
        <v>572</v>
      </c>
    </row>
    <row r="512" spans="1:2" x14ac:dyDescent="0.25">
      <c r="A512">
        <v>11252877</v>
      </c>
      <c r="B512" t="s">
        <v>569</v>
      </c>
    </row>
    <row r="513" spans="1:2" x14ac:dyDescent="0.25">
      <c r="A513">
        <v>11879790</v>
      </c>
      <c r="B513" t="s">
        <v>568</v>
      </c>
    </row>
    <row r="514" spans="1:2" x14ac:dyDescent="0.25">
      <c r="A514">
        <v>11702139</v>
      </c>
      <c r="B514" t="s">
        <v>569</v>
      </c>
    </row>
    <row r="515" spans="1:2" x14ac:dyDescent="0.25">
      <c r="A515">
        <v>11271339</v>
      </c>
      <c r="B515" t="s">
        <v>568</v>
      </c>
    </row>
    <row r="516" spans="1:2" x14ac:dyDescent="0.25">
      <c r="A516">
        <v>10861677</v>
      </c>
      <c r="B516" t="s">
        <v>570</v>
      </c>
    </row>
    <row r="517" spans="1:2" x14ac:dyDescent="0.25">
      <c r="A517">
        <v>11027461</v>
      </c>
      <c r="B517" t="s">
        <v>570</v>
      </c>
    </row>
    <row r="518" spans="1:2" x14ac:dyDescent="0.25">
      <c r="A518">
        <v>11197293</v>
      </c>
      <c r="B518" t="s">
        <v>568</v>
      </c>
    </row>
    <row r="519" spans="1:2" x14ac:dyDescent="0.25">
      <c r="A519">
        <v>11723155</v>
      </c>
      <c r="B519" t="s">
        <v>572</v>
      </c>
    </row>
    <row r="520" spans="1:2" x14ac:dyDescent="0.25">
      <c r="A520">
        <v>11406903</v>
      </c>
      <c r="B520" t="s">
        <v>569</v>
      </c>
    </row>
    <row r="521" spans="1:2" x14ac:dyDescent="0.25">
      <c r="A521">
        <v>10829028</v>
      </c>
      <c r="B521" t="s">
        <v>569</v>
      </c>
    </row>
    <row r="522" spans="1:2" x14ac:dyDescent="0.25">
      <c r="A522">
        <v>11606762</v>
      </c>
      <c r="B522" t="s">
        <v>569</v>
      </c>
    </row>
    <row r="523" spans="1:2" x14ac:dyDescent="0.25">
      <c r="A523">
        <v>11068661</v>
      </c>
      <c r="B523" t="s">
        <v>570</v>
      </c>
    </row>
    <row r="524" spans="1:2" x14ac:dyDescent="0.25">
      <c r="A524">
        <v>11433631</v>
      </c>
      <c r="B524" t="s">
        <v>572</v>
      </c>
    </row>
    <row r="525" spans="1:2" x14ac:dyDescent="0.25">
      <c r="A525">
        <v>10596002</v>
      </c>
      <c r="B525" t="s">
        <v>568</v>
      </c>
    </row>
    <row r="526" spans="1:2" x14ac:dyDescent="0.25">
      <c r="A526">
        <v>10876950</v>
      </c>
      <c r="B526" t="s">
        <v>570</v>
      </c>
    </row>
    <row r="527" spans="1:2" x14ac:dyDescent="0.25">
      <c r="A527">
        <v>10882580</v>
      </c>
      <c r="B527" t="s">
        <v>572</v>
      </c>
    </row>
    <row r="528" spans="1:2" x14ac:dyDescent="0.25">
      <c r="A528">
        <v>10938307</v>
      </c>
      <c r="B528" t="s">
        <v>569</v>
      </c>
    </row>
    <row r="529" spans="1:2" x14ac:dyDescent="0.25">
      <c r="A529">
        <v>11559384</v>
      </c>
      <c r="B529" t="s">
        <v>569</v>
      </c>
    </row>
    <row r="530" spans="1:2" x14ac:dyDescent="0.25">
      <c r="A530">
        <v>11539094</v>
      </c>
      <c r="B530" t="s">
        <v>570</v>
      </c>
    </row>
    <row r="531" spans="1:2" x14ac:dyDescent="0.25">
      <c r="A531">
        <v>11505536</v>
      </c>
      <c r="B531" t="s">
        <v>572</v>
      </c>
    </row>
    <row r="532" spans="1:2" x14ac:dyDescent="0.25">
      <c r="A532">
        <v>10770176</v>
      </c>
      <c r="B532" t="s">
        <v>572</v>
      </c>
    </row>
    <row r="533" spans="1:2" x14ac:dyDescent="0.25">
      <c r="A533">
        <v>11385847</v>
      </c>
      <c r="B533" t="s">
        <v>569</v>
      </c>
    </row>
    <row r="534" spans="1:2" x14ac:dyDescent="0.25">
      <c r="A534">
        <v>11553893</v>
      </c>
      <c r="B534" t="s">
        <v>572</v>
      </c>
    </row>
    <row r="535" spans="1:2" x14ac:dyDescent="0.25">
      <c r="A535">
        <v>11905344</v>
      </c>
      <c r="B535" t="s">
        <v>570</v>
      </c>
    </row>
    <row r="536" spans="1:2" x14ac:dyDescent="0.25">
      <c r="A536">
        <v>11570421</v>
      </c>
      <c r="B536" t="s">
        <v>569</v>
      </c>
    </row>
    <row r="537" spans="1:2" x14ac:dyDescent="0.25">
      <c r="A537">
        <v>11007572</v>
      </c>
      <c r="B537" t="s">
        <v>570</v>
      </c>
    </row>
    <row r="538" spans="1:2" x14ac:dyDescent="0.25">
      <c r="A538">
        <v>10857291</v>
      </c>
      <c r="B538" t="s">
        <v>572</v>
      </c>
    </row>
    <row r="539" spans="1:2" x14ac:dyDescent="0.25">
      <c r="A539">
        <v>11600361</v>
      </c>
      <c r="B539" t="s">
        <v>569</v>
      </c>
    </row>
    <row r="540" spans="1:2" x14ac:dyDescent="0.25">
      <c r="A540">
        <v>10588433</v>
      </c>
      <c r="B540" t="s">
        <v>569</v>
      </c>
    </row>
    <row r="541" spans="1:2" x14ac:dyDescent="0.25">
      <c r="A541">
        <v>10609110</v>
      </c>
      <c r="B541" t="s">
        <v>570</v>
      </c>
    </row>
    <row r="542" spans="1:2" x14ac:dyDescent="0.25">
      <c r="A542">
        <v>11457922</v>
      </c>
      <c r="B542" t="s">
        <v>570</v>
      </c>
    </row>
    <row r="543" spans="1:2" x14ac:dyDescent="0.25">
      <c r="A543">
        <v>11405888</v>
      </c>
      <c r="B543" t="s">
        <v>568</v>
      </c>
    </row>
    <row r="544" spans="1:2" x14ac:dyDescent="0.25">
      <c r="A544">
        <v>11600276</v>
      </c>
      <c r="B544" t="s">
        <v>570</v>
      </c>
    </row>
    <row r="545" spans="1:2" x14ac:dyDescent="0.25">
      <c r="A545">
        <v>10704692</v>
      </c>
      <c r="B545" t="s">
        <v>569</v>
      </c>
    </row>
    <row r="546" spans="1:2" x14ac:dyDescent="0.25">
      <c r="A546">
        <v>10638715</v>
      </c>
      <c r="B546" t="s">
        <v>572</v>
      </c>
    </row>
    <row r="547" spans="1:2" x14ac:dyDescent="0.25">
      <c r="A547">
        <v>10793286</v>
      </c>
      <c r="B547" t="s">
        <v>569</v>
      </c>
    </row>
    <row r="548" spans="1:2" x14ac:dyDescent="0.25">
      <c r="A548">
        <v>10758645</v>
      </c>
      <c r="B548" t="s">
        <v>570</v>
      </c>
    </row>
    <row r="549" spans="1:2" x14ac:dyDescent="0.25">
      <c r="A549">
        <v>10852088</v>
      </c>
      <c r="B549" t="s">
        <v>568</v>
      </c>
    </row>
    <row r="550" spans="1:2" x14ac:dyDescent="0.25">
      <c r="A550">
        <v>10639119</v>
      </c>
      <c r="B550" t="s">
        <v>569</v>
      </c>
    </row>
    <row r="551" spans="1:2" x14ac:dyDescent="0.25">
      <c r="A551">
        <v>11929300</v>
      </c>
      <c r="B551" t="s">
        <v>572</v>
      </c>
    </row>
    <row r="552" spans="1:2" x14ac:dyDescent="0.25">
      <c r="A552">
        <v>11710981</v>
      </c>
      <c r="B552" t="s">
        <v>568</v>
      </c>
    </row>
    <row r="553" spans="1:2" x14ac:dyDescent="0.25">
      <c r="A553">
        <v>10598370</v>
      </c>
      <c r="B553" t="s">
        <v>569</v>
      </c>
    </row>
    <row r="554" spans="1:2" x14ac:dyDescent="0.25">
      <c r="A554">
        <v>10676625</v>
      </c>
      <c r="B554" t="s">
        <v>568</v>
      </c>
    </row>
    <row r="555" spans="1:2" x14ac:dyDescent="0.25">
      <c r="A555">
        <v>11921737</v>
      </c>
      <c r="B555" t="s">
        <v>569</v>
      </c>
    </row>
    <row r="556" spans="1:2" x14ac:dyDescent="0.25">
      <c r="A556">
        <v>10724498</v>
      </c>
      <c r="B556" t="s">
        <v>568</v>
      </c>
    </row>
    <row r="557" spans="1:2" x14ac:dyDescent="0.25">
      <c r="A557">
        <v>11635289</v>
      </c>
      <c r="B557" t="s">
        <v>571</v>
      </c>
    </row>
    <row r="558" spans="1:2" x14ac:dyDescent="0.25">
      <c r="A558">
        <v>10747347</v>
      </c>
      <c r="B558" t="s">
        <v>570</v>
      </c>
    </row>
    <row r="559" spans="1:2" x14ac:dyDescent="0.25">
      <c r="A559">
        <v>11999381</v>
      </c>
      <c r="B559" t="s">
        <v>570</v>
      </c>
    </row>
    <row r="560" spans="1:2" x14ac:dyDescent="0.25">
      <c r="A560">
        <v>11012233</v>
      </c>
      <c r="B560" t="s">
        <v>569</v>
      </c>
    </row>
    <row r="561" spans="1:2" x14ac:dyDescent="0.25">
      <c r="A561">
        <v>11373937</v>
      </c>
      <c r="B561" t="s">
        <v>570</v>
      </c>
    </row>
    <row r="562" spans="1:2" x14ac:dyDescent="0.25">
      <c r="A562">
        <v>11464860</v>
      </c>
    </row>
    <row r="563" spans="1:2" x14ac:dyDescent="0.25">
      <c r="A563">
        <v>11496214</v>
      </c>
      <c r="B563" t="s">
        <v>569</v>
      </c>
    </row>
    <row r="564" spans="1:2" x14ac:dyDescent="0.25">
      <c r="A564">
        <v>11434554</v>
      </c>
      <c r="B564" t="s">
        <v>569</v>
      </c>
    </row>
    <row r="565" spans="1:2" x14ac:dyDescent="0.25">
      <c r="A565">
        <v>10843920</v>
      </c>
      <c r="B565" t="s">
        <v>571</v>
      </c>
    </row>
    <row r="566" spans="1:2" x14ac:dyDescent="0.25">
      <c r="A566">
        <v>10949862</v>
      </c>
      <c r="B566" t="s">
        <v>569</v>
      </c>
    </row>
    <row r="567" spans="1:2" x14ac:dyDescent="0.25">
      <c r="A567">
        <v>10822228</v>
      </c>
      <c r="B567" t="s">
        <v>569</v>
      </c>
    </row>
    <row r="568" spans="1:2" x14ac:dyDescent="0.25">
      <c r="A568">
        <v>11271605</v>
      </c>
      <c r="B568" t="s">
        <v>568</v>
      </c>
    </row>
    <row r="569" spans="1:2" x14ac:dyDescent="0.25">
      <c r="A569">
        <v>11600830</v>
      </c>
      <c r="B569" t="s">
        <v>569</v>
      </c>
    </row>
    <row r="570" spans="1:2" x14ac:dyDescent="0.25">
      <c r="A570">
        <v>11739087</v>
      </c>
      <c r="B570" t="s">
        <v>570</v>
      </c>
    </row>
    <row r="571" spans="1:2" x14ac:dyDescent="0.25">
      <c r="A571">
        <v>12007587</v>
      </c>
      <c r="B571" t="s">
        <v>569</v>
      </c>
    </row>
    <row r="572" spans="1:2" x14ac:dyDescent="0.25">
      <c r="A572">
        <v>11847721</v>
      </c>
      <c r="B572" t="s">
        <v>570</v>
      </c>
    </row>
    <row r="573" spans="1:2" x14ac:dyDescent="0.25">
      <c r="A573">
        <v>11607864</v>
      </c>
      <c r="B573" t="s">
        <v>569</v>
      </c>
    </row>
    <row r="574" spans="1:2" x14ac:dyDescent="0.25">
      <c r="A574">
        <v>11959280</v>
      </c>
      <c r="B574" t="s">
        <v>569</v>
      </c>
    </row>
    <row r="575" spans="1:2" x14ac:dyDescent="0.25">
      <c r="A575">
        <v>11407630</v>
      </c>
      <c r="B575" t="s">
        <v>568</v>
      </c>
    </row>
    <row r="576" spans="1:2" x14ac:dyDescent="0.25">
      <c r="A576">
        <v>11358751</v>
      </c>
      <c r="B576" t="s">
        <v>570</v>
      </c>
    </row>
    <row r="577" spans="1:2" x14ac:dyDescent="0.25">
      <c r="A577">
        <v>11500961</v>
      </c>
      <c r="B577" t="s">
        <v>572</v>
      </c>
    </row>
    <row r="578" spans="1:2" x14ac:dyDescent="0.25">
      <c r="A578">
        <v>10919837</v>
      </c>
      <c r="B578" t="s">
        <v>569</v>
      </c>
    </row>
    <row r="579" spans="1:2" x14ac:dyDescent="0.25">
      <c r="A579">
        <v>12012615</v>
      </c>
      <c r="B579" t="s">
        <v>569</v>
      </c>
    </row>
    <row r="580" spans="1:2" x14ac:dyDescent="0.25">
      <c r="A580">
        <v>11038970</v>
      </c>
      <c r="B580" t="s">
        <v>571</v>
      </c>
    </row>
    <row r="581" spans="1:2" x14ac:dyDescent="0.25">
      <c r="A581">
        <v>10623857</v>
      </c>
      <c r="B581" t="s">
        <v>569</v>
      </c>
    </row>
    <row r="582" spans="1:2" x14ac:dyDescent="0.25">
      <c r="A582">
        <v>11591999</v>
      </c>
      <c r="B582" t="s">
        <v>572</v>
      </c>
    </row>
    <row r="583" spans="1:2" x14ac:dyDescent="0.25">
      <c r="A583">
        <v>11835273</v>
      </c>
      <c r="B583" t="s">
        <v>569</v>
      </c>
    </row>
    <row r="584" spans="1:2" x14ac:dyDescent="0.25">
      <c r="A584">
        <v>10948125</v>
      </c>
      <c r="B584" t="s">
        <v>570</v>
      </c>
    </row>
    <row r="585" spans="1:2" x14ac:dyDescent="0.25">
      <c r="A585">
        <v>11751347</v>
      </c>
      <c r="B585" t="s">
        <v>569</v>
      </c>
    </row>
    <row r="586" spans="1:2" x14ac:dyDescent="0.25">
      <c r="A586">
        <v>11642856</v>
      </c>
      <c r="B586" t="s">
        <v>569</v>
      </c>
    </row>
    <row r="587" spans="1:2" x14ac:dyDescent="0.25">
      <c r="A587">
        <v>11289716</v>
      </c>
      <c r="B587" t="s">
        <v>569</v>
      </c>
    </row>
    <row r="588" spans="1:2" x14ac:dyDescent="0.25">
      <c r="A588">
        <v>11679220</v>
      </c>
      <c r="B588" t="s">
        <v>569</v>
      </c>
    </row>
    <row r="589" spans="1:2" x14ac:dyDescent="0.25">
      <c r="A589">
        <v>11661499</v>
      </c>
      <c r="B589" t="s">
        <v>569</v>
      </c>
    </row>
    <row r="590" spans="1:2" x14ac:dyDescent="0.25">
      <c r="A590">
        <v>11632169</v>
      </c>
      <c r="B590" t="s">
        <v>571</v>
      </c>
    </row>
    <row r="591" spans="1:2" x14ac:dyDescent="0.25">
      <c r="A591">
        <v>10918693</v>
      </c>
      <c r="B591" t="s">
        <v>569</v>
      </c>
    </row>
    <row r="592" spans="1:2" x14ac:dyDescent="0.25">
      <c r="A592">
        <v>11543130</v>
      </c>
      <c r="B592" t="s">
        <v>571</v>
      </c>
    </row>
    <row r="593" spans="1:2" x14ac:dyDescent="0.25">
      <c r="A593">
        <v>11557905</v>
      </c>
      <c r="B593" t="s">
        <v>569</v>
      </c>
    </row>
    <row r="594" spans="1:2" x14ac:dyDescent="0.25">
      <c r="A594">
        <v>10947732</v>
      </c>
      <c r="B594" t="s">
        <v>569</v>
      </c>
    </row>
    <row r="595" spans="1:2" x14ac:dyDescent="0.25">
      <c r="A595">
        <v>10911709</v>
      </c>
      <c r="B595" t="s">
        <v>573</v>
      </c>
    </row>
    <row r="596" spans="1:2" x14ac:dyDescent="0.25">
      <c r="A596">
        <v>10920068</v>
      </c>
      <c r="B596" t="s">
        <v>569</v>
      </c>
    </row>
    <row r="597" spans="1:2" x14ac:dyDescent="0.25">
      <c r="A597">
        <v>11010194</v>
      </c>
      <c r="B597" t="s">
        <v>570</v>
      </c>
    </row>
    <row r="598" spans="1:2" x14ac:dyDescent="0.25">
      <c r="A598">
        <v>11599311</v>
      </c>
      <c r="B598" t="s">
        <v>569</v>
      </c>
    </row>
    <row r="599" spans="1:2" x14ac:dyDescent="0.25">
      <c r="A599">
        <v>10954335</v>
      </c>
      <c r="B599" t="s">
        <v>569</v>
      </c>
    </row>
    <row r="600" spans="1:2" x14ac:dyDescent="0.25">
      <c r="A600">
        <v>11871153</v>
      </c>
      <c r="B600" t="s">
        <v>568</v>
      </c>
    </row>
    <row r="601" spans="1:2" x14ac:dyDescent="0.25">
      <c r="A601">
        <v>11492454</v>
      </c>
      <c r="B601" t="s">
        <v>573</v>
      </c>
    </row>
    <row r="602" spans="1:2" x14ac:dyDescent="0.25">
      <c r="A602">
        <v>10746239</v>
      </c>
      <c r="B602" t="s">
        <v>569</v>
      </c>
    </row>
    <row r="603" spans="1:2" x14ac:dyDescent="0.25">
      <c r="A603">
        <v>10926762</v>
      </c>
      <c r="B603" t="s">
        <v>568</v>
      </c>
    </row>
    <row r="604" spans="1:2" x14ac:dyDescent="0.25">
      <c r="A604">
        <v>11894363</v>
      </c>
      <c r="B604" t="s">
        <v>570</v>
      </c>
    </row>
    <row r="605" spans="1:2" x14ac:dyDescent="0.25">
      <c r="A605">
        <v>10936804</v>
      </c>
      <c r="B605" t="s">
        <v>568</v>
      </c>
    </row>
    <row r="606" spans="1:2" x14ac:dyDescent="0.25">
      <c r="A606">
        <v>11555571</v>
      </c>
      <c r="B606" t="s">
        <v>569</v>
      </c>
    </row>
    <row r="607" spans="1:2" x14ac:dyDescent="0.25">
      <c r="A607">
        <v>11335242</v>
      </c>
      <c r="B607" t="s">
        <v>570</v>
      </c>
    </row>
    <row r="608" spans="1:2" x14ac:dyDescent="0.25">
      <c r="A608">
        <v>11453940</v>
      </c>
      <c r="B608" t="s">
        <v>571</v>
      </c>
    </row>
    <row r="609" spans="1:2" x14ac:dyDescent="0.25">
      <c r="A609">
        <v>11640596</v>
      </c>
      <c r="B609" t="s">
        <v>572</v>
      </c>
    </row>
    <row r="610" spans="1:2" x14ac:dyDescent="0.25">
      <c r="A610">
        <v>10607463</v>
      </c>
      <c r="B610" t="s">
        <v>572</v>
      </c>
    </row>
    <row r="611" spans="1:2" x14ac:dyDescent="0.25">
      <c r="A611">
        <v>10828526</v>
      </c>
      <c r="B611" t="s">
        <v>572</v>
      </c>
    </row>
    <row r="612" spans="1:2" x14ac:dyDescent="0.25">
      <c r="A612">
        <v>11009193</v>
      </c>
      <c r="B612" t="s">
        <v>569</v>
      </c>
    </row>
    <row r="613" spans="1:2" x14ac:dyDescent="0.25">
      <c r="A613">
        <v>11006523</v>
      </c>
      <c r="B613" t="s">
        <v>569</v>
      </c>
    </row>
    <row r="614" spans="1:2" x14ac:dyDescent="0.25">
      <c r="A614">
        <v>10906597</v>
      </c>
      <c r="B614" t="s">
        <v>570</v>
      </c>
    </row>
    <row r="615" spans="1:2" x14ac:dyDescent="0.25">
      <c r="A615">
        <v>11847124</v>
      </c>
      <c r="B615" t="s">
        <v>569</v>
      </c>
    </row>
    <row r="616" spans="1:2" x14ac:dyDescent="0.25">
      <c r="A616">
        <v>10700405</v>
      </c>
      <c r="B616" t="s">
        <v>570</v>
      </c>
    </row>
    <row r="617" spans="1:2" x14ac:dyDescent="0.25">
      <c r="A617">
        <v>10851617</v>
      </c>
      <c r="B617" t="s">
        <v>568</v>
      </c>
    </row>
    <row r="618" spans="1:2" x14ac:dyDescent="0.25">
      <c r="A618">
        <v>11740157</v>
      </c>
      <c r="B618" t="s">
        <v>569</v>
      </c>
    </row>
    <row r="619" spans="1:2" x14ac:dyDescent="0.25">
      <c r="A619">
        <v>10921822</v>
      </c>
      <c r="B619" t="s">
        <v>570</v>
      </c>
    </row>
    <row r="620" spans="1:2" x14ac:dyDescent="0.25">
      <c r="A620">
        <v>10721256</v>
      </c>
      <c r="B620" t="s">
        <v>572</v>
      </c>
    </row>
    <row r="621" spans="1:2" x14ac:dyDescent="0.25">
      <c r="A621">
        <v>11728881</v>
      </c>
      <c r="B621" t="s">
        <v>570</v>
      </c>
    </row>
    <row r="622" spans="1:2" x14ac:dyDescent="0.25">
      <c r="A622">
        <v>11766700</v>
      </c>
      <c r="B622" t="s">
        <v>571</v>
      </c>
    </row>
    <row r="623" spans="1:2" x14ac:dyDescent="0.25">
      <c r="A623">
        <v>12006715</v>
      </c>
      <c r="B623" t="s">
        <v>569</v>
      </c>
    </row>
    <row r="624" spans="1:2" x14ac:dyDescent="0.25">
      <c r="A624">
        <v>11277382</v>
      </c>
      <c r="B624" t="s">
        <v>570</v>
      </c>
    </row>
    <row r="625" spans="1:2" x14ac:dyDescent="0.25">
      <c r="A625">
        <v>11797023</v>
      </c>
      <c r="B625" t="s">
        <v>569</v>
      </c>
    </row>
    <row r="626" spans="1:2" x14ac:dyDescent="0.25">
      <c r="A626">
        <v>11544223</v>
      </c>
      <c r="B626" t="s">
        <v>569</v>
      </c>
    </row>
    <row r="627" spans="1:2" x14ac:dyDescent="0.25">
      <c r="A627">
        <v>11769610</v>
      </c>
      <c r="B627" t="s">
        <v>568</v>
      </c>
    </row>
    <row r="628" spans="1:2" x14ac:dyDescent="0.25">
      <c r="A628">
        <v>11391397</v>
      </c>
      <c r="B628" t="s">
        <v>569</v>
      </c>
    </row>
    <row r="629" spans="1:2" x14ac:dyDescent="0.25">
      <c r="A629">
        <v>10816792</v>
      </c>
      <c r="B629" t="s">
        <v>569</v>
      </c>
    </row>
    <row r="630" spans="1:2" x14ac:dyDescent="0.25">
      <c r="A630">
        <v>11019482</v>
      </c>
      <c r="B630" t="s">
        <v>569</v>
      </c>
    </row>
    <row r="631" spans="1:2" x14ac:dyDescent="0.25">
      <c r="A631">
        <v>11393126</v>
      </c>
      <c r="B631" t="s">
        <v>570</v>
      </c>
    </row>
    <row r="632" spans="1:2" x14ac:dyDescent="0.25">
      <c r="A632">
        <v>11320857</v>
      </c>
      <c r="B632" t="s">
        <v>570</v>
      </c>
    </row>
    <row r="633" spans="1:2" x14ac:dyDescent="0.25">
      <c r="A633">
        <v>11109123</v>
      </c>
      <c r="B633" t="s">
        <v>569</v>
      </c>
    </row>
    <row r="634" spans="1:2" x14ac:dyDescent="0.25">
      <c r="A634">
        <v>11706299</v>
      </c>
      <c r="B634" t="s">
        <v>570</v>
      </c>
    </row>
    <row r="635" spans="1:2" x14ac:dyDescent="0.25">
      <c r="A635">
        <v>11560860</v>
      </c>
      <c r="B635" t="s">
        <v>573</v>
      </c>
    </row>
    <row r="636" spans="1:2" x14ac:dyDescent="0.25">
      <c r="A636">
        <v>11346491</v>
      </c>
      <c r="B636" t="s">
        <v>569</v>
      </c>
    </row>
    <row r="637" spans="1:2" x14ac:dyDescent="0.25">
      <c r="A637">
        <v>11876761</v>
      </c>
      <c r="B637" t="s">
        <v>571</v>
      </c>
    </row>
    <row r="638" spans="1:2" x14ac:dyDescent="0.25">
      <c r="A638">
        <v>11559467</v>
      </c>
      <c r="B638" t="s">
        <v>569</v>
      </c>
    </row>
    <row r="639" spans="1:2" x14ac:dyDescent="0.25">
      <c r="A639">
        <v>11223364</v>
      </c>
      <c r="B639" t="s">
        <v>570</v>
      </c>
    </row>
    <row r="640" spans="1:2" x14ac:dyDescent="0.25">
      <c r="A640">
        <v>11406027</v>
      </c>
      <c r="B640" t="s">
        <v>569</v>
      </c>
    </row>
    <row r="641" spans="1:2" x14ac:dyDescent="0.25">
      <c r="A641">
        <v>11623862</v>
      </c>
      <c r="B641" t="s">
        <v>568</v>
      </c>
    </row>
    <row r="642" spans="1:2" x14ac:dyDescent="0.25">
      <c r="A642">
        <v>11556796</v>
      </c>
      <c r="B642" t="s">
        <v>569</v>
      </c>
    </row>
    <row r="643" spans="1:2" x14ac:dyDescent="0.25">
      <c r="A643">
        <v>10621630</v>
      </c>
      <c r="B643" t="s">
        <v>568</v>
      </c>
    </row>
    <row r="644" spans="1:2" x14ac:dyDescent="0.25">
      <c r="A644">
        <v>11048291</v>
      </c>
      <c r="B644" t="s">
        <v>569</v>
      </c>
    </row>
    <row r="645" spans="1:2" x14ac:dyDescent="0.25">
      <c r="A645">
        <v>11707617</v>
      </c>
      <c r="B645" t="s">
        <v>571</v>
      </c>
    </row>
    <row r="646" spans="1:2" x14ac:dyDescent="0.25">
      <c r="A646">
        <v>11407763</v>
      </c>
      <c r="B646" t="s">
        <v>569</v>
      </c>
    </row>
    <row r="647" spans="1:2" x14ac:dyDescent="0.25">
      <c r="A647">
        <v>11905196</v>
      </c>
      <c r="B647" t="s">
        <v>569</v>
      </c>
    </row>
    <row r="648" spans="1:2" x14ac:dyDescent="0.25">
      <c r="A648">
        <v>11495335</v>
      </c>
      <c r="B648" t="s">
        <v>569</v>
      </c>
    </row>
    <row r="649" spans="1:2" x14ac:dyDescent="0.25">
      <c r="A649">
        <v>11390038</v>
      </c>
      <c r="B649" t="s">
        <v>569</v>
      </c>
    </row>
    <row r="650" spans="1:2" x14ac:dyDescent="0.25">
      <c r="A650">
        <v>10626499</v>
      </c>
      <c r="B650" t="s">
        <v>570</v>
      </c>
    </row>
    <row r="651" spans="1:2" x14ac:dyDescent="0.25">
      <c r="A651">
        <v>11608445</v>
      </c>
      <c r="B651" t="s">
        <v>569</v>
      </c>
    </row>
    <row r="652" spans="1:2" x14ac:dyDescent="0.25">
      <c r="A652">
        <v>10784228</v>
      </c>
      <c r="B652" t="s">
        <v>569</v>
      </c>
    </row>
    <row r="653" spans="1:2" x14ac:dyDescent="0.25">
      <c r="A653">
        <v>11607959</v>
      </c>
      <c r="B653" t="s">
        <v>568</v>
      </c>
    </row>
    <row r="654" spans="1:2" x14ac:dyDescent="0.25">
      <c r="A654">
        <v>11559552</v>
      </c>
      <c r="B654" t="s">
        <v>569</v>
      </c>
    </row>
    <row r="655" spans="1:2" x14ac:dyDescent="0.25">
      <c r="A655">
        <v>11607907</v>
      </c>
      <c r="B655" t="s">
        <v>568</v>
      </c>
    </row>
    <row r="656" spans="1:2" x14ac:dyDescent="0.25">
      <c r="A656">
        <v>10703869</v>
      </c>
      <c r="B656" t="s">
        <v>570</v>
      </c>
    </row>
    <row r="657" spans="1:2" x14ac:dyDescent="0.25">
      <c r="A657">
        <v>11891250</v>
      </c>
      <c r="B657" t="s">
        <v>572</v>
      </c>
    </row>
    <row r="658" spans="1:2" x14ac:dyDescent="0.25">
      <c r="A658">
        <v>11407295</v>
      </c>
      <c r="B658" t="s">
        <v>570</v>
      </c>
    </row>
    <row r="659" spans="1:2" x14ac:dyDescent="0.25">
      <c r="A659">
        <v>11022861</v>
      </c>
      <c r="B659" t="s">
        <v>569</v>
      </c>
    </row>
    <row r="660" spans="1:2" x14ac:dyDescent="0.25">
      <c r="A660">
        <v>11578188</v>
      </c>
      <c r="B660" t="s">
        <v>568</v>
      </c>
    </row>
    <row r="661" spans="1:2" x14ac:dyDescent="0.25">
      <c r="A661">
        <v>11783911</v>
      </c>
      <c r="B661" t="s">
        <v>571</v>
      </c>
    </row>
    <row r="662" spans="1:2" x14ac:dyDescent="0.25">
      <c r="A662">
        <v>11857166</v>
      </c>
      <c r="B662" t="s">
        <v>569</v>
      </c>
    </row>
    <row r="663" spans="1:2" x14ac:dyDescent="0.25">
      <c r="A663">
        <v>11026499</v>
      </c>
      <c r="B663" t="s">
        <v>569</v>
      </c>
    </row>
    <row r="664" spans="1:2" x14ac:dyDescent="0.25">
      <c r="A664">
        <v>10919744</v>
      </c>
      <c r="B664" t="s">
        <v>569</v>
      </c>
    </row>
    <row r="665" spans="1:2" x14ac:dyDescent="0.25">
      <c r="A665">
        <v>11423882</v>
      </c>
      <c r="B665" t="s">
        <v>569</v>
      </c>
    </row>
    <row r="666" spans="1:2" x14ac:dyDescent="0.25">
      <c r="A666">
        <v>11395337</v>
      </c>
      <c r="B666" t="s">
        <v>569</v>
      </c>
    </row>
    <row r="667" spans="1:2" x14ac:dyDescent="0.25">
      <c r="A667">
        <v>10578004</v>
      </c>
      <c r="B667" t="s">
        <v>569</v>
      </c>
    </row>
    <row r="668" spans="1:2" x14ac:dyDescent="0.25">
      <c r="A668">
        <v>11630545</v>
      </c>
      <c r="B668" t="s">
        <v>570</v>
      </c>
    </row>
    <row r="669" spans="1:2" x14ac:dyDescent="0.25">
      <c r="A669">
        <v>11348409</v>
      </c>
      <c r="B669" t="s">
        <v>568</v>
      </c>
    </row>
    <row r="670" spans="1:2" x14ac:dyDescent="0.25">
      <c r="A670">
        <v>10708462</v>
      </c>
      <c r="B670" t="s">
        <v>570</v>
      </c>
    </row>
    <row r="671" spans="1:2" x14ac:dyDescent="0.25">
      <c r="A671">
        <v>11606454</v>
      </c>
      <c r="B671" t="s">
        <v>570</v>
      </c>
    </row>
    <row r="672" spans="1:2" x14ac:dyDescent="0.25">
      <c r="A672">
        <v>11543100</v>
      </c>
      <c r="B672" t="s">
        <v>569</v>
      </c>
    </row>
    <row r="673" spans="1:2" x14ac:dyDescent="0.25">
      <c r="A673">
        <v>10876945</v>
      </c>
      <c r="B673" t="s">
        <v>572</v>
      </c>
    </row>
    <row r="674" spans="1:2" x14ac:dyDescent="0.25">
      <c r="A674">
        <v>11562526</v>
      </c>
      <c r="B674" t="s">
        <v>568</v>
      </c>
    </row>
    <row r="675" spans="1:2" x14ac:dyDescent="0.25">
      <c r="A675">
        <v>11552141</v>
      </c>
      <c r="B675" t="s">
        <v>569</v>
      </c>
    </row>
    <row r="676" spans="1:2" x14ac:dyDescent="0.25">
      <c r="A676">
        <v>11645999</v>
      </c>
      <c r="B676" t="s">
        <v>570</v>
      </c>
    </row>
    <row r="677" spans="1:2" x14ac:dyDescent="0.25">
      <c r="A677">
        <v>10809501</v>
      </c>
      <c r="B677" t="s">
        <v>569</v>
      </c>
    </row>
    <row r="678" spans="1:2" x14ac:dyDescent="0.25">
      <c r="A678">
        <v>11734676</v>
      </c>
      <c r="B678" t="s">
        <v>570</v>
      </c>
    </row>
    <row r="679" spans="1:2" x14ac:dyDescent="0.25">
      <c r="A679">
        <v>11667217</v>
      </c>
      <c r="B679" t="s">
        <v>572</v>
      </c>
    </row>
    <row r="680" spans="1:2" x14ac:dyDescent="0.25">
      <c r="A680">
        <v>11698452</v>
      </c>
      <c r="B680" t="s">
        <v>572</v>
      </c>
    </row>
    <row r="681" spans="1:2" x14ac:dyDescent="0.25">
      <c r="A681">
        <v>11104423</v>
      </c>
      <c r="B681" t="s">
        <v>572</v>
      </c>
    </row>
    <row r="682" spans="1:2" x14ac:dyDescent="0.25">
      <c r="A682">
        <v>11089774</v>
      </c>
      <c r="B682" t="s">
        <v>570</v>
      </c>
    </row>
    <row r="683" spans="1:2" x14ac:dyDescent="0.25">
      <c r="A683">
        <v>11772727</v>
      </c>
      <c r="B683" t="s">
        <v>570</v>
      </c>
    </row>
    <row r="684" spans="1:2" x14ac:dyDescent="0.25">
      <c r="A684">
        <v>11556630</v>
      </c>
      <c r="B684" t="s">
        <v>569</v>
      </c>
    </row>
    <row r="685" spans="1:2" x14ac:dyDescent="0.25">
      <c r="A685">
        <v>11630006</v>
      </c>
      <c r="B685" t="s">
        <v>569</v>
      </c>
    </row>
    <row r="686" spans="1:2" x14ac:dyDescent="0.25">
      <c r="A686">
        <v>11562403</v>
      </c>
      <c r="B686" t="s">
        <v>572</v>
      </c>
    </row>
    <row r="687" spans="1:2" x14ac:dyDescent="0.25">
      <c r="A687">
        <v>11621115</v>
      </c>
      <c r="B687" t="s">
        <v>569</v>
      </c>
    </row>
    <row r="688" spans="1:2" x14ac:dyDescent="0.25">
      <c r="A688">
        <v>11382055</v>
      </c>
      <c r="B688" t="s">
        <v>568</v>
      </c>
    </row>
    <row r="689" spans="1:2" x14ac:dyDescent="0.25">
      <c r="A689">
        <v>11664768</v>
      </c>
      <c r="B689" t="s">
        <v>569</v>
      </c>
    </row>
    <row r="690" spans="1:2" x14ac:dyDescent="0.25">
      <c r="A690">
        <v>11948685</v>
      </c>
      <c r="B690" t="s">
        <v>569</v>
      </c>
    </row>
    <row r="691" spans="1:2" x14ac:dyDescent="0.25">
      <c r="A691">
        <v>10937639</v>
      </c>
      <c r="B691" t="s">
        <v>569</v>
      </c>
    </row>
    <row r="692" spans="1:2" x14ac:dyDescent="0.25">
      <c r="A692">
        <v>10931004</v>
      </c>
      <c r="B692" t="s">
        <v>568</v>
      </c>
    </row>
    <row r="693" spans="1:2" x14ac:dyDescent="0.25">
      <c r="A693">
        <v>10838230</v>
      </c>
      <c r="B693" t="s">
        <v>571</v>
      </c>
    </row>
    <row r="694" spans="1:2" x14ac:dyDescent="0.25">
      <c r="A694">
        <v>11710571</v>
      </c>
      <c r="B694" t="s">
        <v>569</v>
      </c>
    </row>
    <row r="695" spans="1:2" x14ac:dyDescent="0.25">
      <c r="A695">
        <v>11403261</v>
      </c>
      <c r="B695" t="s">
        <v>568</v>
      </c>
    </row>
    <row r="696" spans="1:2" x14ac:dyDescent="0.25">
      <c r="A696">
        <v>11027262</v>
      </c>
      <c r="B696" t="s">
        <v>568</v>
      </c>
    </row>
    <row r="697" spans="1:2" x14ac:dyDescent="0.25">
      <c r="A697">
        <v>11812580</v>
      </c>
      <c r="B697" t="s">
        <v>569</v>
      </c>
    </row>
    <row r="698" spans="1:2" x14ac:dyDescent="0.25">
      <c r="A698">
        <v>11670357</v>
      </c>
      <c r="B698" t="s">
        <v>570</v>
      </c>
    </row>
    <row r="699" spans="1:2" x14ac:dyDescent="0.25">
      <c r="A699">
        <v>11456770</v>
      </c>
      <c r="B699" t="s">
        <v>569</v>
      </c>
    </row>
    <row r="700" spans="1:2" x14ac:dyDescent="0.25">
      <c r="A700">
        <v>11383213</v>
      </c>
      <c r="B700" t="s">
        <v>570</v>
      </c>
    </row>
    <row r="701" spans="1:2" x14ac:dyDescent="0.25">
      <c r="A701">
        <v>11593583</v>
      </c>
      <c r="B701" t="s">
        <v>570</v>
      </c>
    </row>
    <row r="702" spans="1:2" x14ac:dyDescent="0.25">
      <c r="A702">
        <v>10700664</v>
      </c>
      <c r="B702" t="s">
        <v>568</v>
      </c>
    </row>
    <row r="703" spans="1:2" x14ac:dyDescent="0.25">
      <c r="A703">
        <v>10835291</v>
      </c>
      <c r="B703" t="s">
        <v>569</v>
      </c>
    </row>
    <row r="704" spans="1:2" x14ac:dyDescent="0.25">
      <c r="A704">
        <v>10849171</v>
      </c>
      <c r="B704" t="s">
        <v>569</v>
      </c>
    </row>
    <row r="705" spans="1:2" x14ac:dyDescent="0.25">
      <c r="A705">
        <v>11310938</v>
      </c>
      <c r="B705" t="s">
        <v>570</v>
      </c>
    </row>
    <row r="706" spans="1:2" x14ac:dyDescent="0.25">
      <c r="A706">
        <v>10931540</v>
      </c>
      <c r="B706" t="s">
        <v>568</v>
      </c>
    </row>
    <row r="707" spans="1:2" x14ac:dyDescent="0.25">
      <c r="A707">
        <v>10940586</v>
      </c>
      <c r="B707" t="s">
        <v>568</v>
      </c>
    </row>
    <row r="708" spans="1:2" x14ac:dyDescent="0.25">
      <c r="A708">
        <v>10848765</v>
      </c>
      <c r="B708" t="s">
        <v>569</v>
      </c>
    </row>
    <row r="709" spans="1:2" x14ac:dyDescent="0.25">
      <c r="A709">
        <v>11942913</v>
      </c>
      <c r="B709" t="s">
        <v>568</v>
      </c>
    </row>
    <row r="710" spans="1:2" x14ac:dyDescent="0.25">
      <c r="A710">
        <v>11708412</v>
      </c>
      <c r="B710" t="s">
        <v>569</v>
      </c>
    </row>
    <row r="711" spans="1:2" x14ac:dyDescent="0.25">
      <c r="A711">
        <v>11407359</v>
      </c>
      <c r="B711" t="s">
        <v>570</v>
      </c>
    </row>
    <row r="712" spans="1:2" x14ac:dyDescent="0.25">
      <c r="A712">
        <v>10889329</v>
      </c>
      <c r="B712" t="s">
        <v>571</v>
      </c>
    </row>
    <row r="713" spans="1:2" x14ac:dyDescent="0.25">
      <c r="A713">
        <v>11725316</v>
      </c>
      <c r="B713" t="s">
        <v>573</v>
      </c>
    </row>
    <row r="714" spans="1:2" x14ac:dyDescent="0.25">
      <c r="A714">
        <v>11543633</v>
      </c>
      <c r="B714" t="s">
        <v>570</v>
      </c>
    </row>
    <row r="715" spans="1:2" x14ac:dyDescent="0.25">
      <c r="A715">
        <v>11405918</v>
      </c>
      <c r="B715" t="s">
        <v>569</v>
      </c>
    </row>
    <row r="716" spans="1:2" x14ac:dyDescent="0.25">
      <c r="A716">
        <v>10957865</v>
      </c>
      <c r="B716" t="s">
        <v>572</v>
      </c>
    </row>
    <row r="717" spans="1:2" x14ac:dyDescent="0.25">
      <c r="A717">
        <v>11543871</v>
      </c>
      <c r="B717" t="s">
        <v>570</v>
      </c>
    </row>
    <row r="718" spans="1:2" x14ac:dyDescent="0.25">
      <c r="A718">
        <v>11427456</v>
      </c>
      <c r="B718" t="s">
        <v>569</v>
      </c>
    </row>
    <row r="719" spans="1:2" x14ac:dyDescent="0.25">
      <c r="A719">
        <v>11300428</v>
      </c>
      <c r="B719" t="s">
        <v>570</v>
      </c>
    </row>
    <row r="720" spans="1:2" x14ac:dyDescent="0.25">
      <c r="A720">
        <v>11870485</v>
      </c>
      <c r="B720" t="s">
        <v>568</v>
      </c>
    </row>
    <row r="721" spans="1:2" x14ac:dyDescent="0.25">
      <c r="A721">
        <v>11828805</v>
      </c>
      <c r="B721" t="s">
        <v>569</v>
      </c>
    </row>
    <row r="722" spans="1:2" x14ac:dyDescent="0.25">
      <c r="A722">
        <v>11116799</v>
      </c>
      <c r="B722" t="s">
        <v>569</v>
      </c>
    </row>
    <row r="723" spans="1:2" x14ac:dyDescent="0.25">
      <c r="A723">
        <v>11593129</v>
      </c>
      <c r="B723" t="s">
        <v>569</v>
      </c>
    </row>
    <row r="724" spans="1:2" x14ac:dyDescent="0.25">
      <c r="A724">
        <v>11483746</v>
      </c>
      <c r="B724" t="s">
        <v>570</v>
      </c>
    </row>
    <row r="725" spans="1:2" x14ac:dyDescent="0.25">
      <c r="A725">
        <v>11037020</v>
      </c>
      <c r="B725" t="s">
        <v>572</v>
      </c>
    </row>
    <row r="726" spans="1:2" x14ac:dyDescent="0.25">
      <c r="A726">
        <v>11300155</v>
      </c>
      <c r="B726" t="s">
        <v>568</v>
      </c>
    </row>
    <row r="727" spans="1:2" x14ac:dyDescent="0.25">
      <c r="A727">
        <v>10817894</v>
      </c>
      <c r="B727" t="s">
        <v>569</v>
      </c>
    </row>
    <row r="728" spans="1:2" x14ac:dyDescent="0.25">
      <c r="A728">
        <v>11282287</v>
      </c>
      <c r="B728" t="s">
        <v>568</v>
      </c>
    </row>
    <row r="729" spans="1:2" x14ac:dyDescent="0.25">
      <c r="A729">
        <v>10964370</v>
      </c>
      <c r="B729" t="s">
        <v>570</v>
      </c>
    </row>
    <row r="730" spans="1:2" x14ac:dyDescent="0.25">
      <c r="A730">
        <v>11396005</v>
      </c>
      <c r="B730" t="s">
        <v>569</v>
      </c>
    </row>
    <row r="731" spans="1:2" x14ac:dyDescent="0.25">
      <c r="A731">
        <v>11397580</v>
      </c>
      <c r="B731" t="s">
        <v>569</v>
      </c>
    </row>
    <row r="732" spans="1:2" x14ac:dyDescent="0.25">
      <c r="A732">
        <v>11916493</v>
      </c>
      <c r="B732" t="s">
        <v>569</v>
      </c>
    </row>
    <row r="733" spans="1:2" x14ac:dyDescent="0.25">
      <c r="A733">
        <v>10619822</v>
      </c>
      <c r="B733" t="s">
        <v>568</v>
      </c>
    </row>
    <row r="734" spans="1:2" x14ac:dyDescent="0.25">
      <c r="A734">
        <v>10877427</v>
      </c>
      <c r="B734" t="s">
        <v>569</v>
      </c>
    </row>
    <row r="735" spans="1:2" x14ac:dyDescent="0.25">
      <c r="A735">
        <v>11262017</v>
      </c>
      <c r="B735" t="s">
        <v>570</v>
      </c>
    </row>
    <row r="736" spans="1:2" x14ac:dyDescent="0.25">
      <c r="A736">
        <v>11546153</v>
      </c>
      <c r="B736" t="s">
        <v>569</v>
      </c>
    </row>
    <row r="737" spans="1:2" x14ac:dyDescent="0.25">
      <c r="A737">
        <v>11890620</v>
      </c>
      <c r="B737" t="s">
        <v>570</v>
      </c>
    </row>
    <row r="738" spans="1:2" x14ac:dyDescent="0.25">
      <c r="A738">
        <v>11965527</v>
      </c>
      <c r="B738" t="s">
        <v>570</v>
      </c>
    </row>
    <row r="739" spans="1:2" x14ac:dyDescent="0.25">
      <c r="A739">
        <v>11242878</v>
      </c>
      <c r="B739" t="s">
        <v>568</v>
      </c>
    </row>
    <row r="740" spans="1:2" x14ac:dyDescent="0.25">
      <c r="A740">
        <v>11725616</v>
      </c>
      <c r="B740" t="s">
        <v>569</v>
      </c>
    </row>
    <row r="741" spans="1:2" x14ac:dyDescent="0.25">
      <c r="A741">
        <v>11858224</v>
      </c>
      <c r="B741" t="s">
        <v>571</v>
      </c>
    </row>
    <row r="742" spans="1:2" x14ac:dyDescent="0.25">
      <c r="A742">
        <v>10612933</v>
      </c>
      <c r="B742" t="s">
        <v>569</v>
      </c>
    </row>
    <row r="743" spans="1:2" x14ac:dyDescent="0.25">
      <c r="A743">
        <v>11790438</v>
      </c>
      <c r="B743" t="s">
        <v>568</v>
      </c>
    </row>
    <row r="744" spans="1:2" x14ac:dyDescent="0.25">
      <c r="A744">
        <v>11394935</v>
      </c>
      <c r="B744" t="s">
        <v>568</v>
      </c>
    </row>
    <row r="745" spans="1:2" x14ac:dyDescent="0.25">
      <c r="A745">
        <v>11981766</v>
      </c>
      <c r="B745" t="s">
        <v>569</v>
      </c>
    </row>
    <row r="746" spans="1:2" x14ac:dyDescent="0.25">
      <c r="A746">
        <v>11592970</v>
      </c>
      <c r="B746" t="s">
        <v>569</v>
      </c>
    </row>
    <row r="747" spans="1:2" x14ac:dyDescent="0.25">
      <c r="A747">
        <v>11124836</v>
      </c>
      <c r="B747" t="s">
        <v>572</v>
      </c>
    </row>
    <row r="748" spans="1:2" x14ac:dyDescent="0.25">
      <c r="A748">
        <v>10849481</v>
      </c>
      <c r="B748" t="s">
        <v>569</v>
      </c>
    </row>
    <row r="749" spans="1:2" x14ac:dyDescent="0.25">
      <c r="A749">
        <v>11667512</v>
      </c>
      <c r="B749" t="s">
        <v>569</v>
      </c>
    </row>
    <row r="750" spans="1:2" x14ac:dyDescent="0.25">
      <c r="A750">
        <v>10596772</v>
      </c>
      <c r="B750" t="s">
        <v>572</v>
      </c>
    </row>
    <row r="751" spans="1:2" x14ac:dyDescent="0.25">
      <c r="A751">
        <v>11001963</v>
      </c>
      <c r="B751" t="s">
        <v>568</v>
      </c>
    </row>
    <row r="752" spans="1:2" x14ac:dyDescent="0.25">
      <c r="A752">
        <v>11738374</v>
      </c>
      <c r="B752" t="s">
        <v>569</v>
      </c>
    </row>
    <row r="753" spans="1:2" x14ac:dyDescent="0.25">
      <c r="A753">
        <v>10633197</v>
      </c>
      <c r="B753" t="s">
        <v>569</v>
      </c>
    </row>
    <row r="754" spans="1:2" x14ac:dyDescent="0.25">
      <c r="A754">
        <v>11918945</v>
      </c>
      <c r="B754" t="s">
        <v>568</v>
      </c>
    </row>
    <row r="755" spans="1:2" x14ac:dyDescent="0.25">
      <c r="A755">
        <v>11936527</v>
      </c>
      <c r="B755" t="s">
        <v>569</v>
      </c>
    </row>
    <row r="756" spans="1:2" x14ac:dyDescent="0.25">
      <c r="A756">
        <v>11327939</v>
      </c>
      <c r="B756" t="s">
        <v>570</v>
      </c>
    </row>
    <row r="757" spans="1:2" x14ac:dyDescent="0.25">
      <c r="A757">
        <v>11737167</v>
      </c>
      <c r="B757" t="s">
        <v>568</v>
      </c>
    </row>
    <row r="758" spans="1:2" x14ac:dyDescent="0.25">
      <c r="A758">
        <v>11632926</v>
      </c>
      <c r="B758" t="s">
        <v>568</v>
      </c>
    </row>
    <row r="759" spans="1:2" x14ac:dyDescent="0.25">
      <c r="A759">
        <v>11941801</v>
      </c>
      <c r="B759" t="s">
        <v>571</v>
      </c>
    </row>
    <row r="760" spans="1:2" x14ac:dyDescent="0.25">
      <c r="A760">
        <v>11215699</v>
      </c>
      <c r="B760" t="s">
        <v>572</v>
      </c>
    </row>
    <row r="761" spans="1:2" x14ac:dyDescent="0.25">
      <c r="A761">
        <v>10816822</v>
      </c>
      <c r="B761" t="s">
        <v>568</v>
      </c>
    </row>
    <row r="762" spans="1:2" x14ac:dyDescent="0.25">
      <c r="A762">
        <v>10821010</v>
      </c>
      <c r="B762" t="s">
        <v>569</v>
      </c>
    </row>
    <row r="763" spans="1:2" x14ac:dyDescent="0.25">
      <c r="A763">
        <v>11037348</v>
      </c>
      <c r="B763" t="s">
        <v>569</v>
      </c>
    </row>
    <row r="764" spans="1:2" x14ac:dyDescent="0.25">
      <c r="A764">
        <v>10823699</v>
      </c>
      <c r="B764" t="s">
        <v>569</v>
      </c>
    </row>
    <row r="765" spans="1:2" x14ac:dyDescent="0.25">
      <c r="A765">
        <v>10852630</v>
      </c>
      <c r="B765" t="s">
        <v>570</v>
      </c>
    </row>
    <row r="766" spans="1:2" x14ac:dyDescent="0.25">
      <c r="A766">
        <v>10973177</v>
      </c>
      <c r="B766" t="s">
        <v>569</v>
      </c>
    </row>
    <row r="767" spans="1:2" x14ac:dyDescent="0.25">
      <c r="A767">
        <v>10638310</v>
      </c>
      <c r="B767" t="s">
        <v>571</v>
      </c>
    </row>
    <row r="768" spans="1:2" x14ac:dyDescent="0.25">
      <c r="A768">
        <v>11087312</v>
      </c>
      <c r="B768" t="s">
        <v>569</v>
      </c>
    </row>
    <row r="769" spans="1:2" x14ac:dyDescent="0.25">
      <c r="A769">
        <v>11307145</v>
      </c>
      <c r="B769" t="s">
        <v>568</v>
      </c>
    </row>
    <row r="770" spans="1:2" x14ac:dyDescent="0.25">
      <c r="A770">
        <v>11831700</v>
      </c>
      <c r="B770" t="s">
        <v>569</v>
      </c>
    </row>
    <row r="771" spans="1:2" x14ac:dyDescent="0.25">
      <c r="A771">
        <v>11983924</v>
      </c>
      <c r="B771" t="s">
        <v>568</v>
      </c>
    </row>
    <row r="772" spans="1:2" x14ac:dyDescent="0.25">
      <c r="A772">
        <v>11560028</v>
      </c>
      <c r="B772" t="s">
        <v>569</v>
      </c>
    </row>
    <row r="773" spans="1:2" x14ac:dyDescent="0.25">
      <c r="A773">
        <v>11676977</v>
      </c>
      <c r="B773" t="s">
        <v>569</v>
      </c>
    </row>
    <row r="774" spans="1:2" x14ac:dyDescent="0.25">
      <c r="A774">
        <v>11425569</v>
      </c>
      <c r="B774" t="s">
        <v>569</v>
      </c>
    </row>
    <row r="775" spans="1:2" x14ac:dyDescent="0.25">
      <c r="A775">
        <v>11719955</v>
      </c>
      <c r="B775" t="s">
        <v>569</v>
      </c>
    </row>
    <row r="776" spans="1:2" x14ac:dyDescent="0.25">
      <c r="A776">
        <v>11424802</v>
      </c>
      <c r="B776" t="s">
        <v>569</v>
      </c>
    </row>
    <row r="777" spans="1:2" x14ac:dyDescent="0.25">
      <c r="A777">
        <v>11340180</v>
      </c>
      <c r="B777" t="s">
        <v>569</v>
      </c>
    </row>
    <row r="778" spans="1:2" x14ac:dyDescent="0.25">
      <c r="A778">
        <v>11562993</v>
      </c>
      <c r="B778" t="s">
        <v>569</v>
      </c>
    </row>
    <row r="779" spans="1:2" x14ac:dyDescent="0.25">
      <c r="A779">
        <v>11557518</v>
      </c>
      <c r="B779" t="s">
        <v>569</v>
      </c>
    </row>
    <row r="780" spans="1:2" x14ac:dyDescent="0.25">
      <c r="A780">
        <v>10624287</v>
      </c>
      <c r="B780" t="s">
        <v>570</v>
      </c>
    </row>
    <row r="781" spans="1:2" x14ac:dyDescent="0.25">
      <c r="A781">
        <v>10630515</v>
      </c>
      <c r="B781" t="s">
        <v>570</v>
      </c>
    </row>
    <row r="782" spans="1:2" x14ac:dyDescent="0.25">
      <c r="A782">
        <v>10977553</v>
      </c>
      <c r="B782" t="s">
        <v>569</v>
      </c>
    </row>
    <row r="783" spans="1:2" x14ac:dyDescent="0.25">
      <c r="A783">
        <v>11996368</v>
      </c>
      <c r="B783" t="s">
        <v>570</v>
      </c>
    </row>
    <row r="784" spans="1:2" x14ac:dyDescent="0.25">
      <c r="A784">
        <v>11703261</v>
      </c>
      <c r="B784" t="s">
        <v>569</v>
      </c>
    </row>
    <row r="785" spans="1:2" x14ac:dyDescent="0.25">
      <c r="A785">
        <v>10757007</v>
      </c>
      <c r="B785" t="s">
        <v>570</v>
      </c>
    </row>
    <row r="786" spans="1:2" x14ac:dyDescent="0.25">
      <c r="A786">
        <v>11419493</v>
      </c>
      <c r="B786" t="s">
        <v>568</v>
      </c>
    </row>
    <row r="787" spans="1:2" x14ac:dyDescent="0.25">
      <c r="A787">
        <v>11426562</v>
      </c>
      <c r="B787" t="s">
        <v>568</v>
      </c>
    </row>
    <row r="788" spans="1:2" x14ac:dyDescent="0.25">
      <c r="A788">
        <v>11445400</v>
      </c>
      <c r="B788" t="s">
        <v>569</v>
      </c>
    </row>
    <row r="789" spans="1:2" x14ac:dyDescent="0.25">
      <c r="A789">
        <v>11602153</v>
      </c>
      <c r="B789" t="s">
        <v>568</v>
      </c>
    </row>
    <row r="790" spans="1:2" x14ac:dyDescent="0.25">
      <c r="A790">
        <v>11557701</v>
      </c>
      <c r="B790" t="s">
        <v>569</v>
      </c>
    </row>
    <row r="791" spans="1:2" x14ac:dyDescent="0.25">
      <c r="A791">
        <v>11283789</v>
      </c>
      <c r="B791" t="s">
        <v>569</v>
      </c>
    </row>
    <row r="792" spans="1:2" x14ac:dyDescent="0.25">
      <c r="A792">
        <v>11488783</v>
      </c>
      <c r="B792" t="s">
        <v>569</v>
      </c>
    </row>
    <row r="793" spans="1:2" x14ac:dyDescent="0.25">
      <c r="A793">
        <v>11698506</v>
      </c>
      <c r="B793" t="s">
        <v>569</v>
      </c>
    </row>
    <row r="794" spans="1:2" x14ac:dyDescent="0.25">
      <c r="A794">
        <v>11709366</v>
      </c>
      <c r="B794" t="s">
        <v>568</v>
      </c>
    </row>
    <row r="795" spans="1:2" x14ac:dyDescent="0.25">
      <c r="A795">
        <v>11212439</v>
      </c>
      <c r="B795" t="s">
        <v>573</v>
      </c>
    </row>
    <row r="796" spans="1:2" x14ac:dyDescent="0.25">
      <c r="A796">
        <v>11642661</v>
      </c>
      <c r="B796" t="s">
        <v>569</v>
      </c>
    </row>
    <row r="797" spans="1:2" x14ac:dyDescent="0.25">
      <c r="A797">
        <v>11743421</v>
      </c>
      <c r="B797" t="s">
        <v>570</v>
      </c>
    </row>
    <row r="798" spans="1:2" x14ac:dyDescent="0.25">
      <c r="A798">
        <v>11482056</v>
      </c>
      <c r="B798" t="s">
        <v>570</v>
      </c>
    </row>
    <row r="799" spans="1:2" x14ac:dyDescent="0.25">
      <c r="A799">
        <v>11561488</v>
      </c>
      <c r="B799" t="s">
        <v>569</v>
      </c>
    </row>
    <row r="800" spans="1:2" x14ac:dyDescent="0.25">
      <c r="A800">
        <v>11559549</v>
      </c>
      <c r="B800" t="s">
        <v>569</v>
      </c>
    </row>
    <row r="801" spans="1:2" x14ac:dyDescent="0.25">
      <c r="A801">
        <v>11557319</v>
      </c>
      <c r="B801" t="s">
        <v>568</v>
      </c>
    </row>
    <row r="802" spans="1:2" x14ac:dyDescent="0.25">
      <c r="A802">
        <v>11557408</v>
      </c>
      <c r="B802" t="s">
        <v>568</v>
      </c>
    </row>
    <row r="803" spans="1:2" x14ac:dyDescent="0.25">
      <c r="A803">
        <v>11865530</v>
      </c>
      <c r="B803" t="s">
        <v>570</v>
      </c>
    </row>
    <row r="804" spans="1:2" x14ac:dyDescent="0.25">
      <c r="A804">
        <v>11114472</v>
      </c>
      <c r="B804" t="s">
        <v>571</v>
      </c>
    </row>
    <row r="805" spans="1:2" x14ac:dyDescent="0.25">
      <c r="A805">
        <v>11469928</v>
      </c>
      <c r="B805" t="s">
        <v>570</v>
      </c>
    </row>
    <row r="806" spans="1:2" x14ac:dyDescent="0.25">
      <c r="A806">
        <v>10957709</v>
      </c>
      <c r="B806" t="s">
        <v>570</v>
      </c>
    </row>
    <row r="807" spans="1:2" x14ac:dyDescent="0.25">
      <c r="A807">
        <v>11387888</v>
      </c>
      <c r="B807" t="s">
        <v>570</v>
      </c>
    </row>
    <row r="808" spans="1:2" x14ac:dyDescent="0.25">
      <c r="A808">
        <v>11381518</v>
      </c>
      <c r="B808" t="s">
        <v>569</v>
      </c>
    </row>
    <row r="809" spans="1:2" x14ac:dyDescent="0.25">
      <c r="A809">
        <v>11787596</v>
      </c>
      <c r="B809" t="s">
        <v>569</v>
      </c>
    </row>
    <row r="810" spans="1:2" x14ac:dyDescent="0.25">
      <c r="A810">
        <v>11725595</v>
      </c>
      <c r="B810" t="s">
        <v>568</v>
      </c>
    </row>
    <row r="811" spans="1:2" x14ac:dyDescent="0.25">
      <c r="A811">
        <v>11881003</v>
      </c>
      <c r="B811" t="s">
        <v>568</v>
      </c>
    </row>
    <row r="812" spans="1:2" x14ac:dyDescent="0.25">
      <c r="A812">
        <v>11707025</v>
      </c>
      <c r="B812" t="s">
        <v>569</v>
      </c>
    </row>
    <row r="813" spans="1:2" x14ac:dyDescent="0.25">
      <c r="A813">
        <v>11404639</v>
      </c>
      <c r="B813" t="s">
        <v>568</v>
      </c>
    </row>
    <row r="814" spans="1:2" x14ac:dyDescent="0.25">
      <c r="A814">
        <v>11387718</v>
      </c>
      <c r="B814" t="s">
        <v>569</v>
      </c>
    </row>
    <row r="815" spans="1:2" x14ac:dyDescent="0.25">
      <c r="A815">
        <v>11357327</v>
      </c>
      <c r="B815" t="s">
        <v>570</v>
      </c>
    </row>
    <row r="816" spans="1:2" x14ac:dyDescent="0.25">
      <c r="A816">
        <v>11348504</v>
      </c>
      <c r="B816" t="s">
        <v>569</v>
      </c>
    </row>
    <row r="817" spans="1:2" x14ac:dyDescent="0.25">
      <c r="A817">
        <v>11406856</v>
      </c>
      <c r="B817" t="s">
        <v>568</v>
      </c>
    </row>
    <row r="818" spans="1:2" x14ac:dyDescent="0.25">
      <c r="A818">
        <v>11406089</v>
      </c>
      <c r="B818" t="s">
        <v>569</v>
      </c>
    </row>
    <row r="819" spans="1:2" x14ac:dyDescent="0.25">
      <c r="A819">
        <v>11697953</v>
      </c>
      <c r="B819" t="s">
        <v>569</v>
      </c>
    </row>
    <row r="820" spans="1:2" x14ac:dyDescent="0.25">
      <c r="A820">
        <v>11267627</v>
      </c>
      <c r="B820" t="s">
        <v>570</v>
      </c>
    </row>
    <row r="821" spans="1:2" x14ac:dyDescent="0.25">
      <c r="A821">
        <v>11299805</v>
      </c>
      <c r="B821" t="s">
        <v>568</v>
      </c>
    </row>
    <row r="822" spans="1:2" x14ac:dyDescent="0.25">
      <c r="A822">
        <v>11290394</v>
      </c>
      <c r="B822" t="s">
        <v>569</v>
      </c>
    </row>
    <row r="823" spans="1:2" x14ac:dyDescent="0.25">
      <c r="A823">
        <v>11659177</v>
      </c>
      <c r="B823" t="s">
        <v>568</v>
      </c>
    </row>
    <row r="824" spans="1:2" x14ac:dyDescent="0.25">
      <c r="A824">
        <v>11595858</v>
      </c>
      <c r="B824" t="s">
        <v>568</v>
      </c>
    </row>
    <row r="825" spans="1:2" x14ac:dyDescent="0.25">
      <c r="A825">
        <v>11939374</v>
      </c>
      <c r="B825" t="s">
        <v>569</v>
      </c>
    </row>
    <row r="826" spans="1:2" x14ac:dyDescent="0.25">
      <c r="A826">
        <v>11890180</v>
      </c>
      <c r="B826" t="s">
        <v>568</v>
      </c>
    </row>
    <row r="827" spans="1:2" x14ac:dyDescent="0.25">
      <c r="A827">
        <v>11933244</v>
      </c>
      <c r="B827" t="s">
        <v>569</v>
      </c>
    </row>
    <row r="828" spans="1:2" x14ac:dyDescent="0.25">
      <c r="A828">
        <v>11020867</v>
      </c>
      <c r="B828" t="s">
        <v>570</v>
      </c>
    </row>
    <row r="829" spans="1:2" x14ac:dyDescent="0.25">
      <c r="A829">
        <v>10983811</v>
      </c>
      <c r="B829" t="s">
        <v>568</v>
      </c>
    </row>
    <row r="830" spans="1:2" x14ac:dyDescent="0.25">
      <c r="A830">
        <v>11001895</v>
      </c>
      <c r="B830" t="s">
        <v>571</v>
      </c>
    </row>
    <row r="831" spans="1:2" x14ac:dyDescent="0.25">
      <c r="A831">
        <v>11001917</v>
      </c>
      <c r="B831" t="s">
        <v>571</v>
      </c>
    </row>
    <row r="832" spans="1:2" x14ac:dyDescent="0.25">
      <c r="A832">
        <v>11345811</v>
      </c>
      <c r="B832" t="s">
        <v>569</v>
      </c>
    </row>
    <row r="833" spans="1:2" x14ac:dyDescent="0.25">
      <c r="A833">
        <v>11348445</v>
      </c>
      <c r="B833" t="s">
        <v>569</v>
      </c>
    </row>
    <row r="834" spans="1:2" x14ac:dyDescent="0.25">
      <c r="A834">
        <v>11272040</v>
      </c>
      <c r="B834" t="s">
        <v>568</v>
      </c>
    </row>
    <row r="835" spans="1:2" x14ac:dyDescent="0.25">
      <c r="A835">
        <v>11263319</v>
      </c>
      <c r="B835" t="s">
        <v>570</v>
      </c>
    </row>
    <row r="836" spans="1:2" x14ac:dyDescent="0.25">
      <c r="A836">
        <v>11434164</v>
      </c>
      <c r="B836" t="s">
        <v>569</v>
      </c>
    </row>
    <row r="837" spans="1:2" x14ac:dyDescent="0.25">
      <c r="A837">
        <v>11443744</v>
      </c>
      <c r="B837" t="s">
        <v>570</v>
      </c>
    </row>
    <row r="838" spans="1:2" x14ac:dyDescent="0.25">
      <c r="A838">
        <v>11391560</v>
      </c>
      <c r="B838" t="s">
        <v>569</v>
      </c>
    </row>
    <row r="839" spans="1:2" x14ac:dyDescent="0.25">
      <c r="A839">
        <v>11561463</v>
      </c>
      <c r="B839" t="s">
        <v>569</v>
      </c>
    </row>
    <row r="840" spans="1:2" x14ac:dyDescent="0.25">
      <c r="A840">
        <v>11569316</v>
      </c>
      <c r="B840" t="s">
        <v>569</v>
      </c>
    </row>
    <row r="841" spans="1:2" x14ac:dyDescent="0.25">
      <c r="A841">
        <v>11570077</v>
      </c>
      <c r="B841" t="s">
        <v>568</v>
      </c>
    </row>
    <row r="842" spans="1:2" x14ac:dyDescent="0.25">
      <c r="A842">
        <v>11571867</v>
      </c>
      <c r="B842" t="s">
        <v>569</v>
      </c>
    </row>
    <row r="843" spans="1:2" x14ac:dyDescent="0.25">
      <c r="A843">
        <v>11563069</v>
      </c>
      <c r="B843" t="s">
        <v>569</v>
      </c>
    </row>
    <row r="844" spans="1:2" x14ac:dyDescent="0.25">
      <c r="A844">
        <v>11345572</v>
      </c>
      <c r="B844" t="s">
        <v>570</v>
      </c>
    </row>
    <row r="845" spans="1:2" x14ac:dyDescent="0.25">
      <c r="A845">
        <v>11446953</v>
      </c>
      <c r="B845" t="s">
        <v>568</v>
      </c>
    </row>
    <row r="846" spans="1:2" x14ac:dyDescent="0.25">
      <c r="A846">
        <v>11631896</v>
      </c>
      <c r="B846" t="s">
        <v>568</v>
      </c>
    </row>
    <row r="847" spans="1:2" x14ac:dyDescent="0.25">
      <c r="A847">
        <v>10701390</v>
      </c>
      <c r="B847" t="s">
        <v>568</v>
      </c>
    </row>
    <row r="848" spans="1:2" x14ac:dyDescent="0.25">
      <c r="A848">
        <v>11578041</v>
      </c>
      <c r="B848" t="s">
        <v>569</v>
      </c>
    </row>
    <row r="849" spans="1:2" x14ac:dyDescent="0.25">
      <c r="A849">
        <v>11557827</v>
      </c>
      <c r="B849" t="s">
        <v>569</v>
      </c>
    </row>
    <row r="850" spans="1:2" x14ac:dyDescent="0.25">
      <c r="A850">
        <v>11406061</v>
      </c>
      <c r="B850" t="s">
        <v>568</v>
      </c>
    </row>
    <row r="851" spans="1:2" x14ac:dyDescent="0.25">
      <c r="A851">
        <v>12003726</v>
      </c>
      <c r="B851" t="s">
        <v>570</v>
      </c>
    </row>
    <row r="852" spans="1:2" x14ac:dyDescent="0.25">
      <c r="A852">
        <v>11915277</v>
      </c>
      <c r="B852" t="s">
        <v>570</v>
      </c>
    </row>
    <row r="853" spans="1:2" x14ac:dyDescent="0.25">
      <c r="A853">
        <v>11927936</v>
      </c>
      <c r="B853" t="s">
        <v>568</v>
      </c>
    </row>
    <row r="854" spans="1:2" x14ac:dyDescent="0.25">
      <c r="A854">
        <v>11722345</v>
      </c>
      <c r="B854" t="s">
        <v>569</v>
      </c>
    </row>
    <row r="855" spans="1:2" x14ac:dyDescent="0.25">
      <c r="A855">
        <v>11118407</v>
      </c>
      <c r="B855" t="s">
        <v>569</v>
      </c>
    </row>
    <row r="856" spans="1:2" x14ac:dyDescent="0.25">
      <c r="A856">
        <v>11546605</v>
      </c>
      <c r="B856" t="s">
        <v>569</v>
      </c>
    </row>
    <row r="857" spans="1:2" x14ac:dyDescent="0.25">
      <c r="A857">
        <v>11556974</v>
      </c>
      <c r="B857" t="s">
        <v>569</v>
      </c>
    </row>
    <row r="858" spans="1:2" x14ac:dyDescent="0.25">
      <c r="A858">
        <v>11551951</v>
      </c>
      <c r="B858" t="s">
        <v>569</v>
      </c>
    </row>
    <row r="859" spans="1:2" x14ac:dyDescent="0.25">
      <c r="A859">
        <v>11607906</v>
      </c>
      <c r="B859" t="s">
        <v>568</v>
      </c>
    </row>
    <row r="860" spans="1:2" x14ac:dyDescent="0.25">
      <c r="A860">
        <v>11555511</v>
      </c>
      <c r="B860" t="s">
        <v>569</v>
      </c>
    </row>
    <row r="861" spans="1:2" x14ac:dyDescent="0.25">
      <c r="A861">
        <v>11406696</v>
      </c>
      <c r="B861" t="s">
        <v>570</v>
      </c>
    </row>
    <row r="862" spans="1:2" x14ac:dyDescent="0.25">
      <c r="A862">
        <v>11611688</v>
      </c>
      <c r="B862" t="s">
        <v>569</v>
      </c>
    </row>
    <row r="863" spans="1:2" x14ac:dyDescent="0.25">
      <c r="A863">
        <v>10803906</v>
      </c>
      <c r="B863" t="s">
        <v>568</v>
      </c>
    </row>
    <row r="864" spans="1:2" x14ac:dyDescent="0.25">
      <c r="A864">
        <v>11578096</v>
      </c>
      <c r="B864" t="s">
        <v>568</v>
      </c>
    </row>
    <row r="865" spans="1:2" x14ac:dyDescent="0.25">
      <c r="A865">
        <v>11397768</v>
      </c>
      <c r="B865" t="s">
        <v>569</v>
      </c>
    </row>
    <row r="866" spans="1:2" x14ac:dyDescent="0.25">
      <c r="A866">
        <v>11577519</v>
      </c>
      <c r="B866" t="s">
        <v>569</v>
      </c>
    </row>
    <row r="867" spans="1:2" x14ac:dyDescent="0.25">
      <c r="A867">
        <v>11543483</v>
      </c>
      <c r="B867" t="s">
        <v>569</v>
      </c>
    </row>
    <row r="868" spans="1:2" x14ac:dyDescent="0.25">
      <c r="A868">
        <v>11543243</v>
      </c>
      <c r="B868" t="s">
        <v>572</v>
      </c>
    </row>
    <row r="869" spans="1:2" x14ac:dyDescent="0.25">
      <c r="A869">
        <v>11410871</v>
      </c>
      <c r="B869" t="s">
        <v>569</v>
      </c>
    </row>
    <row r="870" spans="1:2" x14ac:dyDescent="0.25">
      <c r="A870">
        <v>11438527</v>
      </c>
      <c r="B870" t="s">
        <v>572</v>
      </c>
    </row>
    <row r="871" spans="1:2" x14ac:dyDescent="0.25">
      <c r="A871">
        <v>11912313</v>
      </c>
      <c r="B871" t="s">
        <v>570</v>
      </c>
    </row>
    <row r="872" spans="1:2" x14ac:dyDescent="0.25">
      <c r="A872">
        <v>11450954</v>
      </c>
      <c r="B872" t="s">
        <v>569</v>
      </c>
    </row>
    <row r="873" spans="1:2" x14ac:dyDescent="0.25">
      <c r="A873">
        <v>11983393</v>
      </c>
      <c r="B873" t="s">
        <v>573</v>
      </c>
    </row>
    <row r="874" spans="1:2" x14ac:dyDescent="0.25">
      <c r="A874">
        <v>10848825</v>
      </c>
      <c r="B874" t="s">
        <v>569</v>
      </c>
    </row>
    <row r="875" spans="1:2" x14ac:dyDescent="0.25">
      <c r="A875">
        <v>10945780</v>
      </c>
      <c r="B875" t="s">
        <v>573</v>
      </c>
    </row>
    <row r="876" spans="1:2" x14ac:dyDescent="0.25">
      <c r="A876">
        <v>11557930</v>
      </c>
      <c r="B876" t="s">
        <v>569</v>
      </c>
    </row>
    <row r="877" spans="1:2" x14ac:dyDescent="0.25">
      <c r="A877">
        <v>11537969</v>
      </c>
      <c r="B877" t="s">
        <v>572</v>
      </c>
    </row>
    <row r="878" spans="1:2" x14ac:dyDescent="0.25">
      <c r="A878">
        <v>11363349</v>
      </c>
      <c r="B878" t="s">
        <v>570</v>
      </c>
    </row>
    <row r="879" spans="1:2" x14ac:dyDescent="0.25">
      <c r="A879">
        <v>11266152</v>
      </c>
      <c r="B879" t="s">
        <v>572</v>
      </c>
    </row>
    <row r="880" spans="1:2" x14ac:dyDescent="0.25">
      <c r="A880">
        <v>11299097</v>
      </c>
      <c r="B880" t="s">
        <v>570</v>
      </c>
    </row>
    <row r="881" spans="1:2" x14ac:dyDescent="0.25">
      <c r="A881">
        <v>10965606</v>
      </c>
      <c r="B881" t="s">
        <v>572</v>
      </c>
    </row>
    <row r="882" spans="1:2" x14ac:dyDescent="0.25">
      <c r="A882">
        <v>10923624</v>
      </c>
      <c r="B882" t="s">
        <v>568</v>
      </c>
    </row>
    <row r="883" spans="1:2" x14ac:dyDescent="0.25">
      <c r="A883">
        <v>10935352</v>
      </c>
      <c r="B883" t="s">
        <v>572</v>
      </c>
    </row>
    <row r="884" spans="1:2" x14ac:dyDescent="0.25">
      <c r="A884">
        <v>10948184</v>
      </c>
      <c r="B884" t="s">
        <v>573</v>
      </c>
    </row>
    <row r="885" spans="1:2" x14ac:dyDescent="0.25">
      <c r="A885">
        <v>10724396</v>
      </c>
      <c r="B885" t="s">
        <v>569</v>
      </c>
    </row>
    <row r="886" spans="1:2" x14ac:dyDescent="0.25">
      <c r="A886">
        <v>10748632</v>
      </c>
      <c r="B886" t="s">
        <v>568</v>
      </c>
    </row>
    <row r="887" spans="1:2" x14ac:dyDescent="0.25">
      <c r="A887">
        <v>10892112</v>
      </c>
      <c r="B887" t="s">
        <v>568</v>
      </c>
    </row>
    <row r="888" spans="1:2" x14ac:dyDescent="0.25">
      <c r="A888">
        <v>10878619</v>
      </c>
      <c r="B888" t="s">
        <v>569</v>
      </c>
    </row>
    <row r="889" spans="1:2" x14ac:dyDescent="0.25">
      <c r="A889">
        <v>10804208</v>
      </c>
      <c r="B889" t="s">
        <v>571</v>
      </c>
    </row>
    <row r="890" spans="1:2" x14ac:dyDescent="0.25">
      <c r="A890">
        <v>10818064</v>
      </c>
      <c r="B890" t="s">
        <v>569</v>
      </c>
    </row>
    <row r="891" spans="1:2" x14ac:dyDescent="0.25">
      <c r="A891">
        <v>10835424</v>
      </c>
      <c r="B891" t="s">
        <v>569</v>
      </c>
    </row>
    <row r="892" spans="1:2" x14ac:dyDescent="0.25">
      <c r="A892">
        <v>10731532</v>
      </c>
      <c r="B892" t="s">
        <v>570</v>
      </c>
    </row>
    <row r="893" spans="1:2" x14ac:dyDescent="0.25">
      <c r="A893">
        <v>11890015</v>
      </c>
      <c r="B893" t="s">
        <v>572</v>
      </c>
    </row>
    <row r="894" spans="1:2" x14ac:dyDescent="0.25">
      <c r="A894">
        <v>11715288</v>
      </c>
      <c r="B894" t="s">
        <v>569</v>
      </c>
    </row>
    <row r="895" spans="1:2" x14ac:dyDescent="0.25">
      <c r="A895">
        <v>11723147</v>
      </c>
      <c r="B895" t="s">
        <v>571</v>
      </c>
    </row>
    <row r="896" spans="1:2" x14ac:dyDescent="0.25">
      <c r="A896">
        <v>11711387</v>
      </c>
      <c r="B896" t="s">
        <v>571</v>
      </c>
    </row>
    <row r="897" spans="1:2" x14ac:dyDescent="0.25">
      <c r="A897">
        <v>11611514</v>
      </c>
      <c r="B897" t="s">
        <v>568</v>
      </c>
    </row>
    <row r="898" spans="1:2" x14ac:dyDescent="0.25">
      <c r="A898">
        <v>11508898</v>
      </c>
      <c r="B898" t="s">
        <v>570</v>
      </c>
    </row>
    <row r="899" spans="1:2" x14ac:dyDescent="0.25">
      <c r="A899">
        <v>11274543</v>
      </c>
      <c r="B899" t="s">
        <v>570</v>
      </c>
    </row>
    <row r="900" spans="1:2" x14ac:dyDescent="0.25">
      <c r="A900">
        <v>11298995</v>
      </c>
      <c r="B900" t="s">
        <v>573</v>
      </c>
    </row>
    <row r="901" spans="1:2" x14ac:dyDescent="0.25">
      <c r="A901">
        <v>11325600</v>
      </c>
      <c r="B901" t="s">
        <v>573</v>
      </c>
    </row>
    <row r="902" spans="1:2" x14ac:dyDescent="0.25">
      <c r="A902">
        <v>11008042</v>
      </c>
      <c r="B902" t="s">
        <v>570</v>
      </c>
    </row>
    <row r="903" spans="1:2" x14ac:dyDescent="0.25">
      <c r="A903">
        <v>11035343</v>
      </c>
      <c r="B903" t="s">
        <v>570</v>
      </c>
    </row>
    <row r="904" spans="1:2" x14ac:dyDescent="0.25">
      <c r="A904">
        <v>11036625</v>
      </c>
      <c r="B904" t="s">
        <v>569</v>
      </c>
    </row>
    <row r="905" spans="1:2" x14ac:dyDescent="0.25">
      <c r="A905">
        <v>10802698</v>
      </c>
      <c r="B905" t="s">
        <v>571</v>
      </c>
    </row>
    <row r="906" spans="1:2" x14ac:dyDescent="0.25">
      <c r="A906">
        <v>10763288</v>
      </c>
      <c r="B906" t="s">
        <v>570</v>
      </c>
    </row>
    <row r="907" spans="1:2" x14ac:dyDescent="0.25">
      <c r="A907">
        <v>10767538</v>
      </c>
      <c r="B907" t="s">
        <v>570</v>
      </c>
    </row>
    <row r="908" spans="1:2" x14ac:dyDescent="0.25">
      <c r="A908">
        <v>11591609</v>
      </c>
      <c r="B908" t="s">
        <v>568</v>
      </c>
    </row>
    <row r="909" spans="1:2" x14ac:dyDescent="0.25">
      <c r="A909">
        <v>11348297</v>
      </c>
      <c r="B909" t="s">
        <v>569</v>
      </c>
    </row>
    <row r="910" spans="1:2" x14ac:dyDescent="0.25">
      <c r="A910">
        <v>11944614</v>
      </c>
      <c r="B910" t="s">
        <v>570</v>
      </c>
    </row>
    <row r="911" spans="1:2" x14ac:dyDescent="0.25">
      <c r="A911">
        <v>11711379</v>
      </c>
      <c r="B911" t="s">
        <v>569</v>
      </c>
    </row>
    <row r="912" spans="1:2" x14ac:dyDescent="0.25">
      <c r="A912">
        <v>10955275</v>
      </c>
      <c r="B912" t="s">
        <v>569</v>
      </c>
    </row>
    <row r="913" spans="1:2" x14ac:dyDescent="0.25">
      <c r="A913">
        <v>11712731</v>
      </c>
      <c r="B913" t="s">
        <v>570</v>
      </c>
    </row>
    <row r="914" spans="1:2" x14ac:dyDescent="0.25">
      <c r="A914">
        <v>11590342</v>
      </c>
      <c r="B914" t="s">
        <v>568</v>
      </c>
    </row>
    <row r="915" spans="1:2" x14ac:dyDescent="0.25">
      <c r="A915">
        <v>11348238</v>
      </c>
      <c r="B915" t="s">
        <v>569</v>
      </c>
    </row>
    <row r="916" spans="1:2" x14ac:dyDescent="0.25">
      <c r="A916">
        <v>11622938</v>
      </c>
      <c r="B916" t="s">
        <v>570</v>
      </c>
    </row>
    <row r="917" spans="1:2" x14ac:dyDescent="0.25">
      <c r="A917">
        <v>10573098</v>
      </c>
      <c r="B917" t="s">
        <v>569</v>
      </c>
    </row>
    <row r="918" spans="1:2" x14ac:dyDescent="0.25">
      <c r="A918">
        <v>10698755</v>
      </c>
      <c r="B918" t="s">
        <v>570</v>
      </c>
    </row>
    <row r="919" spans="1:2" x14ac:dyDescent="0.25">
      <c r="A919">
        <v>10737181</v>
      </c>
      <c r="B919" t="s">
        <v>568</v>
      </c>
    </row>
    <row r="920" spans="1:2" x14ac:dyDescent="0.25">
      <c r="A920">
        <v>11600848</v>
      </c>
      <c r="B920" t="s">
        <v>570</v>
      </c>
    </row>
    <row r="921" spans="1:2" x14ac:dyDescent="0.25">
      <c r="A921">
        <v>10572729</v>
      </c>
      <c r="B921" t="s">
        <v>569</v>
      </c>
    </row>
    <row r="922" spans="1:2" x14ac:dyDescent="0.25">
      <c r="A922">
        <v>11654968</v>
      </c>
      <c r="B922" t="s">
        <v>568</v>
      </c>
    </row>
    <row r="923" spans="1:2" x14ac:dyDescent="0.25">
      <c r="A923">
        <v>11634952</v>
      </c>
      <c r="B923" t="s">
        <v>569</v>
      </c>
    </row>
    <row r="924" spans="1:2" x14ac:dyDescent="0.25">
      <c r="A924">
        <v>10620187</v>
      </c>
      <c r="B924" t="s">
        <v>569</v>
      </c>
    </row>
    <row r="925" spans="1:2" x14ac:dyDescent="0.25">
      <c r="A925">
        <v>11345506</v>
      </c>
      <c r="B925" t="s">
        <v>568</v>
      </c>
    </row>
    <row r="926" spans="1:2" x14ac:dyDescent="0.25">
      <c r="A926">
        <v>11498317</v>
      </c>
      <c r="B926" t="s">
        <v>570</v>
      </c>
    </row>
    <row r="927" spans="1:2" x14ac:dyDescent="0.25">
      <c r="A927">
        <v>11021786</v>
      </c>
      <c r="B927" t="s">
        <v>568</v>
      </c>
    </row>
    <row r="928" spans="1:2" x14ac:dyDescent="0.25">
      <c r="A928">
        <v>11690662</v>
      </c>
      <c r="B928" t="s">
        <v>570</v>
      </c>
    </row>
    <row r="929" spans="1:2" x14ac:dyDescent="0.25">
      <c r="A929">
        <v>10956450</v>
      </c>
      <c r="B929" t="s">
        <v>569</v>
      </c>
    </row>
    <row r="930" spans="1:2" x14ac:dyDescent="0.25">
      <c r="A930">
        <v>11041689</v>
      </c>
      <c r="B930" t="s">
        <v>569</v>
      </c>
    </row>
    <row r="931" spans="1:2" x14ac:dyDescent="0.25">
      <c r="A931">
        <v>12005155</v>
      </c>
      <c r="B931" t="s">
        <v>569</v>
      </c>
    </row>
    <row r="932" spans="1:2" x14ac:dyDescent="0.25">
      <c r="A932">
        <v>11593000</v>
      </c>
      <c r="B932" t="s">
        <v>569</v>
      </c>
    </row>
    <row r="933" spans="1:2" x14ac:dyDescent="0.25">
      <c r="A933">
        <v>11381522</v>
      </c>
      <c r="B933" t="s">
        <v>569</v>
      </c>
    </row>
    <row r="934" spans="1:2" x14ac:dyDescent="0.25">
      <c r="A934">
        <v>10677014</v>
      </c>
      <c r="B934" t="s">
        <v>568</v>
      </c>
    </row>
    <row r="935" spans="1:2" x14ac:dyDescent="0.25">
      <c r="A935">
        <v>11028387</v>
      </c>
      <c r="B935" t="s">
        <v>569</v>
      </c>
    </row>
    <row r="936" spans="1:2" x14ac:dyDescent="0.25">
      <c r="A936">
        <v>11042212</v>
      </c>
      <c r="B936" t="s">
        <v>569</v>
      </c>
    </row>
    <row r="937" spans="1:2" x14ac:dyDescent="0.25">
      <c r="A937">
        <v>10704999</v>
      </c>
      <c r="B937" t="s">
        <v>569</v>
      </c>
    </row>
    <row r="938" spans="1:2" x14ac:dyDescent="0.25">
      <c r="A938">
        <v>11253841</v>
      </c>
      <c r="B938" t="s">
        <v>570</v>
      </c>
    </row>
    <row r="939" spans="1:2" x14ac:dyDescent="0.25">
      <c r="A939">
        <v>11294430</v>
      </c>
      <c r="B939" t="s">
        <v>571</v>
      </c>
    </row>
    <row r="940" spans="1:2" x14ac:dyDescent="0.25">
      <c r="A940">
        <v>11122779</v>
      </c>
      <c r="B940" t="s">
        <v>568</v>
      </c>
    </row>
    <row r="941" spans="1:2" x14ac:dyDescent="0.25">
      <c r="A941">
        <v>11093398</v>
      </c>
      <c r="B941" t="s">
        <v>569</v>
      </c>
    </row>
    <row r="942" spans="1:2" x14ac:dyDescent="0.25">
      <c r="A942">
        <v>11617289</v>
      </c>
      <c r="B942" t="s">
        <v>568</v>
      </c>
    </row>
    <row r="943" spans="1:2" x14ac:dyDescent="0.25">
      <c r="A943">
        <v>11591977</v>
      </c>
      <c r="B943" t="s">
        <v>568</v>
      </c>
    </row>
    <row r="944" spans="1:2" x14ac:dyDescent="0.25">
      <c r="A944">
        <v>11592484</v>
      </c>
      <c r="B944" t="s">
        <v>568</v>
      </c>
    </row>
    <row r="945" spans="1:2" x14ac:dyDescent="0.25">
      <c r="A945">
        <v>11370765</v>
      </c>
      <c r="B945" t="s">
        <v>569</v>
      </c>
    </row>
    <row r="946" spans="1:2" x14ac:dyDescent="0.25">
      <c r="A946">
        <v>11391578</v>
      </c>
      <c r="B946" t="s">
        <v>569</v>
      </c>
    </row>
    <row r="947" spans="1:2" x14ac:dyDescent="0.25">
      <c r="A947">
        <v>11557377</v>
      </c>
      <c r="B947" t="s">
        <v>569</v>
      </c>
    </row>
    <row r="948" spans="1:2" x14ac:dyDescent="0.25">
      <c r="A948">
        <v>11448244</v>
      </c>
      <c r="B948" t="s">
        <v>568</v>
      </c>
    </row>
    <row r="949" spans="1:2" x14ac:dyDescent="0.25">
      <c r="A949">
        <v>11449441</v>
      </c>
      <c r="B949" t="s">
        <v>569</v>
      </c>
    </row>
    <row r="950" spans="1:2" x14ac:dyDescent="0.25">
      <c r="A950">
        <v>11450712</v>
      </c>
      <c r="B950" t="s">
        <v>570</v>
      </c>
    </row>
    <row r="951" spans="1:2" x14ac:dyDescent="0.25">
      <c r="A951">
        <v>11854161</v>
      </c>
      <c r="B951" t="s">
        <v>569</v>
      </c>
    </row>
    <row r="952" spans="1:2" x14ac:dyDescent="0.25">
      <c r="A952">
        <v>11754482</v>
      </c>
      <c r="B952" t="s">
        <v>573</v>
      </c>
    </row>
    <row r="953" spans="1:2" x14ac:dyDescent="0.25">
      <c r="A953">
        <v>11433582</v>
      </c>
      <c r="B953" t="s">
        <v>568</v>
      </c>
    </row>
    <row r="954" spans="1:2" x14ac:dyDescent="0.25">
      <c r="A954">
        <v>11284013</v>
      </c>
      <c r="B954" t="s">
        <v>570</v>
      </c>
    </row>
    <row r="955" spans="1:2" x14ac:dyDescent="0.25">
      <c r="A955">
        <v>11117786</v>
      </c>
      <c r="B955" t="s">
        <v>569</v>
      </c>
    </row>
    <row r="956" spans="1:2" x14ac:dyDescent="0.25">
      <c r="A956">
        <v>11498068</v>
      </c>
      <c r="B956" t="s">
        <v>568</v>
      </c>
    </row>
    <row r="957" spans="1:2" x14ac:dyDescent="0.25">
      <c r="A957">
        <v>11630930</v>
      </c>
      <c r="B957" t="s">
        <v>569</v>
      </c>
    </row>
    <row r="958" spans="1:2" x14ac:dyDescent="0.25">
      <c r="A958">
        <v>11633028</v>
      </c>
      <c r="B958" t="s">
        <v>571</v>
      </c>
    </row>
    <row r="959" spans="1:2" x14ac:dyDescent="0.25">
      <c r="A959">
        <v>11481392</v>
      </c>
      <c r="B959" t="s">
        <v>568</v>
      </c>
    </row>
    <row r="960" spans="1:2" x14ac:dyDescent="0.25">
      <c r="A960">
        <v>11425987</v>
      </c>
      <c r="B960" t="s">
        <v>570</v>
      </c>
    </row>
    <row r="961" spans="1:2" x14ac:dyDescent="0.25">
      <c r="A961">
        <v>11406835</v>
      </c>
      <c r="B961" t="s">
        <v>568</v>
      </c>
    </row>
    <row r="962" spans="1:2" x14ac:dyDescent="0.25">
      <c r="A962">
        <v>11306154</v>
      </c>
      <c r="B962" t="s">
        <v>569</v>
      </c>
    </row>
    <row r="963" spans="1:2" x14ac:dyDescent="0.25">
      <c r="A963">
        <v>12003787</v>
      </c>
      <c r="B963" t="s">
        <v>569</v>
      </c>
    </row>
    <row r="964" spans="1:2" x14ac:dyDescent="0.25">
      <c r="A964">
        <v>11344789</v>
      </c>
      <c r="B964" t="s">
        <v>568</v>
      </c>
    </row>
    <row r="965" spans="1:2" x14ac:dyDescent="0.25">
      <c r="A965">
        <v>11787134</v>
      </c>
      <c r="B965" t="s">
        <v>568</v>
      </c>
    </row>
    <row r="966" spans="1:2" x14ac:dyDescent="0.25">
      <c r="A966">
        <v>11347884</v>
      </c>
      <c r="B966" t="s">
        <v>569</v>
      </c>
    </row>
    <row r="967" spans="1:2" x14ac:dyDescent="0.25">
      <c r="A967">
        <v>11405326</v>
      </c>
      <c r="B967" t="s">
        <v>569</v>
      </c>
    </row>
    <row r="968" spans="1:2" x14ac:dyDescent="0.25">
      <c r="A968">
        <v>11409096</v>
      </c>
      <c r="B968" t="s">
        <v>568</v>
      </c>
    </row>
    <row r="969" spans="1:2" x14ac:dyDescent="0.25">
      <c r="A969">
        <v>11409166</v>
      </c>
      <c r="B969" t="s">
        <v>568</v>
      </c>
    </row>
    <row r="970" spans="1:2" x14ac:dyDescent="0.25">
      <c r="A970">
        <v>11409459</v>
      </c>
      <c r="B970" t="s">
        <v>570</v>
      </c>
    </row>
    <row r="971" spans="1:2" x14ac:dyDescent="0.25">
      <c r="A971">
        <v>11410921</v>
      </c>
      <c r="B971" t="s">
        <v>568</v>
      </c>
    </row>
    <row r="972" spans="1:2" x14ac:dyDescent="0.25">
      <c r="A972">
        <v>11624828</v>
      </c>
      <c r="B972" t="s">
        <v>570</v>
      </c>
    </row>
    <row r="973" spans="1:2" x14ac:dyDescent="0.25">
      <c r="A973">
        <v>11640357</v>
      </c>
      <c r="B973" t="s">
        <v>570</v>
      </c>
    </row>
    <row r="974" spans="1:2" x14ac:dyDescent="0.25">
      <c r="A974">
        <v>12018248</v>
      </c>
      <c r="B974" t="s">
        <v>569</v>
      </c>
    </row>
    <row r="975" spans="1:2" x14ac:dyDescent="0.25">
      <c r="A975">
        <v>11664759</v>
      </c>
      <c r="B975" t="s">
        <v>568</v>
      </c>
    </row>
    <row r="976" spans="1:2" x14ac:dyDescent="0.25">
      <c r="A976">
        <v>11633138</v>
      </c>
      <c r="B976" t="s">
        <v>568</v>
      </c>
    </row>
    <row r="977" spans="1:2" x14ac:dyDescent="0.25">
      <c r="A977">
        <v>11425589</v>
      </c>
      <c r="B977" t="s">
        <v>568</v>
      </c>
    </row>
    <row r="978" spans="1:2" x14ac:dyDescent="0.25">
      <c r="A978">
        <v>11110876</v>
      </c>
      <c r="B978" t="s">
        <v>568</v>
      </c>
    </row>
    <row r="979" spans="1:2" x14ac:dyDescent="0.25">
      <c r="A979">
        <v>11416642</v>
      </c>
      <c r="B979" t="s">
        <v>569</v>
      </c>
    </row>
    <row r="980" spans="1:2" x14ac:dyDescent="0.25">
      <c r="A980">
        <v>11416887</v>
      </c>
      <c r="B980" t="s">
        <v>569</v>
      </c>
    </row>
    <row r="981" spans="1:2" x14ac:dyDescent="0.25">
      <c r="A981">
        <v>11707246</v>
      </c>
      <c r="B981" t="s">
        <v>568</v>
      </c>
    </row>
    <row r="982" spans="1:2" x14ac:dyDescent="0.25">
      <c r="A982">
        <v>11290835</v>
      </c>
      <c r="B982" t="s">
        <v>569</v>
      </c>
    </row>
    <row r="983" spans="1:2" x14ac:dyDescent="0.25">
      <c r="A983">
        <v>11348116</v>
      </c>
      <c r="B983" t="s">
        <v>569</v>
      </c>
    </row>
    <row r="984" spans="1:2" x14ac:dyDescent="0.25">
      <c r="A984">
        <v>11876309</v>
      </c>
      <c r="B984" t="s">
        <v>569</v>
      </c>
    </row>
    <row r="985" spans="1:2" x14ac:dyDescent="0.25">
      <c r="A985">
        <v>11362338</v>
      </c>
      <c r="B985" t="s">
        <v>569</v>
      </c>
    </row>
    <row r="986" spans="1:2" x14ac:dyDescent="0.25">
      <c r="A986">
        <v>11362514</v>
      </c>
      <c r="B986" t="s">
        <v>569</v>
      </c>
    </row>
    <row r="987" spans="1:2" x14ac:dyDescent="0.25">
      <c r="A987">
        <v>11387699</v>
      </c>
      <c r="B987" t="s">
        <v>570</v>
      </c>
    </row>
    <row r="988" spans="1:2" x14ac:dyDescent="0.25">
      <c r="A988">
        <v>11371674</v>
      </c>
      <c r="B988" t="s">
        <v>572</v>
      </c>
    </row>
    <row r="989" spans="1:2" x14ac:dyDescent="0.25">
      <c r="A989">
        <v>11376681</v>
      </c>
      <c r="B989" t="s">
        <v>569</v>
      </c>
    </row>
    <row r="990" spans="1:2" x14ac:dyDescent="0.25">
      <c r="A990">
        <v>11400629</v>
      </c>
      <c r="B990" t="s">
        <v>568</v>
      </c>
    </row>
    <row r="991" spans="1:2" x14ac:dyDescent="0.25">
      <c r="A991">
        <v>11442364</v>
      </c>
      <c r="B991" t="s">
        <v>569</v>
      </c>
    </row>
    <row r="992" spans="1:2" x14ac:dyDescent="0.25">
      <c r="A992">
        <v>11440195</v>
      </c>
      <c r="B992" t="s">
        <v>569</v>
      </c>
    </row>
    <row r="993" spans="1:2" x14ac:dyDescent="0.25">
      <c r="A993">
        <v>11435335</v>
      </c>
      <c r="B993" t="s">
        <v>570</v>
      </c>
    </row>
    <row r="994" spans="1:2" x14ac:dyDescent="0.25">
      <c r="A994">
        <v>11407907</v>
      </c>
      <c r="B994" t="s">
        <v>568</v>
      </c>
    </row>
    <row r="995" spans="1:2" x14ac:dyDescent="0.25">
      <c r="A995">
        <v>11409021</v>
      </c>
      <c r="B995" t="s">
        <v>569</v>
      </c>
    </row>
    <row r="996" spans="1:2" x14ac:dyDescent="0.25">
      <c r="A996">
        <v>11407130</v>
      </c>
      <c r="B996" t="s">
        <v>569</v>
      </c>
    </row>
    <row r="997" spans="1:2" x14ac:dyDescent="0.25">
      <c r="A997">
        <v>11559065</v>
      </c>
      <c r="B997" t="s">
        <v>569</v>
      </c>
    </row>
    <row r="998" spans="1:2" x14ac:dyDescent="0.25">
      <c r="A998">
        <v>11558061</v>
      </c>
      <c r="B998" t="s">
        <v>569</v>
      </c>
    </row>
    <row r="999" spans="1:2" x14ac:dyDescent="0.25">
      <c r="A999">
        <v>11639160</v>
      </c>
      <c r="B999" t="s">
        <v>569</v>
      </c>
    </row>
    <row r="1000" spans="1:2" x14ac:dyDescent="0.25">
      <c r="A1000">
        <v>11834524</v>
      </c>
      <c r="B1000" t="s">
        <v>569</v>
      </c>
    </row>
    <row r="1001" spans="1:2" x14ac:dyDescent="0.25">
      <c r="A1001">
        <v>11028847</v>
      </c>
      <c r="B1001" t="s">
        <v>569</v>
      </c>
    </row>
    <row r="1002" spans="1:2" x14ac:dyDescent="0.25">
      <c r="A1002">
        <v>11454466</v>
      </c>
      <c r="B1002" t="s">
        <v>568</v>
      </c>
    </row>
    <row r="1003" spans="1:2" x14ac:dyDescent="0.25">
      <c r="A1003">
        <v>11552000</v>
      </c>
      <c r="B1003" t="s">
        <v>568</v>
      </c>
    </row>
    <row r="1004" spans="1:2" x14ac:dyDescent="0.25">
      <c r="A1004">
        <v>11557557</v>
      </c>
      <c r="B1004" t="s">
        <v>572</v>
      </c>
    </row>
    <row r="1005" spans="1:2" x14ac:dyDescent="0.25">
      <c r="A1005">
        <v>11559883</v>
      </c>
      <c r="B1005" t="s">
        <v>568</v>
      </c>
    </row>
    <row r="1006" spans="1:2" x14ac:dyDescent="0.25">
      <c r="A1006">
        <v>11559976</v>
      </c>
      <c r="B1006" t="s">
        <v>568</v>
      </c>
    </row>
    <row r="1007" spans="1:2" x14ac:dyDescent="0.25">
      <c r="A1007">
        <v>11561221</v>
      </c>
      <c r="B1007" t="s">
        <v>569</v>
      </c>
    </row>
    <row r="1008" spans="1:2" x14ac:dyDescent="0.25">
      <c r="A1008">
        <v>11561234</v>
      </c>
      <c r="B1008" t="s">
        <v>569</v>
      </c>
    </row>
    <row r="1009" spans="1:2" x14ac:dyDescent="0.25">
      <c r="A1009">
        <v>11597889</v>
      </c>
      <c r="B1009" t="s">
        <v>572</v>
      </c>
    </row>
    <row r="1010" spans="1:2" x14ac:dyDescent="0.25">
      <c r="A1010">
        <v>11559130</v>
      </c>
      <c r="B1010" t="s">
        <v>570</v>
      </c>
    </row>
    <row r="1011" spans="1:2" x14ac:dyDescent="0.25">
      <c r="A1011">
        <v>11562133</v>
      </c>
      <c r="B1011" t="s">
        <v>568</v>
      </c>
    </row>
    <row r="1012" spans="1:2" x14ac:dyDescent="0.25">
      <c r="A1012">
        <v>11561833</v>
      </c>
      <c r="B1012" t="s">
        <v>569</v>
      </c>
    </row>
    <row r="1013" spans="1:2" x14ac:dyDescent="0.25">
      <c r="A1013">
        <v>11561470</v>
      </c>
      <c r="B1013" t="s">
        <v>568</v>
      </c>
    </row>
    <row r="1014" spans="1:2" x14ac:dyDescent="0.25">
      <c r="A1014">
        <v>11561520</v>
      </c>
      <c r="B1014" t="s">
        <v>572</v>
      </c>
    </row>
    <row r="1015" spans="1:2" x14ac:dyDescent="0.25">
      <c r="A1015">
        <v>11562604</v>
      </c>
      <c r="B1015" t="s">
        <v>568</v>
      </c>
    </row>
    <row r="1016" spans="1:2" x14ac:dyDescent="0.25">
      <c r="A1016">
        <v>11574977</v>
      </c>
      <c r="B1016" t="s">
        <v>568</v>
      </c>
    </row>
    <row r="1017" spans="1:2" x14ac:dyDescent="0.25">
      <c r="A1017">
        <v>11577189</v>
      </c>
      <c r="B1017" t="s">
        <v>568</v>
      </c>
    </row>
    <row r="1018" spans="1:2" x14ac:dyDescent="0.25">
      <c r="A1018">
        <v>11585905</v>
      </c>
      <c r="B1018" t="s">
        <v>568</v>
      </c>
    </row>
    <row r="1019" spans="1:2" x14ac:dyDescent="0.25">
      <c r="A1019">
        <v>11592409</v>
      </c>
      <c r="B1019" t="s">
        <v>568</v>
      </c>
    </row>
    <row r="1020" spans="1:2" x14ac:dyDescent="0.25">
      <c r="A1020">
        <v>11592602</v>
      </c>
      <c r="B1020" t="s">
        <v>569</v>
      </c>
    </row>
    <row r="1021" spans="1:2" x14ac:dyDescent="0.25">
      <c r="A1021">
        <v>11591321</v>
      </c>
      <c r="B1021" t="s">
        <v>569</v>
      </c>
    </row>
    <row r="1022" spans="1:2" x14ac:dyDescent="0.25">
      <c r="A1022">
        <v>11346354</v>
      </c>
      <c r="B1022" t="s">
        <v>570</v>
      </c>
    </row>
    <row r="1023" spans="1:2" x14ac:dyDescent="0.25">
      <c r="A1023">
        <v>10808428</v>
      </c>
      <c r="B1023" t="s">
        <v>570</v>
      </c>
    </row>
    <row r="1024" spans="1:2" x14ac:dyDescent="0.25">
      <c r="A1024">
        <v>11445403</v>
      </c>
      <c r="B1024" t="s">
        <v>568</v>
      </c>
    </row>
    <row r="1025" spans="1:2" x14ac:dyDescent="0.25">
      <c r="A1025">
        <v>11484593</v>
      </c>
      <c r="B1025" t="s">
        <v>569</v>
      </c>
    </row>
    <row r="1026" spans="1:2" x14ac:dyDescent="0.25">
      <c r="A1026">
        <v>11483930</v>
      </c>
      <c r="B1026" t="s">
        <v>568</v>
      </c>
    </row>
    <row r="1027" spans="1:2" x14ac:dyDescent="0.25">
      <c r="A1027">
        <v>11350395</v>
      </c>
      <c r="B1027" t="s">
        <v>568</v>
      </c>
    </row>
    <row r="1028" spans="1:2" x14ac:dyDescent="0.25">
      <c r="A1028">
        <v>11627287</v>
      </c>
      <c r="B1028" t="s">
        <v>569</v>
      </c>
    </row>
    <row r="1029" spans="1:2" x14ac:dyDescent="0.25">
      <c r="A1029">
        <v>11616011</v>
      </c>
      <c r="B1029" t="s">
        <v>568</v>
      </c>
    </row>
    <row r="1030" spans="1:2" x14ac:dyDescent="0.25">
      <c r="A1030">
        <v>11616419</v>
      </c>
      <c r="B1030" t="s">
        <v>569</v>
      </c>
    </row>
    <row r="1031" spans="1:2" x14ac:dyDescent="0.25">
      <c r="A1031">
        <v>11543242</v>
      </c>
      <c r="B1031" t="s">
        <v>569</v>
      </c>
    </row>
    <row r="1032" spans="1:2" x14ac:dyDescent="0.25">
      <c r="A1032">
        <v>11632226</v>
      </c>
      <c r="B1032" t="s">
        <v>568</v>
      </c>
    </row>
    <row r="1033" spans="1:2" x14ac:dyDescent="0.25">
      <c r="A1033">
        <v>11556016</v>
      </c>
      <c r="B1033" t="s">
        <v>570</v>
      </c>
    </row>
    <row r="1034" spans="1:2" x14ac:dyDescent="0.25">
      <c r="A1034">
        <v>11557330</v>
      </c>
      <c r="B1034" t="s">
        <v>569</v>
      </c>
    </row>
    <row r="1035" spans="1:2" x14ac:dyDescent="0.25">
      <c r="A1035">
        <v>11543702</v>
      </c>
      <c r="B1035" t="s">
        <v>570</v>
      </c>
    </row>
    <row r="1036" spans="1:2" x14ac:dyDescent="0.25">
      <c r="A1036">
        <v>11583680</v>
      </c>
      <c r="B1036" t="s">
        <v>569</v>
      </c>
    </row>
    <row r="1037" spans="1:2" x14ac:dyDescent="0.25">
      <c r="A1037">
        <v>11599721</v>
      </c>
      <c r="B1037" t="s">
        <v>569</v>
      </c>
    </row>
    <row r="1038" spans="1:2" x14ac:dyDescent="0.25">
      <c r="A1038">
        <v>11644585</v>
      </c>
      <c r="B1038" t="s">
        <v>569</v>
      </c>
    </row>
    <row r="1039" spans="1:2" x14ac:dyDescent="0.25">
      <c r="A1039">
        <v>11877247</v>
      </c>
      <c r="B1039" t="s">
        <v>570</v>
      </c>
    </row>
    <row r="1040" spans="1:2" x14ac:dyDescent="0.25">
      <c r="A1040">
        <v>11817113</v>
      </c>
      <c r="B1040" t="s">
        <v>571</v>
      </c>
    </row>
    <row r="1041" spans="1:2" x14ac:dyDescent="0.25">
      <c r="A1041">
        <v>11837963</v>
      </c>
      <c r="B1041" t="s">
        <v>569</v>
      </c>
    </row>
    <row r="1042" spans="1:2" x14ac:dyDescent="0.25">
      <c r="A1042">
        <v>11709596</v>
      </c>
      <c r="B1042" t="s">
        <v>568</v>
      </c>
    </row>
    <row r="1043" spans="1:2" x14ac:dyDescent="0.25">
      <c r="A1043">
        <v>11856720</v>
      </c>
      <c r="B1043" t="s">
        <v>572</v>
      </c>
    </row>
    <row r="1044" spans="1:2" x14ac:dyDescent="0.25">
      <c r="A1044">
        <v>11857826</v>
      </c>
      <c r="B1044" t="s">
        <v>568</v>
      </c>
    </row>
    <row r="1045" spans="1:2" x14ac:dyDescent="0.25">
      <c r="A1045">
        <v>11592678</v>
      </c>
      <c r="B1045" t="s">
        <v>569</v>
      </c>
    </row>
    <row r="1046" spans="1:2" x14ac:dyDescent="0.25">
      <c r="A1046">
        <v>11454080</v>
      </c>
      <c r="B1046" t="s">
        <v>568</v>
      </c>
    </row>
    <row r="1047" spans="1:2" x14ac:dyDescent="0.25">
      <c r="A1047">
        <v>11376455</v>
      </c>
      <c r="B1047" t="s">
        <v>568</v>
      </c>
    </row>
    <row r="1048" spans="1:2" x14ac:dyDescent="0.25">
      <c r="A1048">
        <v>11347934</v>
      </c>
      <c r="B1048" t="s">
        <v>569</v>
      </c>
    </row>
    <row r="1049" spans="1:2" x14ac:dyDescent="0.25">
      <c r="A1049">
        <v>11358173</v>
      </c>
      <c r="B1049" t="s">
        <v>568</v>
      </c>
    </row>
    <row r="1050" spans="1:2" x14ac:dyDescent="0.25">
      <c r="A1050">
        <v>11358673</v>
      </c>
      <c r="B1050" t="s">
        <v>568</v>
      </c>
    </row>
    <row r="1051" spans="1:2" x14ac:dyDescent="0.25">
      <c r="A1051">
        <v>11706401</v>
      </c>
      <c r="B1051" t="s">
        <v>569</v>
      </c>
    </row>
    <row r="1052" spans="1:2" x14ac:dyDescent="0.25">
      <c r="A1052">
        <v>11707666</v>
      </c>
      <c r="B1052" t="s">
        <v>568</v>
      </c>
    </row>
    <row r="1053" spans="1:2" x14ac:dyDescent="0.25">
      <c r="A1053">
        <v>11790219</v>
      </c>
      <c r="B1053" t="s">
        <v>568</v>
      </c>
    </row>
    <row r="1054" spans="1:2" x14ac:dyDescent="0.25">
      <c r="A1054">
        <v>11918613</v>
      </c>
      <c r="B1054" t="s">
        <v>568</v>
      </c>
    </row>
    <row r="1055" spans="1:2" x14ac:dyDescent="0.25">
      <c r="A1055">
        <v>11863526</v>
      </c>
      <c r="B1055" t="s">
        <v>568</v>
      </c>
    </row>
    <row r="1056" spans="1:2" x14ac:dyDescent="0.25">
      <c r="A1056">
        <v>12020465</v>
      </c>
      <c r="B1056" t="s">
        <v>569</v>
      </c>
    </row>
    <row r="1057" spans="1:2" x14ac:dyDescent="0.25">
      <c r="A1057">
        <v>11980456</v>
      </c>
      <c r="B1057" t="s">
        <v>572</v>
      </c>
    </row>
    <row r="1058" spans="1:2" x14ac:dyDescent="0.25">
      <c r="A1058">
        <v>11895664</v>
      </c>
      <c r="B1058" t="s">
        <v>568</v>
      </c>
    </row>
    <row r="1059" spans="1:2" x14ac:dyDescent="0.25">
      <c r="A1059">
        <v>11839986</v>
      </c>
      <c r="B1059" t="s">
        <v>568</v>
      </c>
    </row>
    <row r="1060" spans="1:2" x14ac:dyDescent="0.25">
      <c r="A1060">
        <v>11927472</v>
      </c>
      <c r="B1060" t="s">
        <v>572</v>
      </c>
    </row>
    <row r="1061" spans="1:2" x14ac:dyDescent="0.25">
      <c r="A1061">
        <v>10704646</v>
      </c>
      <c r="B1061" t="s">
        <v>570</v>
      </c>
    </row>
    <row r="1062" spans="1:2" x14ac:dyDescent="0.25">
      <c r="A1062">
        <v>11663060</v>
      </c>
      <c r="B1062" t="s">
        <v>569</v>
      </c>
    </row>
    <row r="1063" spans="1:2" x14ac:dyDescent="0.25">
      <c r="A1063">
        <v>11048284</v>
      </c>
      <c r="B1063" t="s">
        <v>568</v>
      </c>
    </row>
    <row r="1064" spans="1:2" x14ac:dyDescent="0.25">
      <c r="A1064">
        <v>10814399</v>
      </c>
      <c r="B1064" t="s">
        <v>569</v>
      </c>
    </row>
    <row r="1065" spans="1:2" x14ac:dyDescent="0.25">
      <c r="A1065">
        <v>10825536</v>
      </c>
      <c r="B1065" t="s">
        <v>568</v>
      </c>
    </row>
    <row r="1066" spans="1:2" x14ac:dyDescent="0.25">
      <c r="A1066">
        <v>10737786</v>
      </c>
      <c r="B1066" t="s">
        <v>570</v>
      </c>
    </row>
    <row r="1067" spans="1:2" x14ac:dyDescent="0.25">
      <c r="A1067">
        <v>10760531</v>
      </c>
      <c r="B1067" t="s">
        <v>572</v>
      </c>
    </row>
    <row r="1068" spans="1:2" x14ac:dyDescent="0.25">
      <c r="A1068">
        <v>11346460</v>
      </c>
      <c r="B1068" t="s">
        <v>568</v>
      </c>
    </row>
    <row r="1069" spans="1:2" x14ac:dyDescent="0.25">
      <c r="A1069">
        <v>11607950</v>
      </c>
      <c r="B1069" t="s">
        <v>568</v>
      </c>
    </row>
    <row r="1070" spans="1:2" x14ac:dyDescent="0.25">
      <c r="A1070">
        <v>11607171</v>
      </c>
      <c r="B1070" t="s">
        <v>572</v>
      </c>
    </row>
    <row r="1071" spans="1:2" x14ac:dyDescent="0.25">
      <c r="A1071">
        <v>11543099</v>
      </c>
      <c r="B1071" t="s">
        <v>570</v>
      </c>
    </row>
    <row r="1072" spans="1:2" x14ac:dyDescent="0.25">
      <c r="A1072">
        <v>11543202</v>
      </c>
      <c r="B1072" t="s">
        <v>569</v>
      </c>
    </row>
    <row r="1073" spans="1:2" x14ac:dyDescent="0.25">
      <c r="A1073">
        <v>11543494</v>
      </c>
      <c r="B1073" t="s">
        <v>568</v>
      </c>
    </row>
    <row r="1074" spans="1:2" x14ac:dyDescent="0.25">
      <c r="A1074">
        <v>11543421</v>
      </c>
      <c r="B1074" t="s">
        <v>568</v>
      </c>
    </row>
    <row r="1075" spans="1:2" x14ac:dyDescent="0.25">
      <c r="A1075">
        <v>11886550</v>
      </c>
      <c r="B1075" t="s">
        <v>572</v>
      </c>
    </row>
    <row r="1076" spans="1:2" x14ac:dyDescent="0.25">
      <c r="A1076">
        <v>11369194</v>
      </c>
      <c r="B1076" t="s">
        <v>568</v>
      </c>
    </row>
    <row r="1077" spans="1:2" x14ac:dyDescent="0.25">
      <c r="A1077">
        <v>11559466</v>
      </c>
      <c r="B1077" t="s">
        <v>569</v>
      </c>
    </row>
    <row r="1078" spans="1:2" x14ac:dyDescent="0.25">
      <c r="A1078">
        <v>11419700</v>
      </c>
      <c r="B1078" t="s">
        <v>569</v>
      </c>
    </row>
    <row r="1079" spans="1:2" x14ac:dyDescent="0.25">
      <c r="A1079">
        <v>11598318</v>
      </c>
      <c r="B1079" t="s">
        <v>568</v>
      </c>
    </row>
    <row r="1080" spans="1:2" x14ac:dyDescent="0.25">
      <c r="A1080">
        <v>11585147</v>
      </c>
      <c r="B1080" t="s">
        <v>569</v>
      </c>
    </row>
    <row r="1081" spans="1:2" x14ac:dyDescent="0.25">
      <c r="A1081">
        <v>11063460</v>
      </c>
      <c r="B1081" t="s">
        <v>569</v>
      </c>
    </row>
    <row r="1082" spans="1:2" x14ac:dyDescent="0.25">
      <c r="A1082">
        <v>11068571</v>
      </c>
      <c r="B1082" t="s">
        <v>568</v>
      </c>
    </row>
    <row r="1083" spans="1:2" x14ac:dyDescent="0.25">
      <c r="A1083">
        <v>10911551</v>
      </c>
      <c r="B1083" t="s">
        <v>569</v>
      </c>
    </row>
    <row r="1084" spans="1:2" x14ac:dyDescent="0.25">
      <c r="A1084">
        <v>10703809</v>
      </c>
      <c r="B1084" t="s">
        <v>568</v>
      </c>
    </row>
    <row r="1085" spans="1:2" x14ac:dyDescent="0.25">
      <c r="A1085">
        <v>11386976</v>
      </c>
      <c r="B1085" t="s">
        <v>569</v>
      </c>
    </row>
    <row r="1086" spans="1:2" x14ac:dyDescent="0.25">
      <c r="A1086">
        <v>11418511</v>
      </c>
      <c r="B1086" t="s">
        <v>568</v>
      </c>
    </row>
    <row r="1087" spans="1:2" x14ac:dyDescent="0.25">
      <c r="A1087">
        <v>11419237</v>
      </c>
      <c r="B1087" t="s">
        <v>572</v>
      </c>
    </row>
    <row r="1088" spans="1:2" x14ac:dyDescent="0.25">
      <c r="A1088">
        <v>11427900</v>
      </c>
      <c r="B1088" t="s">
        <v>570</v>
      </c>
    </row>
    <row r="1089" spans="1:2" x14ac:dyDescent="0.25">
      <c r="A1089">
        <v>11374073</v>
      </c>
      <c r="B1089" t="s">
        <v>569</v>
      </c>
    </row>
    <row r="1090" spans="1:2" x14ac:dyDescent="0.25">
      <c r="A1090">
        <v>11814984</v>
      </c>
      <c r="B1090" t="s">
        <v>570</v>
      </c>
    </row>
    <row r="1091" spans="1:2" x14ac:dyDescent="0.25">
      <c r="A1091">
        <v>11451801</v>
      </c>
      <c r="B1091" t="s">
        <v>568</v>
      </c>
    </row>
    <row r="1092" spans="1:2" x14ac:dyDescent="0.25">
      <c r="A1092">
        <v>11462993</v>
      </c>
      <c r="B1092" t="s">
        <v>568</v>
      </c>
    </row>
    <row r="1093" spans="1:2" x14ac:dyDescent="0.25">
      <c r="A1093">
        <v>11332040</v>
      </c>
      <c r="B1093" t="s">
        <v>569</v>
      </c>
    </row>
    <row r="1094" spans="1:2" x14ac:dyDescent="0.25">
      <c r="A1094">
        <v>11346358</v>
      </c>
      <c r="B1094" t="s">
        <v>568</v>
      </c>
    </row>
    <row r="1095" spans="1:2" x14ac:dyDescent="0.25">
      <c r="A1095">
        <v>11344207</v>
      </c>
      <c r="B1095" t="s">
        <v>568</v>
      </c>
    </row>
    <row r="1096" spans="1:2" x14ac:dyDescent="0.25">
      <c r="A1096">
        <v>11344215</v>
      </c>
      <c r="B1096" t="s">
        <v>573</v>
      </c>
    </row>
    <row r="1097" spans="1:2" x14ac:dyDescent="0.25">
      <c r="A1097">
        <v>11586072</v>
      </c>
      <c r="B1097" t="s">
        <v>569</v>
      </c>
    </row>
    <row r="1098" spans="1:2" x14ac:dyDescent="0.25">
      <c r="A1098">
        <v>11577508</v>
      </c>
      <c r="B1098" t="s">
        <v>568</v>
      </c>
    </row>
    <row r="1099" spans="1:2" x14ac:dyDescent="0.25">
      <c r="A1099">
        <v>11581437</v>
      </c>
      <c r="B1099" t="s">
        <v>568</v>
      </c>
    </row>
    <row r="1100" spans="1:2" x14ac:dyDescent="0.25">
      <c r="A1100">
        <v>11577831</v>
      </c>
      <c r="B1100" t="s">
        <v>569</v>
      </c>
    </row>
    <row r="1101" spans="1:2" x14ac:dyDescent="0.25">
      <c r="A1101">
        <v>11566267</v>
      </c>
      <c r="B1101" t="s">
        <v>568</v>
      </c>
    </row>
    <row r="1102" spans="1:2" x14ac:dyDescent="0.25">
      <c r="A1102">
        <v>11561652</v>
      </c>
      <c r="B1102" t="s">
        <v>568</v>
      </c>
    </row>
    <row r="1103" spans="1:2" x14ac:dyDescent="0.25">
      <c r="A1103">
        <v>11561430</v>
      </c>
      <c r="B1103" t="s">
        <v>568</v>
      </c>
    </row>
    <row r="1104" spans="1:2" x14ac:dyDescent="0.25">
      <c r="A1104">
        <v>11561436</v>
      </c>
      <c r="B1104" t="s">
        <v>569</v>
      </c>
    </row>
    <row r="1105" spans="1:2" x14ac:dyDescent="0.25">
      <c r="A1105">
        <v>11560014</v>
      </c>
      <c r="B1105" t="s">
        <v>569</v>
      </c>
    </row>
    <row r="1106" spans="1:2" x14ac:dyDescent="0.25">
      <c r="A1106">
        <v>11560375</v>
      </c>
      <c r="B1106" t="s">
        <v>568</v>
      </c>
    </row>
    <row r="1107" spans="1:2" x14ac:dyDescent="0.25">
      <c r="A1107">
        <v>11560431</v>
      </c>
      <c r="B1107" t="s">
        <v>568</v>
      </c>
    </row>
    <row r="1108" spans="1:2" x14ac:dyDescent="0.25">
      <c r="A1108">
        <v>11560540</v>
      </c>
      <c r="B1108" t="s">
        <v>568</v>
      </c>
    </row>
    <row r="1109" spans="1:2" x14ac:dyDescent="0.25">
      <c r="A1109">
        <v>11560855</v>
      </c>
      <c r="B1109" t="s">
        <v>569</v>
      </c>
    </row>
    <row r="1110" spans="1:2" x14ac:dyDescent="0.25">
      <c r="A1110">
        <v>11560887</v>
      </c>
      <c r="B1110" t="s">
        <v>569</v>
      </c>
    </row>
    <row r="1111" spans="1:2" x14ac:dyDescent="0.25">
      <c r="A1111">
        <v>11560948</v>
      </c>
      <c r="B1111" t="s">
        <v>568</v>
      </c>
    </row>
    <row r="1112" spans="1:2" x14ac:dyDescent="0.25">
      <c r="A1112">
        <v>11558264</v>
      </c>
      <c r="B1112" t="s">
        <v>569</v>
      </c>
    </row>
    <row r="1113" spans="1:2" x14ac:dyDescent="0.25">
      <c r="A1113">
        <v>11803128</v>
      </c>
    </row>
    <row r="1114" spans="1:2" x14ac:dyDescent="0.25">
      <c r="A1114">
        <v>11593092</v>
      </c>
      <c r="B1114" t="s">
        <v>568</v>
      </c>
    </row>
    <row r="1115" spans="1:2" x14ac:dyDescent="0.25">
      <c r="A1115">
        <v>11632263</v>
      </c>
      <c r="B1115" t="s">
        <v>570</v>
      </c>
    </row>
    <row r="1116" spans="1:2" x14ac:dyDescent="0.25">
      <c r="A1116">
        <v>11866255</v>
      </c>
      <c r="B1116" t="s">
        <v>569</v>
      </c>
    </row>
    <row r="1117" spans="1:2" x14ac:dyDescent="0.25">
      <c r="A1117">
        <v>11839645</v>
      </c>
      <c r="B1117" t="s">
        <v>571</v>
      </c>
    </row>
    <row r="1118" spans="1:2" x14ac:dyDescent="0.25">
      <c r="A1118">
        <v>11842675</v>
      </c>
      <c r="B1118" t="s">
        <v>569</v>
      </c>
    </row>
    <row r="1119" spans="1:2" x14ac:dyDescent="0.25">
      <c r="A1119">
        <v>10870803</v>
      </c>
      <c r="B1119" t="s">
        <v>568</v>
      </c>
    </row>
    <row r="1120" spans="1:2" x14ac:dyDescent="0.25">
      <c r="A1120">
        <v>10866771</v>
      </c>
      <c r="B1120" t="s">
        <v>569</v>
      </c>
    </row>
    <row r="1121" spans="1:2" x14ac:dyDescent="0.25">
      <c r="A1121">
        <v>10902298</v>
      </c>
      <c r="B1121" t="s">
        <v>568</v>
      </c>
    </row>
    <row r="1122" spans="1:2" x14ac:dyDescent="0.25">
      <c r="A1122">
        <v>10892640</v>
      </c>
      <c r="B1122" t="s">
        <v>570</v>
      </c>
    </row>
    <row r="1123" spans="1:2" x14ac:dyDescent="0.25">
      <c r="A1123">
        <v>10808074</v>
      </c>
      <c r="B1123" t="s">
        <v>572</v>
      </c>
    </row>
    <row r="1124" spans="1:2" x14ac:dyDescent="0.25">
      <c r="A1124">
        <v>11038369</v>
      </c>
      <c r="B1124" t="s">
        <v>569</v>
      </c>
    </row>
    <row r="1125" spans="1:2" x14ac:dyDescent="0.25">
      <c r="A1125">
        <v>10714452</v>
      </c>
      <c r="B1125" t="s">
        <v>573</v>
      </c>
    </row>
    <row r="1126" spans="1:2" x14ac:dyDescent="0.25">
      <c r="A1126">
        <v>10674677</v>
      </c>
      <c r="B1126" t="s">
        <v>570</v>
      </c>
    </row>
    <row r="1127" spans="1:2" x14ac:dyDescent="0.25">
      <c r="A1127">
        <v>11063443</v>
      </c>
      <c r="B1127" t="s">
        <v>568</v>
      </c>
    </row>
    <row r="1128" spans="1:2" x14ac:dyDescent="0.25">
      <c r="A1128">
        <v>11589508</v>
      </c>
      <c r="B1128" t="s">
        <v>569</v>
      </c>
    </row>
    <row r="1129" spans="1:2" x14ac:dyDescent="0.25">
      <c r="A1129">
        <v>11714379</v>
      </c>
      <c r="B1129" t="s">
        <v>569</v>
      </c>
    </row>
    <row r="1130" spans="1:2" x14ac:dyDescent="0.25">
      <c r="A1130">
        <v>11055708</v>
      </c>
      <c r="B1130" t="s">
        <v>569</v>
      </c>
    </row>
    <row r="1131" spans="1:2" x14ac:dyDescent="0.25">
      <c r="A1131">
        <v>10980020</v>
      </c>
      <c r="B1131" t="s">
        <v>572</v>
      </c>
    </row>
    <row r="1132" spans="1:2" x14ac:dyDescent="0.25">
      <c r="A1132">
        <v>11423451</v>
      </c>
      <c r="B1132" t="s">
        <v>569</v>
      </c>
    </row>
    <row r="1133" spans="1:2" x14ac:dyDescent="0.25">
      <c r="A1133">
        <v>11407769</v>
      </c>
      <c r="B1133" t="s">
        <v>568</v>
      </c>
    </row>
    <row r="1134" spans="1:2" x14ac:dyDescent="0.25">
      <c r="A1134">
        <v>11397158</v>
      </c>
      <c r="B1134" t="s">
        <v>569</v>
      </c>
    </row>
    <row r="1135" spans="1:2" x14ac:dyDescent="0.25">
      <c r="A1135">
        <v>11380905</v>
      </c>
      <c r="B1135" t="s">
        <v>568</v>
      </c>
    </row>
    <row r="1136" spans="1:2" x14ac:dyDescent="0.25">
      <c r="A1136">
        <v>11317324</v>
      </c>
      <c r="B1136" t="s">
        <v>570</v>
      </c>
    </row>
    <row r="1137" spans="1:2" x14ac:dyDescent="0.25">
      <c r="A1137">
        <v>11548967</v>
      </c>
      <c r="B1137" t="s">
        <v>568</v>
      </c>
    </row>
    <row r="1138" spans="1:2" x14ac:dyDescent="0.25">
      <c r="A1138">
        <v>10919516</v>
      </c>
      <c r="B1138" t="s">
        <v>568</v>
      </c>
    </row>
    <row r="1139" spans="1:2" x14ac:dyDescent="0.25">
      <c r="A1139">
        <v>11406938</v>
      </c>
      <c r="B1139" t="s">
        <v>571</v>
      </c>
    </row>
    <row r="1140" spans="1:2" x14ac:dyDescent="0.25">
      <c r="A1140">
        <v>10666026</v>
      </c>
      <c r="B1140" t="s">
        <v>568</v>
      </c>
    </row>
    <row r="1141" spans="1:2" x14ac:dyDescent="0.25">
      <c r="A1141">
        <v>10666094</v>
      </c>
      <c r="B1141" t="s">
        <v>568</v>
      </c>
    </row>
    <row r="1142" spans="1:2" x14ac:dyDescent="0.25">
      <c r="A1142">
        <v>10761673</v>
      </c>
      <c r="B1142" t="s">
        <v>568</v>
      </c>
    </row>
    <row r="1143" spans="1:2" x14ac:dyDescent="0.25">
      <c r="A1143">
        <v>11370962</v>
      </c>
      <c r="B1143" t="s">
        <v>569</v>
      </c>
    </row>
    <row r="1144" spans="1:2" x14ac:dyDescent="0.25">
      <c r="A1144">
        <v>11364557</v>
      </c>
      <c r="B1144" t="s">
        <v>570</v>
      </c>
    </row>
    <row r="1145" spans="1:2" x14ac:dyDescent="0.25">
      <c r="A1145">
        <v>11365608</v>
      </c>
      <c r="B1145" t="s">
        <v>569</v>
      </c>
    </row>
    <row r="1146" spans="1:2" x14ac:dyDescent="0.25">
      <c r="A1146">
        <v>11372285</v>
      </c>
      <c r="B1146" t="s">
        <v>570</v>
      </c>
    </row>
    <row r="1147" spans="1:2" x14ac:dyDescent="0.25">
      <c r="A1147">
        <v>11966001</v>
      </c>
      <c r="B1147" t="s">
        <v>568</v>
      </c>
    </row>
    <row r="1148" spans="1:2" x14ac:dyDescent="0.25">
      <c r="A1148">
        <v>11602385</v>
      </c>
      <c r="B1148" t="s">
        <v>568</v>
      </c>
    </row>
    <row r="1149" spans="1:2" x14ac:dyDescent="0.25">
      <c r="A1149">
        <v>11631665</v>
      </c>
      <c r="B1149" t="s">
        <v>570</v>
      </c>
    </row>
    <row r="1150" spans="1:2" x14ac:dyDescent="0.25">
      <c r="A1150">
        <v>11634432</v>
      </c>
      <c r="B1150" t="s">
        <v>569</v>
      </c>
    </row>
    <row r="1151" spans="1:2" x14ac:dyDescent="0.25">
      <c r="A1151">
        <v>11584967</v>
      </c>
      <c r="B1151" t="s">
        <v>568</v>
      </c>
    </row>
    <row r="1152" spans="1:2" x14ac:dyDescent="0.25">
      <c r="A1152">
        <v>11532929</v>
      </c>
      <c r="B1152" t="s">
        <v>572</v>
      </c>
    </row>
    <row r="1153" spans="1:2" x14ac:dyDescent="0.25">
      <c r="A1153">
        <v>11371194</v>
      </c>
      <c r="B1153" t="s">
        <v>568</v>
      </c>
    </row>
    <row r="1154" spans="1:2" x14ac:dyDescent="0.25">
      <c r="A1154">
        <v>11374054</v>
      </c>
      <c r="B1154" t="s">
        <v>571</v>
      </c>
    </row>
    <row r="1155" spans="1:2" x14ac:dyDescent="0.25">
      <c r="A1155">
        <v>11280510</v>
      </c>
      <c r="B1155" t="s">
        <v>568</v>
      </c>
    </row>
    <row r="1156" spans="1:2" x14ac:dyDescent="0.25">
      <c r="A1156">
        <v>11266691</v>
      </c>
      <c r="B1156" t="s">
        <v>568</v>
      </c>
    </row>
    <row r="1157" spans="1:2" x14ac:dyDescent="0.25">
      <c r="A1157">
        <v>10781923</v>
      </c>
      <c r="B1157" t="s">
        <v>568</v>
      </c>
    </row>
    <row r="1158" spans="1:2" x14ac:dyDescent="0.25">
      <c r="A1158">
        <v>10802554</v>
      </c>
      <c r="B1158" t="s">
        <v>568</v>
      </c>
    </row>
    <row r="1159" spans="1:2" x14ac:dyDescent="0.25">
      <c r="A1159">
        <v>10860208</v>
      </c>
      <c r="B1159" t="s">
        <v>569</v>
      </c>
    </row>
    <row r="1160" spans="1:2" x14ac:dyDescent="0.25">
      <c r="A1160">
        <v>10868752</v>
      </c>
      <c r="B1160" t="s">
        <v>568</v>
      </c>
    </row>
    <row r="1161" spans="1:2" x14ac:dyDescent="0.25">
      <c r="A1161">
        <v>10929665</v>
      </c>
      <c r="B1161" t="s">
        <v>569</v>
      </c>
    </row>
    <row r="1162" spans="1:2" x14ac:dyDescent="0.25">
      <c r="A1162">
        <v>10714150</v>
      </c>
      <c r="B1162" t="s">
        <v>568</v>
      </c>
    </row>
    <row r="1163" spans="1:2" x14ac:dyDescent="0.25">
      <c r="A1163">
        <v>10680002</v>
      </c>
      <c r="B1163" t="s">
        <v>570</v>
      </c>
    </row>
    <row r="1164" spans="1:2" x14ac:dyDescent="0.25">
      <c r="A1164">
        <v>10680115</v>
      </c>
      <c r="B1164" t="s">
        <v>572</v>
      </c>
    </row>
    <row r="1165" spans="1:2" x14ac:dyDescent="0.25">
      <c r="A1165">
        <v>11863999</v>
      </c>
      <c r="B1165" t="s">
        <v>570</v>
      </c>
    </row>
    <row r="1166" spans="1:2" x14ac:dyDescent="0.25">
      <c r="A1166">
        <v>11876754</v>
      </c>
      <c r="B1166" t="s">
        <v>569</v>
      </c>
    </row>
    <row r="1167" spans="1:2" x14ac:dyDescent="0.25">
      <c r="A1167">
        <v>11386795</v>
      </c>
      <c r="B1167" t="s">
        <v>568</v>
      </c>
    </row>
    <row r="1168" spans="1:2" x14ac:dyDescent="0.25">
      <c r="A1168">
        <v>11523849</v>
      </c>
      <c r="B1168" t="s">
        <v>569</v>
      </c>
    </row>
    <row r="1169" spans="1:2" x14ac:dyDescent="0.25">
      <c r="A1169">
        <v>11450806</v>
      </c>
      <c r="B1169" t="s">
        <v>573</v>
      </c>
    </row>
    <row r="1170" spans="1:2" x14ac:dyDescent="0.25">
      <c r="A1170">
        <v>11001197</v>
      </c>
      <c r="B1170" t="s">
        <v>569</v>
      </c>
    </row>
    <row r="1171" spans="1:2" x14ac:dyDescent="0.25">
      <c r="A1171">
        <v>11213616</v>
      </c>
      <c r="B1171" t="s">
        <v>569</v>
      </c>
    </row>
    <row r="1172" spans="1:2" x14ac:dyDescent="0.25">
      <c r="A1172">
        <v>10853754</v>
      </c>
      <c r="B1172" t="s">
        <v>569</v>
      </c>
    </row>
    <row r="1173" spans="1:2" x14ac:dyDescent="0.25">
      <c r="A1173">
        <v>10794410</v>
      </c>
      <c r="B1173" t="s">
        <v>569</v>
      </c>
    </row>
    <row r="1174" spans="1:2" x14ac:dyDescent="0.25">
      <c r="A1174">
        <v>10777788</v>
      </c>
      <c r="B1174" t="s">
        <v>568</v>
      </c>
    </row>
    <row r="1175" spans="1:2" x14ac:dyDescent="0.25">
      <c r="A1175">
        <v>11746277</v>
      </c>
      <c r="B1175" t="s">
        <v>569</v>
      </c>
    </row>
    <row r="1176" spans="1:2" x14ac:dyDescent="0.25">
      <c r="A1176">
        <v>11746703</v>
      </c>
      <c r="B1176" t="s">
        <v>569</v>
      </c>
    </row>
    <row r="1177" spans="1:2" x14ac:dyDescent="0.25">
      <c r="A1177">
        <v>11708222</v>
      </c>
      <c r="B1177" t="s">
        <v>569</v>
      </c>
    </row>
    <row r="1178" spans="1:2" x14ac:dyDescent="0.25">
      <c r="A1178">
        <v>11823878</v>
      </c>
      <c r="B1178" t="s">
        <v>568</v>
      </c>
    </row>
    <row r="1179" spans="1:2" x14ac:dyDescent="0.25">
      <c r="A1179">
        <v>11825217</v>
      </c>
      <c r="B1179" t="s">
        <v>569</v>
      </c>
    </row>
    <row r="1180" spans="1:2" x14ac:dyDescent="0.25">
      <c r="A1180">
        <v>11644925</v>
      </c>
      <c r="B1180" t="s">
        <v>569</v>
      </c>
    </row>
    <row r="1181" spans="1:2" x14ac:dyDescent="0.25">
      <c r="A1181">
        <v>11658815</v>
      </c>
      <c r="B1181" t="s">
        <v>570</v>
      </c>
    </row>
    <row r="1182" spans="1:2" x14ac:dyDescent="0.25">
      <c r="A1182">
        <v>11516321</v>
      </c>
      <c r="B1182" t="s">
        <v>572</v>
      </c>
    </row>
    <row r="1183" spans="1:2" x14ac:dyDescent="0.25">
      <c r="A1183">
        <v>11948603</v>
      </c>
      <c r="B1183" t="s">
        <v>569</v>
      </c>
    </row>
    <row r="1184" spans="1:2" x14ac:dyDescent="0.25">
      <c r="A1184">
        <v>11953784</v>
      </c>
      <c r="B1184" t="s">
        <v>570</v>
      </c>
    </row>
    <row r="1185" spans="1:2" x14ac:dyDescent="0.25">
      <c r="A1185">
        <v>11772314</v>
      </c>
      <c r="B1185" t="s">
        <v>569</v>
      </c>
    </row>
    <row r="1186" spans="1:2" x14ac:dyDescent="0.25">
      <c r="A1186">
        <v>11742873</v>
      </c>
    </row>
    <row r="1187" spans="1:2" x14ac:dyDescent="0.25">
      <c r="A1187">
        <v>11700307</v>
      </c>
      <c r="B1187" t="s">
        <v>569</v>
      </c>
    </row>
    <row r="1188" spans="1:2" x14ac:dyDescent="0.25">
      <c r="A1188">
        <v>11709120</v>
      </c>
      <c r="B1188" t="s">
        <v>568</v>
      </c>
    </row>
    <row r="1189" spans="1:2" x14ac:dyDescent="0.25">
      <c r="A1189">
        <v>11709795</v>
      </c>
      <c r="B1189" t="s">
        <v>569</v>
      </c>
    </row>
    <row r="1190" spans="1:2" x14ac:dyDescent="0.25">
      <c r="A1190">
        <v>11395137</v>
      </c>
      <c r="B1190" t="s">
        <v>570</v>
      </c>
    </row>
    <row r="1191" spans="1:2" x14ac:dyDescent="0.25">
      <c r="A1191">
        <v>11395185</v>
      </c>
      <c r="B1191" t="s">
        <v>568</v>
      </c>
    </row>
    <row r="1192" spans="1:2" x14ac:dyDescent="0.25">
      <c r="A1192">
        <v>11398767</v>
      </c>
      <c r="B1192" t="s">
        <v>568</v>
      </c>
    </row>
    <row r="1193" spans="1:2" x14ac:dyDescent="0.25">
      <c r="A1193">
        <v>11399132</v>
      </c>
      <c r="B1193" t="s">
        <v>569</v>
      </c>
    </row>
    <row r="1194" spans="1:2" x14ac:dyDescent="0.25">
      <c r="A1194">
        <v>11396122</v>
      </c>
      <c r="B1194" t="s">
        <v>569</v>
      </c>
    </row>
    <row r="1195" spans="1:2" x14ac:dyDescent="0.25">
      <c r="A1195">
        <v>11394238</v>
      </c>
      <c r="B1195" t="s">
        <v>570</v>
      </c>
    </row>
    <row r="1196" spans="1:2" x14ac:dyDescent="0.25">
      <c r="A1196">
        <v>11382898</v>
      </c>
      <c r="B1196" t="s">
        <v>572</v>
      </c>
    </row>
    <row r="1197" spans="1:2" x14ac:dyDescent="0.25">
      <c r="A1197">
        <v>11382846</v>
      </c>
      <c r="B1197" t="s">
        <v>569</v>
      </c>
    </row>
    <row r="1198" spans="1:2" x14ac:dyDescent="0.25">
      <c r="A1198">
        <v>11378858</v>
      </c>
      <c r="B1198" t="s">
        <v>568</v>
      </c>
    </row>
    <row r="1199" spans="1:2" x14ac:dyDescent="0.25">
      <c r="A1199">
        <v>11382113</v>
      </c>
      <c r="B1199" t="s">
        <v>569</v>
      </c>
    </row>
    <row r="1200" spans="1:2" x14ac:dyDescent="0.25">
      <c r="A1200">
        <v>11382242</v>
      </c>
      <c r="B1200" t="s">
        <v>568</v>
      </c>
    </row>
    <row r="1201" spans="1:2" x14ac:dyDescent="0.25">
      <c r="A1201">
        <v>11359909</v>
      </c>
      <c r="B1201" t="s">
        <v>568</v>
      </c>
    </row>
    <row r="1202" spans="1:2" x14ac:dyDescent="0.25">
      <c r="A1202">
        <v>11358113</v>
      </c>
      <c r="B1202" t="s">
        <v>568</v>
      </c>
    </row>
    <row r="1203" spans="1:2" x14ac:dyDescent="0.25">
      <c r="A1203">
        <v>11347949</v>
      </c>
      <c r="B1203" t="s">
        <v>569</v>
      </c>
    </row>
    <row r="1204" spans="1:2" x14ac:dyDescent="0.25">
      <c r="A1204">
        <v>11348439</v>
      </c>
      <c r="B1204" t="s">
        <v>569</v>
      </c>
    </row>
    <row r="1205" spans="1:2" x14ac:dyDescent="0.25">
      <c r="A1205">
        <v>11375162</v>
      </c>
      <c r="B1205" t="s">
        <v>570</v>
      </c>
    </row>
    <row r="1206" spans="1:2" x14ac:dyDescent="0.25">
      <c r="A1206">
        <v>11371200</v>
      </c>
      <c r="B1206" t="s">
        <v>569</v>
      </c>
    </row>
    <row r="1207" spans="1:2" x14ac:dyDescent="0.25">
      <c r="A1207">
        <v>11371220</v>
      </c>
      <c r="B1207" t="s">
        <v>569</v>
      </c>
    </row>
    <row r="1208" spans="1:2" x14ac:dyDescent="0.25">
      <c r="A1208">
        <v>11371133</v>
      </c>
      <c r="B1208" t="s">
        <v>568</v>
      </c>
    </row>
    <row r="1209" spans="1:2" x14ac:dyDescent="0.25">
      <c r="A1209">
        <v>11370871</v>
      </c>
      <c r="B1209" t="s">
        <v>568</v>
      </c>
    </row>
    <row r="1210" spans="1:2" x14ac:dyDescent="0.25">
      <c r="A1210">
        <v>11941024</v>
      </c>
      <c r="B1210" t="s">
        <v>568</v>
      </c>
    </row>
    <row r="1211" spans="1:2" x14ac:dyDescent="0.25">
      <c r="A1211">
        <v>11577236</v>
      </c>
      <c r="B1211" t="s">
        <v>568</v>
      </c>
    </row>
    <row r="1212" spans="1:2" x14ac:dyDescent="0.25">
      <c r="A1212">
        <v>11578205</v>
      </c>
      <c r="B1212" t="s">
        <v>568</v>
      </c>
    </row>
    <row r="1213" spans="1:2" x14ac:dyDescent="0.25">
      <c r="A1213">
        <v>11657292</v>
      </c>
      <c r="B1213" t="s">
        <v>569</v>
      </c>
    </row>
    <row r="1214" spans="1:2" x14ac:dyDescent="0.25">
      <c r="A1214">
        <v>11826426</v>
      </c>
      <c r="B1214" t="s">
        <v>570</v>
      </c>
    </row>
    <row r="1215" spans="1:2" x14ac:dyDescent="0.25">
      <c r="A1215">
        <v>11543455</v>
      </c>
      <c r="B1215" t="s">
        <v>572</v>
      </c>
    </row>
    <row r="1216" spans="1:2" x14ac:dyDescent="0.25">
      <c r="A1216">
        <v>11407479</v>
      </c>
      <c r="B1216" t="s">
        <v>568</v>
      </c>
    </row>
    <row r="1217" spans="1:2" x14ac:dyDescent="0.25">
      <c r="A1217">
        <v>11550494</v>
      </c>
      <c r="B1217" t="s">
        <v>570</v>
      </c>
    </row>
    <row r="1218" spans="1:2" x14ac:dyDescent="0.25">
      <c r="A1218">
        <v>11544084</v>
      </c>
      <c r="B1218" t="s">
        <v>568</v>
      </c>
    </row>
    <row r="1219" spans="1:2" x14ac:dyDescent="0.25">
      <c r="A1219">
        <v>11982710</v>
      </c>
      <c r="B1219" t="s">
        <v>569</v>
      </c>
    </row>
    <row r="1220" spans="1:2" x14ac:dyDescent="0.25">
      <c r="A1220">
        <v>11976488</v>
      </c>
      <c r="B1220" t="s">
        <v>568</v>
      </c>
    </row>
    <row r="1221" spans="1:2" x14ac:dyDescent="0.25">
      <c r="A1221">
        <v>11931087</v>
      </c>
      <c r="B1221" t="s">
        <v>569</v>
      </c>
    </row>
    <row r="1222" spans="1:2" x14ac:dyDescent="0.25">
      <c r="A1222">
        <v>12004346</v>
      </c>
      <c r="B1222" t="s">
        <v>573</v>
      </c>
    </row>
    <row r="1223" spans="1:2" x14ac:dyDescent="0.25">
      <c r="A1223">
        <v>12018137</v>
      </c>
      <c r="B1223" t="s">
        <v>571</v>
      </c>
    </row>
    <row r="1224" spans="1:2" x14ac:dyDescent="0.25">
      <c r="A1224">
        <v>12018983</v>
      </c>
      <c r="B1224" t="s">
        <v>569</v>
      </c>
    </row>
    <row r="1225" spans="1:2" x14ac:dyDescent="0.25">
      <c r="A1225">
        <v>12020431</v>
      </c>
      <c r="B1225" t="s">
        <v>569</v>
      </c>
    </row>
    <row r="1226" spans="1:2" x14ac:dyDescent="0.25">
      <c r="A1226">
        <v>11881041</v>
      </c>
      <c r="B1226" t="s">
        <v>569</v>
      </c>
    </row>
    <row r="1227" spans="1:2" x14ac:dyDescent="0.25">
      <c r="A1227">
        <v>11871687</v>
      </c>
      <c r="B1227" t="s">
        <v>572</v>
      </c>
    </row>
    <row r="1228" spans="1:2" x14ac:dyDescent="0.25">
      <c r="A1228">
        <v>11875334</v>
      </c>
      <c r="B1228" t="s">
        <v>570</v>
      </c>
    </row>
    <row r="1229" spans="1:2" x14ac:dyDescent="0.25">
      <c r="A1229">
        <v>11867063</v>
      </c>
      <c r="B1229" t="s">
        <v>569</v>
      </c>
    </row>
    <row r="1230" spans="1:2" x14ac:dyDescent="0.25">
      <c r="A1230">
        <v>11856564</v>
      </c>
      <c r="B1230" t="s">
        <v>570</v>
      </c>
    </row>
    <row r="1231" spans="1:2" x14ac:dyDescent="0.25">
      <c r="A1231">
        <v>11854163</v>
      </c>
      <c r="B1231" t="s">
        <v>572</v>
      </c>
    </row>
    <row r="1232" spans="1:2" x14ac:dyDescent="0.25">
      <c r="A1232">
        <v>11855844</v>
      </c>
      <c r="B1232" t="s">
        <v>569</v>
      </c>
    </row>
    <row r="1233" spans="1:2" x14ac:dyDescent="0.25">
      <c r="A1233">
        <v>11847974</v>
      </c>
      <c r="B1233" t="s">
        <v>568</v>
      </c>
    </row>
    <row r="1234" spans="1:2" x14ac:dyDescent="0.25">
      <c r="A1234">
        <v>11858379</v>
      </c>
      <c r="B1234" t="s">
        <v>569</v>
      </c>
    </row>
    <row r="1235" spans="1:2" x14ac:dyDescent="0.25">
      <c r="A1235">
        <v>11859733</v>
      </c>
      <c r="B1235" t="s">
        <v>569</v>
      </c>
    </row>
    <row r="1236" spans="1:2" x14ac:dyDescent="0.25">
      <c r="A1236">
        <v>11860061</v>
      </c>
      <c r="B1236" t="s">
        <v>569</v>
      </c>
    </row>
    <row r="1237" spans="1:2" x14ac:dyDescent="0.25">
      <c r="A1237">
        <v>11940984</v>
      </c>
      <c r="B1237" t="s">
        <v>570</v>
      </c>
    </row>
    <row r="1238" spans="1:2" x14ac:dyDescent="0.25">
      <c r="A1238">
        <v>11969014</v>
      </c>
      <c r="B1238" t="s">
        <v>568</v>
      </c>
    </row>
    <row r="1239" spans="1:2" x14ac:dyDescent="0.25">
      <c r="A1239">
        <v>11935021</v>
      </c>
      <c r="B1239" t="s">
        <v>568</v>
      </c>
    </row>
    <row r="1240" spans="1:2" x14ac:dyDescent="0.25">
      <c r="A1240">
        <v>11890485</v>
      </c>
      <c r="B1240" t="s">
        <v>568</v>
      </c>
    </row>
    <row r="1241" spans="1:2" x14ac:dyDescent="0.25">
      <c r="A1241">
        <v>11896728</v>
      </c>
      <c r="B1241" t="s">
        <v>569</v>
      </c>
    </row>
    <row r="1242" spans="1:2" x14ac:dyDescent="0.25">
      <c r="A1242">
        <v>10622111</v>
      </c>
      <c r="B1242" t="s">
        <v>569</v>
      </c>
    </row>
    <row r="1243" spans="1:2" x14ac:dyDescent="0.25">
      <c r="A1243">
        <v>10622978</v>
      </c>
      <c r="B1243" t="s">
        <v>568</v>
      </c>
    </row>
    <row r="1244" spans="1:2" x14ac:dyDescent="0.25">
      <c r="A1244">
        <v>11278889</v>
      </c>
      <c r="B1244" t="s">
        <v>569</v>
      </c>
    </row>
    <row r="1245" spans="1:2" x14ac:dyDescent="0.25">
      <c r="A1245">
        <v>10624293</v>
      </c>
      <c r="B1245" t="s">
        <v>568</v>
      </c>
    </row>
    <row r="1246" spans="1:2" x14ac:dyDescent="0.25">
      <c r="A1246">
        <v>10784165</v>
      </c>
      <c r="B1246" t="s">
        <v>569</v>
      </c>
    </row>
    <row r="1247" spans="1:2" x14ac:dyDescent="0.25">
      <c r="A1247">
        <v>10826344</v>
      </c>
      <c r="B1247" t="s">
        <v>569</v>
      </c>
    </row>
    <row r="1248" spans="1:2" x14ac:dyDescent="0.25">
      <c r="A1248">
        <v>10891671</v>
      </c>
      <c r="B1248" t="s">
        <v>568</v>
      </c>
    </row>
    <row r="1249" spans="1:2" x14ac:dyDescent="0.25">
      <c r="A1249">
        <v>10771717</v>
      </c>
      <c r="B1249" t="s">
        <v>569</v>
      </c>
    </row>
    <row r="1250" spans="1:2" x14ac:dyDescent="0.25">
      <c r="A1250">
        <v>10856961</v>
      </c>
      <c r="B1250" t="s">
        <v>569</v>
      </c>
    </row>
    <row r="1251" spans="1:2" x14ac:dyDescent="0.25">
      <c r="A1251">
        <v>10809399</v>
      </c>
      <c r="B1251" t="s">
        <v>569</v>
      </c>
    </row>
    <row r="1252" spans="1:2" x14ac:dyDescent="0.25">
      <c r="A1252">
        <v>10930570</v>
      </c>
      <c r="B1252" t="s">
        <v>569</v>
      </c>
    </row>
    <row r="1253" spans="1:2" x14ac:dyDescent="0.25">
      <c r="A1253">
        <v>11330058</v>
      </c>
      <c r="B1253" t="s">
        <v>569</v>
      </c>
    </row>
    <row r="1254" spans="1:2" x14ac:dyDescent="0.25">
      <c r="A1254">
        <v>11335476</v>
      </c>
      <c r="B1254" t="s">
        <v>568</v>
      </c>
    </row>
    <row r="1255" spans="1:2" x14ac:dyDescent="0.25">
      <c r="A1255">
        <v>10858064</v>
      </c>
      <c r="B1255" t="s">
        <v>571</v>
      </c>
    </row>
    <row r="1256" spans="1:2" x14ac:dyDescent="0.25">
      <c r="A1256">
        <v>10589068</v>
      </c>
      <c r="B1256" t="s">
        <v>569</v>
      </c>
    </row>
    <row r="1257" spans="1:2" x14ac:dyDescent="0.25">
      <c r="A1257">
        <v>10911101</v>
      </c>
      <c r="B1257" t="s">
        <v>569</v>
      </c>
    </row>
    <row r="1258" spans="1:2" x14ac:dyDescent="0.25">
      <c r="A1258">
        <v>10580104</v>
      </c>
      <c r="B1258" t="s">
        <v>568</v>
      </c>
    </row>
    <row r="1259" spans="1:2" x14ac:dyDescent="0.25">
      <c r="A1259">
        <v>10814812</v>
      </c>
      <c r="B1259" t="s">
        <v>569</v>
      </c>
    </row>
    <row r="1260" spans="1:2" x14ac:dyDescent="0.25">
      <c r="A1260">
        <v>11574752</v>
      </c>
      <c r="B1260" t="s">
        <v>569</v>
      </c>
    </row>
    <row r="1261" spans="1:2" x14ac:dyDescent="0.25">
      <c r="A1261">
        <v>11559500</v>
      </c>
      <c r="B1261" t="s">
        <v>569</v>
      </c>
    </row>
    <row r="1262" spans="1:2" x14ac:dyDescent="0.25">
      <c r="A1262">
        <v>10751276</v>
      </c>
      <c r="B1262" t="s">
        <v>568</v>
      </c>
    </row>
    <row r="1263" spans="1:2" x14ac:dyDescent="0.25">
      <c r="A1263">
        <v>10752917</v>
      </c>
      <c r="B1263" t="s">
        <v>568</v>
      </c>
    </row>
    <row r="1264" spans="1:2" x14ac:dyDescent="0.25">
      <c r="A1264">
        <v>10757947</v>
      </c>
      <c r="B1264" t="s">
        <v>568</v>
      </c>
    </row>
    <row r="1265" spans="1:2" x14ac:dyDescent="0.25">
      <c r="A1265">
        <v>10781274</v>
      </c>
      <c r="B1265" t="s">
        <v>568</v>
      </c>
    </row>
    <row r="1266" spans="1:2" x14ac:dyDescent="0.25">
      <c r="A1266">
        <v>10781643</v>
      </c>
      <c r="B1266" t="s">
        <v>568</v>
      </c>
    </row>
    <row r="1267" spans="1:2" x14ac:dyDescent="0.25">
      <c r="A1267">
        <v>10782861</v>
      </c>
      <c r="B1267" t="s">
        <v>568</v>
      </c>
    </row>
    <row r="1268" spans="1:2" x14ac:dyDescent="0.25">
      <c r="A1268">
        <v>10786926</v>
      </c>
      <c r="B1268" t="s">
        <v>568</v>
      </c>
    </row>
    <row r="1269" spans="1:2" x14ac:dyDescent="0.25">
      <c r="A1269">
        <v>10722252</v>
      </c>
      <c r="B1269" t="s">
        <v>568</v>
      </c>
    </row>
    <row r="1270" spans="1:2" x14ac:dyDescent="0.25">
      <c r="A1270">
        <v>10723815</v>
      </c>
      <c r="B1270" t="s">
        <v>568</v>
      </c>
    </row>
    <row r="1271" spans="1:2" x14ac:dyDescent="0.25">
      <c r="A1271">
        <v>10719809</v>
      </c>
      <c r="B1271" t="s">
        <v>569</v>
      </c>
    </row>
    <row r="1272" spans="1:2" x14ac:dyDescent="0.25">
      <c r="A1272">
        <v>12019900</v>
      </c>
      <c r="B1272" t="s">
        <v>568</v>
      </c>
    </row>
    <row r="1273" spans="1:2" x14ac:dyDescent="0.25">
      <c r="A1273">
        <v>11960138</v>
      </c>
      <c r="B1273" t="s">
        <v>568</v>
      </c>
    </row>
    <row r="1274" spans="1:2" x14ac:dyDescent="0.25">
      <c r="A1274">
        <v>10732335</v>
      </c>
      <c r="B1274" t="s">
        <v>568</v>
      </c>
    </row>
    <row r="1275" spans="1:2" x14ac:dyDescent="0.25">
      <c r="A1275">
        <v>10737764</v>
      </c>
      <c r="B1275" t="s">
        <v>568</v>
      </c>
    </row>
    <row r="1276" spans="1:2" x14ac:dyDescent="0.25">
      <c r="A1276">
        <v>10676307</v>
      </c>
      <c r="B1276" t="s">
        <v>569</v>
      </c>
    </row>
    <row r="1277" spans="1:2" x14ac:dyDescent="0.25">
      <c r="A1277">
        <v>10695587</v>
      </c>
      <c r="B1277" t="s">
        <v>568</v>
      </c>
    </row>
    <row r="1278" spans="1:2" x14ac:dyDescent="0.25">
      <c r="A1278">
        <v>10700912</v>
      </c>
      <c r="B1278" t="s">
        <v>568</v>
      </c>
    </row>
    <row r="1279" spans="1:2" x14ac:dyDescent="0.25">
      <c r="A1279">
        <v>10676861</v>
      </c>
      <c r="B1279" t="s">
        <v>569</v>
      </c>
    </row>
    <row r="1280" spans="1:2" x14ac:dyDescent="0.25">
      <c r="A1280">
        <v>10847743</v>
      </c>
      <c r="B1280" t="s">
        <v>572</v>
      </c>
    </row>
    <row r="1281" spans="1:2" x14ac:dyDescent="0.25">
      <c r="A1281">
        <v>10853573</v>
      </c>
      <c r="B1281" t="s">
        <v>568</v>
      </c>
    </row>
    <row r="1282" spans="1:2" x14ac:dyDescent="0.25">
      <c r="A1282">
        <v>10875908</v>
      </c>
      <c r="B1282" t="s">
        <v>568</v>
      </c>
    </row>
    <row r="1283" spans="1:2" x14ac:dyDescent="0.25">
      <c r="A1283">
        <v>10869984</v>
      </c>
      <c r="B1283" t="s">
        <v>568</v>
      </c>
    </row>
    <row r="1284" spans="1:2" x14ac:dyDescent="0.25">
      <c r="A1284">
        <v>10867135</v>
      </c>
      <c r="B1284" t="s">
        <v>569</v>
      </c>
    </row>
    <row r="1285" spans="1:2" x14ac:dyDescent="0.25">
      <c r="A1285">
        <v>10869376</v>
      </c>
      <c r="B1285" t="s">
        <v>568</v>
      </c>
    </row>
    <row r="1286" spans="1:2" x14ac:dyDescent="0.25">
      <c r="A1286">
        <v>10900229</v>
      </c>
      <c r="B1286" t="s">
        <v>568</v>
      </c>
    </row>
    <row r="1287" spans="1:2" x14ac:dyDescent="0.25">
      <c r="A1287">
        <v>10902238</v>
      </c>
      <c r="B1287" t="s">
        <v>568</v>
      </c>
    </row>
    <row r="1288" spans="1:2" x14ac:dyDescent="0.25">
      <c r="A1288">
        <v>10919312</v>
      </c>
      <c r="B1288" t="s">
        <v>568</v>
      </c>
    </row>
    <row r="1289" spans="1:2" x14ac:dyDescent="0.25">
      <c r="A1289">
        <v>10919700</v>
      </c>
      <c r="B1289" t="s">
        <v>568</v>
      </c>
    </row>
    <row r="1290" spans="1:2" x14ac:dyDescent="0.25">
      <c r="A1290">
        <v>10904393</v>
      </c>
      <c r="B1290" t="s">
        <v>568</v>
      </c>
    </row>
    <row r="1291" spans="1:2" x14ac:dyDescent="0.25">
      <c r="A1291">
        <v>10906514</v>
      </c>
      <c r="B1291" t="s">
        <v>568</v>
      </c>
    </row>
    <row r="1292" spans="1:2" x14ac:dyDescent="0.25">
      <c r="A1292">
        <v>10907124</v>
      </c>
      <c r="B1292" t="s">
        <v>568</v>
      </c>
    </row>
    <row r="1293" spans="1:2" x14ac:dyDescent="0.25">
      <c r="A1293">
        <v>10892348</v>
      </c>
    </row>
    <row r="1294" spans="1:2" x14ac:dyDescent="0.25">
      <c r="A1294">
        <v>10881125</v>
      </c>
      <c r="B1294" t="s">
        <v>568</v>
      </c>
    </row>
    <row r="1295" spans="1:2" x14ac:dyDescent="0.25">
      <c r="A1295">
        <v>10881272</v>
      </c>
      <c r="B1295" t="s">
        <v>569</v>
      </c>
    </row>
    <row r="1296" spans="1:2" x14ac:dyDescent="0.25">
      <c r="A1296">
        <v>10881477</v>
      </c>
      <c r="B1296" t="s">
        <v>568</v>
      </c>
    </row>
    <row r="1297" spans="1:2" x14ac:dyDescent="0.25">
      <c r="A1297">
        <v>10890788</v>
      </c>
      <c r="B1297" t="s">
        <v>568</v>
      </c>
    </row>
    <row r="1298" spans="1:2" x14ac:dyDescent="0.25">
      <c r="A1298">
        <v>10891217</v>
      </c>
      <c r="B1298" t="s">
        <v>568</v>
      </c>
    </row>
    <row r="1299" spans="1:2" x14ac:dyDescent="0.25">
      <c r="A1299">
        <v>10818889</v>
      </c>
      <c r="B1299" t="s">
        <v>568</v>
      </c>
    </row>
    <row r="1300" spans="1:2" x14ac:dyDescent="0.25">
      <c r="A1300">
        <v>10819264</v>
      </c>
      <c r="B1300" t="s">
        <v>568</v>
      </c>
    </row>
    <row r="1301" spans="1:2" x14ac:dyDescent="0.25">
      <c r="A1301">
        <v>10835018</v>
      </c>
      <c r="B1301" t="s">
        <v>570</v>
      </c>
    </row>
    <row r="1302" spans="1:2" x14ac:dyDescent="0.25">
      <c r="A1302">
        <v>10835272</v>
      </c>
      <c r="B1302" t="s">
        <v>568</v>
      </c>
    </row>
    <row r="1303" spans="1:2" x14ac:dyDescent="0.25">
      <c r="A1303">
        <v>10843941</v>
      </c>
      <c r="B1303" t="s">
        <v>568</v>
      </c>
    </row>
    <row r="1304" spans="1:2" x14ac:dyDescent="0.25">
      <c r="A1304">
        <v>10804250</v>
      </c>
      <c r="B1304" t="s">
        <v>569</v>
      </c>
    </row>
    <row r="1305" spans="1:2" x14ac:dyDescent="0.25">
      <c r="A1305">
        <v>11277930</v>
      </c>
    </row>
    <row r="1306" spans="1:2" x14ac:dyDescent="0.25">
      <c r="A1306">
        <v>11363733</v>
      </c>
      <c r="B1306" t="s">
        <v>568</v>
      </c>
    </row>
    <row r="1307" spans="1:2" x14ac:dyDescent="0.25">
      <c r="A1307">
        <v>11378708</v>
      </c>
      <c r="B1307" t="s">
        <v>569</v>
      </c>
    </row>
    <row r="1308" spans="1:2" x14ac:dyDescent="0.25">
      <c r="A1308">
        <v>11381737</v>
      </c>
      <c r="B1308" t="s">
        <v>568</v>
      </c>
    </row>
    <row r="1309" spans="1:2" x14ac:dyDescent="0.25">
      <c r="A1309">
        <v>11386198</v>
      </c>
      <c r="B1309" t="s">
        <v>568</v>
      </c>
    </row>
    <row r="1310" spans="1:2" x14ac:dyDescent="0.25">
      <c r="A1310">
        <v>11386957</v>
      </c>
      <c r="B1310" t="s">
        <v>568</v>
      </c>
    </row>
    <row r="1311" spans="1:2" x14ac:dyDescent="0.25">
      <c r="A1311">
        <v>11393433</v>
      </c>
      <c r="B1311" t="s">
        <v>568</v>
      </c>
    </row>
    <row r="1312" spans="1:2" x14ac:dyDescent="0.25">
      <c r="A1312">
        <v>11394670</v>
      </c>
      <c r="B1312" t="s">
        <v>569</v>
      </c>
    </row>
    <row r="1313" spans="1:2" x14ac:dyDescent="0.25">
      <c r="A1313">
        <v>11707158</v>
      </c>
      <c r="B1313" t="s">
        <v>568</v>
      </c>
    </row>
    <row r="1314" spans="1:2" x14ac:dyDescent="0.25">
      <c r="A1314">
        <v>11774152</v>
      </c>
      <c r="B1314" t="s">
        <v>569</v>
      </c>
    </row>
    <row r="1315" spans="1:2" x14ac:dyDescent="0.25">
      <c r="A1315">
        <v>11782560</v>
      </c>
      <c r="B1315" t="s">
        <v>568</v>
      </c>
    </row>
    <row r="1316" spans="1:2" x14ac:dyDescent="0.25">
      <c r="A1316">
        <v>11743832</v>
      </c>
      <c r="B1316" t="s">
        <v>569</v>
      </c>
    </row>
    <row r="1317" spans="1:2" x14ac:dyDescent="0.25">
      <c r="A1317">
        <v>11769641</v>
      </c>
      <c r="B1317" t="s">
        <v>571</v>
      </c>
    </row>
    <row r="1318" spans="1:2" x14ac:dyDescent="0.25">
      <c r="A1318">
        <v>11751698</v>
      </c>
      <c r="B1318" t="s">
        <v>569</v>
      </c>
    </row>
    <row r="1319" spans="1:2" x14ac:dyDescent="0.25">
      <c r="A1319">
        <v>11790582</v>
      </c>
      <c r="B1319" t="s">
        <v>568</v>
      </c>
    </row>
    <row r="1320" spans="1:2" x14ac:dyDescent="0.25">
      <c r="A1320">
        <v>11791566</v>
      </c>
      <c r="B1320" t="s">
        <v>569</v>
      </c>
    </row>
    <row r="1321" spans="1:2" x14ac:dyDescent="0.25">
      <c r="A1321">
        <v>11808710</v>
      </c>
      <c r="B1321" t="s">
        <v>568</v>
      </c>
    </row>
    <row r="1322" spans="1:2" x14ac:dyDescent="0.25">
      <c r="A1322">
        <v>11724691</v>
      </c>
      <c r="B1322" t="s">
        <v>568</v>
      </c>
    </row>
    <row r="1323" spans="1:2" x14ac:dyDescent="0.25">
      <c r="A1323">
        <v>11731181</v>
      </c>
      <c r="B1323" t="s">
        <v>569</v>
      </c>
    </row>
    <row r="1324" spans="1:2" x14ac:dyDescent="0.25">
      <c r="A1324">
        <v>11733769</v>
      </c>
      <c r="B1324" t="s">
        <v>568</v>
      </c>
    </row>
    <row r="1325" spans="1:2" x14ac:dyDescent="0.25">
      <c r="A1325">
        <v>11891688</v>
      </c>
      <c r="B1325" t="s">
        <v>568</v>
      </c>
    </row>
    <row r="1326" spans="1:2" x14ac:dyDescent="0.25">
      <c r="A1326">
        <v>11595124</v>
      </c>
      <c r="B1326" t="s">
        <v>568</v>
      </c>
    </row>
    <row r="1327" spans="1:2" x14ac:dyDescent="0.25">
      <c r="A1327">
        <v>11591965</v>
      </c>
      <c r="B1327" t="s">
        <v>569</v>
      </c>
    </row>
    <row r="1328" spans="1:2" x14ac:dyDescent="0.25">
      <c r="A1328">
        <v>11709317</v>
      </c>
      <c r="B1328" t="s">
        <v>569</v>
      </c>
    </row>
    <row r="1329" spans="1:2" x14ac:dyDescent="0.25">
      <c r="A1329">
        <v>11679154</v>
      </c>
      <c r="B1329" t="s">
        <v>568</v>
      </c>
    </row>
    <row r="1330" spans="1:2" x14ac:dyDescent="0.25">
      <c r="A1330">
        <v>11846530</v>
      </c>
      <c r="B1330" t="s">
        <v>569</v>
      </c>
    </row>
    <row r="1331" spans="1:2" x14ac:dyDescent="0.25">
      <c r="A1331">
        <v>11897685</v>
      </c>
      <c r="B1331" t="s">
        <v>568</v>
      </c>
    </row>
    <row r="1332" spans="1:2" x14ac:dyDescent="0.25">
      <c r="A1332">
        <v>11902488</v>
      </c>
      <c r="B1332" t="s">
        <v>568</v>
      </c>
    </row>
    <row r="1333" spans="1:2" x14ac:dyDescent="0.25">
      <c r="A1333">
        <v>11927761</v>
      </c>
      <c r="B1333" t="s">
        <v>568</v>
      </c>
    </row>
    <row r="1334" spans="1:2" x14ac:dyDescent="0.25">
      <c r="A1334">
        <v>11925799</v>
      </c>
      <c r="B1334" t="s">
        <v>568</v>
      </c>
    </row>
    <row r="1335" spans="1:2" x14ac:dyDescent="0.25">
      <c r="A1335">
        <v>11600105</v>
      </c>
      <c r="B1335" t="s">
        <v>568</v>
      </c>
    </row>
    <row r="1336" spans="1:2" x14ac:dyDescent="0.25">
      <c r="A1336">
        <v>11600363</v>
      </c>
      <c r="B1336" t="s">
        <v>568</v>
      </c>
    </row>
    <row r="1337" spans="1:2" x14ac:dyDescent="0.25">
      <c r="A1337">
        <v>11593118</v>
      </c>
      <c r="B1337" t="s">
        <v>568</v>
      </c>
    </row>
    <row r="1338" spans="1:2" x14ac:dyDescent="0.25">
      <c r="A1338">
        <v>11543721</v>
      </c>
      <c r="B1338" t="s">
        <v>569</v>
      </c>
    </row>
    <row r="1339" spans="1:2" x14ac:dyDescent="0.25">
      <c r="A1339">
        <v>11543815</v>
      </c>
      <c r="B1339" t="s">
        <v>569</v>
      </c>
    </row>
    <row r="1340" spans="1:2" x14ac:dyDescent="0.25">
      <c r="A1340">
        <v>11543517</v>
      </c>
      <c r="B1340" t="s">
        <v>569</v>
      </c>
    </row>
    <row r="1341" spans="1:2" x14ac:dyDescent="0.25">
      <c r="A1341">
        <v>11543679</v>
      </c>
      <c r="B1341" t="s">
        <v>568</v>
      </c>
    </row>
    <row r="1342" spans="1:2" x14ac:dyDescent="0.25">
      <c r="A1342">
        <v>11548811</v>
      </c>
      <c r="B1342" t="s">
        <v>568</v>
      </c>
    </row>
    <row r="1343" spans="1:2" x14ac:dyDescent="0.25">
      <c r="A1343">
        <v>11551054</v>
      </c>
      <c r="B1343" t="s">
        <v>568</v>
      </c>
    </row>
    <row r="1344" spans="1:2" x14ac:dyDescent="0.25">
      <c r="A1344">
        <v>11554257</v>
      </c>
      <c r="B1344" t="s">
        <v>568</v>
      </c>
    </row>
    <row r="1345" spans="1:2" x14ac:dyDescent="0.25">
      <c r="A1345">
        <v>11555555</v>
      </c>
      <c r="B1345" t="s">
        <v>568</v>
      </c>
    </row>
    <row r="1346" spans="1:2" x14ac:dyDescent="0.25">
      <c r="A1346">
        <v>11556695</v>
      </c>
      <c r="B1346" t="s">
        <v>569</v>
      </c>
    </row>
    <row r="1347" spans="1:2" x14ac:dyDescent="0.25">
      <c r="A1347">
        <v>11557008</v>
      </c>
      <c r="B1347" t="s">
        <v>568</v>
      </c>
    </row>
    <row r="1348" spans="1:2" x14ac:dyDescent="0.25">
      <c r="A1348">
        <v>11612198</v>
      </c>
      <c r="B1348" t="s">
        <v>568</v>
      </c>
    </row>
    <row r="1349" spans="1:2" x14ac:dyDescent="0.25">
      <c r="A1349">
        <v>11613069</v>
      </c>
      <c r="B1349" t="s">
        <v>569</v>
      </c>
    </row>
    <row r="1350" spans="1:2" x14ac:dyDescent="0.25">
      <c r="A1350">
        <v>11616837</v>
      </c>
      <c r="B1350" t="s">
        <v>568</v>
      </c>
    </row>
    <row r="1351" spans="1:2" x14ac:dyDescent="0.25">
      <c r="A1351">
        <v>11616890</v>
      </c>
      <c r="B1351" t="s">
        <v>568</v>
      </c>
    </row>
    <row r="1352" spans="1:2" x14ac:dyDescent="0.25">
      <c r="A1352">
        <v>11622611</v>
      </c>
      <c r="B1352" t="s">
        <v>568</v>
      </c>
    </row>
    <row r="1353" spans="1:2" x14ac:dyDescent="0.25">
      <c r="A1353">
        <v>11627170</v>
      </c>
      <c r="B1353" t="s">
        <v>573</v>
      </c>
    </row>
    <row r="1354" spans="1:2" x14ac:dyDescent="0.25">
      <c r="A1354">
        <v>11630049</v>
      </c>
      <c r="B1354" t="s">
        <v>569</v>
      </c>
    </row>
    <row r="1355" spans="1:2" x14ac:dyDescent="0.25">
      <c r="A1355">
        <v>11631525</v>
      </c>
      <c r="B1355" t="s">
        <v>568</v>
      </c>
    </row>
    <row r="1356" spans="1:2" x14ac:dyDescent="0.25">
      <c r="A1356">
        <v>11681229</v>
      </c>
      <c r="B1356" t="s">
        <v>568</v>
      </c>
    </row>
    <row r="1357" spans="1:2" x14ac:dyDescent="0.25">
      <c r="A1357">
        <v>11683887</v>
      </c>
      <c r="B1357" t="s">
        <v>568</v>
      </c>
    </row>
    <row r="1358" spans="1:2" x14ac:dyDescent="0.25">
      <c r="A1358">
        <v>11967038</v>
      </c>
      <c r="B1358" t="s">
        <v>568</v>
      </c>
    </row>
    <row r="1359" spans="1:2" x14ac:dyDescent="0.25">
      <c r="A1359">
        <v>11891246</v>
      </c>
      <c r="B1359" t="s">
        <v>568</v>
      </c>
    </row>
    <row r="1360" spans="1:2" x14ac:dyDescent="0.25">
      <c r="A1360">
        <v>11218881</v>
      </c>
      <c r="B1360" t="s">
        <v>572</v>
      </c>
    </row>
    <row r="1361" spans="1:2" x14ac:dyDescent="0.25">
      <c r="A1361">
        <v>11048263</v>
      </c>
      <c r="B1361" t="s">
        <v>569</v>
      </c>
    </row>
    <row r="1362" spans="1:2" x14ac:dyDescent="0.25">
      <c r="A1362">
        <v>11047039</v>
      </c>
      <c r="B1362" t="s">
        <v>569</v>
      </c>
    </row>
    <row r="1363" spans="1:2" x14ac:dyDescent="0.25">
      <c r="A1363">
        <v>11406886</v>
      </c>
      <c r="B1363" t="s">
        <v>568</v>
      </c>
    </row>
    <row r="1364" spans="1:2" x14ac:dyDescent="0.25">
      <c r="A1364">
        <v>10667200</v>
      </c>
      <c r="B1364" t="s">
        <v>568</v>
      </c>
    </row>
    <row r="1365" spans="1:2" x14ac:dyDescent="0.25">
      <c r="A1365">
        <v>11911048</v>
      </c>
      <c r="B1365" t="s">
        <v>568</v>
      </c>
    </row>
    <row r="1366" spans="1:2" x14ac:dyDescent="0.25">
      <c r="A1366">
        <v>11853229</v>
      </c>
      <c r="B1366" t="s">
        <v>569</v>
      </c>
    </row>
    <row r="1367" spans="1:2" x14ac:dyDescent="0.25">
      <c r="A1367">
        <v>11856405</v>
      </c>
      <c r="B1367" t="s">
        <v>569</v>
      </c>
    </row>
    <row r="1368" spans="1:2" x14ac:dyDescent="0.25">
      <c r="A1368">
        <v>11858399</v>
      </c>
      <c r="B1368" t="s">
        <v>568</v>
      </c>
    </row>
    <row r="1369" spans="1:2" x14ac:dyDescent="0.25">
      <c r="A1369">
        <v>11858400</v>
      </c>
      <c r="B1369" t="s">
        <v>568</v>
      </c>
    </row>
    <row r="1370" spans="1:2" x14ac:dyDescent="0.25">
      <c r="A1370">
        <v>11858510</v>
      </c>
      <c r="B1370" t="s">
        <v>568</v>
      </c>
    </row>
    <row r="1371" spans="1:2" x14ac:dyDescent="0.25">
      <c r="A1371">
        <v>11858333</v>
      </c>
      <c r="B1371" t="s">
        <v>568</v>
      </c>
    </row>
    <row r="1372" spans="1:2" x14ac:dyDescent="0.25">
      <c r="A1372">
        <v>11860891</v>
      </c>
      <c r="B1372" t="s">
        <v>568</v>
      </c>
    </row>
    <row r="1373" spans="1:2" x14ac:dyDescent="0.25">
      <c r="A1373">
        <v>11861264</v>
      </c>
      <c r="B1373" t="s">
        <v>568</v>
      </c>
    </row>
    <row r="1374" spans="1:2" x14ac:dyDescent="0.25">
      <c r="A1374">
        <v>11864208</v>
      </c>
      <c r="B1374" t="s">
        <v>568</v>
      </c>
    </row>
    <row r="1375" spans="1:2" x14ac:dyDescent="0.25">
      <c r="A1375">
        <v>11869281</v>
      </c>
      <c r="B1375" t="s">
        <v>568</v>
      </c>
    </row>
    <row r="1376" spans="1:2" x14ac:dyDescent="0.25">
      <c r="A1376">
        <v>11873177</v>
      </c>
      <c r="B1376" t="s">
        <v>569</v>
      </c>
    </row>
    <row r="1377" spans="1:2" x14ac:dyDescent="0.25">
      <c r="A1377">
        <v>11873320</v>
      </c>
      <c r="B1377" t="s">
        <v>569</v>
      </c>
    </row>
    <row r="1378" spans="1:2" x14ac:dyDescent="0.25">
      <c r="A1378">
        <v>11829866</v>
      </c>
      <c r="B1378" t="s">
        <v>568</v>
      </c>
    </row>
    <row r="1379" spans="1:2" x14ac:dyDescent="0.25">
      <c r="A1379">
        <v>12024396</v>
      </c>
      <c r="B1379" t="s">
        <v>568</v>
      </c>
    </row>
    <row r="1380" spans="1:2" x14ac:dyDescent="0.25">
      <c r="A1380">
        <v>12025481</v>
      </c>
      <c r="B1380" t="s">
        <v>568</v>
      </c>
    </row>
    <row r="1381" spans="1:2" x14ac:dyDescent="0.25">
      <c r="A1381">
        <v>12021721</v>
      </c>
      <c r="B1381" t="s">
        <v>568</v>
      </c>
    </row>
    <row r="1382" spans="1:2" x14ac:dyDescent="0.25">
      <c r="A1382">
        <v>12020242</v>
      </c>
      <c r="B1382" t="s">
        <v>568</v>
      </c>
    </row>
    <row r="1383" spans="1:2" x14ac:dyDescent="0.25">
      <c r="A1383">
        <v>12019279</v>
      </c>
      <c r="B1383" t="s">
        <v>570</v>
      </c>
    </row>
    <row r="1384" spans="1:2" x14ac:dyDescent="0.25">
      <c r="A1384">
        <v>12022000</v>
      </c>
      <c r="B1384" t="s">
        <v>569</v>
      </c>
    </row>
    <row r="1385" spans="1:2" x14ac:dyDescent="0.25">
      <c r="A1385">
        <v>12022134</v>
      </c>
      <c r="B1385" t="s">
        <v>568</v>
      </c>
    </row>
    <row r="1386" spans="1:2" x14ac:dyDescent="0.25">
      <c r="A1386">
        <v>12022332</v>
      </c>
      <c r="B1386" t="s">
        <v>568</v>
      </c>
    </row>
    <row r="1387" spans="1:2" x14ac:dyDescent="0.25">
      <c r="A1387">
        <v>12022510</v>
      </c>
      <c r="B1387" t="s">
        <v>568</v>
      </c>
    </row>
    <row r="1388" spans="1:2" x14ac:dyDescent="0.25">
      <c r="A1388">
        <v>12023201</v>
      </c>
      <c r="B1388" t="s">
        <v>568</v>
      </c>
    </row>
    <row r="1389" spans="1:2" x14ac:dyDescent="0.25">
      <c r="A1389">
        <v>11890561</v>
      </c>
      <c r="B1389" t="s">
        <v>568</v>
      </c>
    </row>
    <row r="1390" spans="1:2" x14ac:dyDescent="0.25">
      <c r="A1390">
        <v>11995589</v>
      </c>
      <c r="B1390" t="s">
        <v>568</v>
      </c>
    </row>
    <row r="1391" spans="1:2" x14ac:dyDescent="0.25">
      <c r="A1391">
        <v>11941048</v>
      </c>
      <c r="B1391" t="s">
        <v>570</v>
      </c>
    </row>
    <row r="1392" spans="1:2" x14ac:dyDescent="0.25">
      <c r="A1392">
        <v>12007708</v>
      </c>
      <c r="B1392" t="s">
        <v>568</v>
      </c>
    </row>
    <row r="1393" spans="1:2" x14ac:dyDescent="0.25">
      <c r="A1393">
        <v>12008251</v>
      </c>
      <c r="B1393" t="s">
        <v>569</v>
      </c>
    </row>
    <row r="1394" spans="1:2" x14ac:dyDescent="0.25">
      <c r="A1394">
        <v>12008872</v>
      </c>
      <c r="B1394" t="s">
        <v>569</v>
      </c>
    </row>
    <row r="1395" spans="1:2" x14ac:dyDescent="0.25">
      <c r="A1395">
        <v>11933359</v>
      </c>
      <c r="B1395" t="s">
        <v>568</v>
      </c>
    </row>
    <row r="1396" spans="1:2" x14ac:dyDescent="0.25">
      <c r="A1396">
        <v>11971676</v>
      </c>
      <c r="B1396" t="s">
        <v>568</v>
      </c>
    </row>
    <row r="1397" spans="1:2" x14ac:dyDescent="0.25">
      <c r="A1397">
        <v>11967846</v>
      </c>
      <c r="B1397" t="s">
        <v>568</v>
      </c>
    </row>
    <row r="1398" spans="1:2" x14ac:dyDescent="0.25">
      <c r="A1398">
        <v>11969025</v>
      </c>
      <c r="B1398" t="s">
        <v>568</v>
      </c>
    </row>
    <row r="1399" spans="1:2" x14ac:dyDescent="0.25">
      <c r="A1399">
        <v>11953055</v>
      </c>
      <c r="B1399" t="s">
        <v>568</v>
      </c>
    </row>
    <row r="1400" spans="1:2" x14ac:dyDescent="0.25">
      <c r="A1400">
        <v>11644204</v>
      </c>
      <c r="B1400" t="s">
        <v>568</v>
      </c>
    </row>
    <row r="1401" spans="1:2" x14ac:dyDescent="0.25">
      <c r="A1401">
        <v>11552801</v>
      </c>
      <c r="B1401" t="s">
        <v>568</v>
      </c>
    </row>
    <row r="1402" spans="1:2" x14ac:dyDescent="0.25">
      <c r="A1402">
        <v>11553834</v>
      </c>
      <c r="B1402" t="s">
        <v>569</v>
      </c>
    </row>
    <row r="1403" spans="1:2" x14ac:dyDescent="0.25">
      <c r="A1403">
        <v>11560796</v>
      </c>
      <c r="B1403" t="s">
        <v>570</v>
      </c>
    </row>
    <row r="1404" spans="1:2" x14ac:dyDescent="0.25">
      <c r="A1404">
        <v>11570699</v>
      </c>
      <c r="B1404" t="s">
        <v>568</v>
      </c>
    </row>
    <row r="1405" spans="1:2" x14ac:dyDescent="0.25">
      <c r="A1405">
        <v>11570745</v>
      </c>
      <c r="B1405" t="s">
        <v>569</v>
      </c>
    </row>
    <row r="1406" spans="1:2" x14ac:dyDescent="0.25">
      <c r="A1406">
        <v>11591073</v>
      </c>
      <c r="B1406" t="s">
        <v>568</v>
      </c>
    </row>
    <row r="1407" spans="1:2" x14ac:dyDescent="0.25">
      <c r="A1407">
        <v>11592268</v>
      </c>
      <c r="B1407" t="s">
        <v>568</v>
      </c>
    </row>
    <row r="1408" spans="1:2" x14ac:dyDescent="0.25">
      <c r="A1408">
        <v>11592429</v>
      </c>
      <c r="B1408" t="s">
        <v>568</v>
      </c>
    </row>
    <row r="1409" spans="1:2" x14ac:dyDescent="0.25">
      <c r="A1409">
        <v>11592898</v>
      </c>
      <c r="B1409" t="s">
        <v>569</v>
      </c>
    </row>
    <row r="1410" spans="1:2" x14ac:dyDescent="0.25">
      <c r="A1410">
        <v>11598519</v>
      </c>
      <c r="B1410" t="s">
        <v>569</v>
      </c>
    </row>
    <row r="1411" spans="1:2" x14ac:dyDescent="0.25">
      <c r="A1411">
        <v>11663071</v>
      </c>
      <c r="B1411" t="s">
        <v>568</v>
      </c>
    </row>
    <row r="1412" spans="1:2" x14ac:dyDescent="0.25">
      <c r="A1412">
        <v>11663580</v>
      </c>
      <c r="B1412" t="s">
        <v>568</v>
      </c>
    </row>
    <row r="1413" spans="1:2" x14ac:dyDescent="0.25">
      <c r="A1413">
        <v>11666828</v>
      </c>
      <c r="B1413" t="s">
        <v>568</v>
      </c>
    </row>
    <row r="1414" spans="1:2" x14ac:dyDescent="0.25">
      <c r="A1414">
        <v>10954443</v>
      </c>
      <c r="B1414" t="s">
        <v>569</v>
      </c>
    </row>
    <row r="1415" spans="1:2" x14ac:dyDescent="0.25">
      <c r="A1415">
        <v>11860332</v>
      </c>
      <c r="B1415" t="s">
        <v>568</v>
      </c>
    </row>
    <row r="1416" spans="1:2" x14ac:dyDescent="0.25">
      <c r="A1416">
        <v>11865775</v>
      </c>
      <c r="B1416" t="s">
        <v>569</v>
      </c>
    </row>
    <row r="1417" spans="1:2" x14ac:dyDescent="0.25">
      <c r="A1417">
        <v>11892084</v>
      </c>
      <c r="B1417" t="s">
        <v>568</v>
      </c>
    </row>
    <row r="1418" spans="1:2" x14ac:dyDescent="0.25">
      <c r="A1418">
        <v>11939049</v>
      </c>
      <c r="B1418" t="s">
        <v>569</v>
      </c>
    </row>
    <row r="1419" spans="1:2" x14ac:dyDescent="0.25">
      <c r="A1419">
        <v>11806457</v>
      </c>
      <c r="B1419" t="s">
        <v>569</v>
      </c>
    </row>
    <row r="1420" spans="1:2" x14ac:dyDescent="0.25">
      <c r="A1420">
        <v>11616387</v>
      </c>
      <c r="B1420" t="s">
        <v>568</v>
      </c>
    </row>
    <row r="1421" spans="1:2" x14ac:dyDescent="0.25">
      <c r="A1421">
        <v>11623516</v>
      </c>
      <c r="B1421" t="s">
        <v>568</v>
      </c>
    </row>
    <row r="1422" spans="1:2" x14ac:dyDescent="0.25">
      <c r="A1422">
        <v>11736808</v>
      </c>
      <c r="B1422" t="s">
        <v>568</v>
      </c>
    </row>
    <row r="1423" spans="1:2" x14ac:dyDescent="0.25">
      <c r="A1423">
        <v>11707790</v>
      </c>
      <c r="B1423" t="s">
        <v>568</v>
      </c>
    </row>
    <row r="1424" spans="1:2" x14ac:dyDescent="0.25">
      <c r="A1424">
        <v>11756567</v>
      </c>
      <c r="B1424" t="s">
        <v>568</v>
      </c>
    </row>
    <row r="1425" spans="1:2" x14ac:dyDescent="0.25">
      <c r="A1425">
        <v>10940074</v>
      </c>
      <c r="B1425" t="s">
        <v>568</v>
      </c>
    </row>
    <row r="1426" spans="1:2" x14ac:dyDescent="0.25">
      <c r="A1426">
        <v>11787509</v>
      </c>
      <c r="B1426" t="s">
        <v>569</v>
      </c>
    </row>
    <row r="1427" spans="1:2" x14ac:dyDescent="0.25">
      <c r="A1427">
        <v>11787607</v>
      </c>
      <c r="B1427" t="s">
        <v>569</v>
      </c>
    </row>
    <row r="1428" spans="1:2" x14ac:dyDescent="0.25">
      <c r="A1428">
        <v>11788827</v>
      </c>
      <c r="B1428" t="s">
        <v>568</v>
      </c>
    </row>
    <row r="1429" spans="1:2" x14ac:dyDescent="0.25">
      <c r="A1429">
        <v>11058513</v>
      </c>
      <c r="B1429" t="s">
        <v>569</v>
      </c>
    </row>
    <row r="1430" spans="1:2" x14ac:dyDescent="0.25">
      <c r="A1430">
        <v>11058003</v>
      </c>
      <c r="B1430" t="s">
        <v>568</v>
      </c>
    </row>
    <row r="1431" spans="1:2" x14ac:dyDescent="0.25">
      <c r="A1431">
        <v>11046834</v>
      </c>
      <c r="B1431" t="s">
        <v>568</v>
      </c>
    </row>
    <row r="1432" spans="1:2" x14ac:dyDescent="0.25">
      <c r="A1432">
        <v>11047063</v>
      </c>
      <c r="B1432" t="s">
        <v>568</v>
      </c>
    </row>
    <row r="1433" spans="1:2" x14ac:dyDescent="0.25">
      <c r="A1433">
        <v>11007414</v>
      </c>
      <c r="B1433" t="s">
        <v>569</v>
      </c>
    </row>
    <row r="1434" spans="1:2" x14ac:dyDescent="0.25">
      <c r="A1434">
        <v>11007850</v>
      </c>
      <c r="B1434" t="s">
        <v>568</v>
      </c>
    </row>
    <row r="1435" spans="1:2" x14ac:dyDescent="0.25">
      <c r="A1435">
        <v>11028212</v>
      </c>
      <c r="B1435" t="s">
        <v>568</v>
      </c>
    </row>
    <row r="1436" spans="1:2" x14ac:dyDescent="0.25">
      <c r="A1436">
        <v>11028705</v>
      </c>
      <c r="B1436" t="s">
        <v>568</v>
      </c>
    </row>
    <row r="1437" spans="1:2" x14ac:dyDescent="0.25">
      <c r="A1437">
        <v>10981395</v>
      </c>
      <c r="B1437" t="s">
        <v>568</v>
      </c>
    </row>
    <row r="1438" spans="1:2" x14ac:dyDescent="0.25">
      <c r="A1438">
        <v>10981593</v>
      </c>
      <c r="B1438" t="s">
        <v>568</v>
      </c>
    </row>
    <row r="1439" spans="1:2" x14ac:dyDescent="0.25">
      <c r="A1439">
        <v>10961649</v>
      </c>
      <c r="B1439" t="s">
        <v>568</v>
      </c>
    </row>
    <row r="1440" spans="1:2" x14ac:dyDescent="0.25">
      <c r="A1440">
        <v>10992161</v>
      </c>
      <c r="B1440" t="s">
        <v>568</v>
      </c>
    </row>
    <row r="1441" spans="1:2" x14ac:dyDescent="0.25">
      <c r="A1441">
        <v>10992174</v>
      </c>
      <c r="B1441" t="s">
        <v>568</v>
      </c>
    </row>
    <row r="1442" spans="1:2" x14ac:dyDescent="0.25">
      <c r="A1442">
        <v>11003012</v>
      </c>
      <c r="B1442" t="s">
        <v>568</v>
      </c>
    </row>
    <row r="1443" spans="1:2" x14ac:dyDescent="0.25">
      <c r="A1443">
        <v>11007926</v>
      </c>
      <c r="B1443" t="s">
        <v>570</v>
      </c>
    </row>
    <row r="1444" spans="1:2" x14ac:dyDescent="0.25">
      <c r="A1444">
        <v>11008930</v>
      </c>
      <c r="B1444" t="s">
        <v>568</v>
      </c>
    </row>
    <row r="1445" spans="1:2" x14ac:dyDescent="0.25">
      <c r="A1445">
        <v>10934164</v>
      </c>
      <c r="B1445" t="s">
        <v>568</v>
      </c>
    </row>
    <row r="1446" spans="1:2" x14ac:dyDescent="0.25">
      <c r="A1446">
        <v>10934175</v>
      </c>
      <c r="B1446" t="s">
        <v>568</v>
      </c>
    </row>
    <row r="1447" spans="1:2" x14ac:dyDescent="0.25">
      <c r="A1447">
        <v>10934885</v>
      </c>
      <c r="B1447" t="s">
        <v>568</v>
      </c>
    </row>
    <row r="1448" spans="1:2" x14ac:dyDescent="0.25">
      <c r="A1448">
        <v>10935826</v>
      </c>
      <c r="B1448" t="s">
        <v>568</v>
      </c>
    </row>
    <row r="1449" spans="1:2" x14ac:dyDescent="0.25">
      <c r="A1449">
        <v>10920794</v>
      </c>
      <c r="B1449" t="s">
        <v>568</v>
      </c>
    </row>
    <row r="1450" spans="1:2" x14ac:dyDescent="0.25">
      <c r="A1450">
        <v>10920847</v>
      </c>
      <c r="B1450" t="s">
        <v>568</v>
      </c>
    </row>
    <row r="1451" spans="1:2" x14ac:dyDescent="0.25">
      <c r="A1451">
        <v>10920931</v>
      </c>
      <c r="B1451" t="s">
        <v>569</v>
      </c>
    </row>
    <row r="1452" spans="1:2" x14ac:dyDescent="0.25">
      <c r="A1452">
        <v>10921537</v>
      </c>
      <c r="B1452" t="s">
        <v>569</v>
      </c>
    </row>
    <row r="1453" spans="1:2" x14ac:dyDescent="0.25">
      <c r="A1453">
        <v>10922017</v>
      </c>
      <c r="B1453" t="s">
        <v>568</v>
      </c>
    </row>
    <row r="1454" spans="1:2" x14ac:dyDescent="0.25">
      <c r="A1454">
        <v>10922129</v>
      </c>
      <c r="B1454" t="s">
        <v>568</v>
      </c>
    </row>
    <row r="1455" spans="1:2" x14ac:dyDescent="0.25">
      <c r="A1455">
        <v>10922222</v>
      </c>
      <c r="B1455" t="s">
        <v>568</v>
      </c>
    </row>
    <row r="1456" spans="1:2" x14ac:dyDescent="0.25">
      <c r="A1456">
        <v>10923561</v>
      </c>
      <c r="B1456" t="s">
        <v>568</v>
      </c>
    </row>
    <row r="1457" spans="1:2" x14ac:dyDescent="0.25">
      <c r="A1457">
        <v>10924032</v>
      </c>
      <c r="B1457" t="s">
        <v>568</v>
      </c>
    </row>
    <row r="1458" spans="1:2" x14ac:dyDescent="0.25">
      <c r="A1458">
        <v>10925401</v>
      </c>
      <c r="B1458" t="s">
        <v>568</v>
      </c>
    </row>
    <row r="1459" spans="1:2" x14ac:dyDescent="0.25">
      <c r="A1459">
        <v>11739168</v>
      </c>
      <c r="B1459" t="s">
        <v>568</v>
      </c>
    </row>
    <row r="1460" spans="1:2" x14ac:dyDescent="0.25">
      <c r="A1460">
        <v>11729594</v>
      </c>
      <c r="B1460" t="s">
        <v>568</v>
      </c>
    </row>
    <row r="1461" spans="1:2" x14ac:dyDescent="0.25">
      <c r="A1461">
        <v>11730136</v>
      </c>
      <c r="B1461" t="s">
        <v>569</v>
      </c>
    </row>
    <row r="1462" spans="1:2" x14ac:dyDescent="0.25">
      <c r="A1462">
        <v>11543162</v>
      </c>
      <c r="B1462" t="s">
        <v>568</v>
      </c>
    </row>
    <row r="1463" spans="1:2" x14ac:dyDescent="0.25">
      <c r="A1463">
        <v>11946313</v>
      </c>
      <c r="B1463" t="s">
        <v>569</v>
      </c>
    </row>
    <row r="1464" spans="1:2" x14ac:dyDescent="0.25">
      <c r="A1464">
        <v>11667087</v>
      </c>
      <c r="B1464" t="s">
        <v>569</v>
      </c>
    </row>
    <row r="1465" spans="1:2" x14ac:dyDescent="0.25">
      <c r="A1465">
        <v>11577546</v>
      </c>
      <c r="B1465" t="s">
        <v>569</v>
      </c>
    </row>
    <row r="1466" spans="1:2" x14ac:dyDescent="0.25">
      <c r="A1466">
        <v>11562515</v>
      </c>
      <c r="B1466" t="s">
        <v>568</v>
      </c>
    </row>
    <row r="1467" spans="1:2" x14ac:dyDescent="0.25">
      <c r="A1467">
        <v>11569480</v>
      </c>
      <c r="B1467" t="s">
        <v>568</v>
      </c>
    </row>
    <row r="1468" spans="1:2" x14ac:dyDescent="0.25">
      <c r="A1468">
        <v>11562083</v>
      </c>
      <c r="B1468" t="s">
        <v>568</v>
      </c>
    </row>
    <row r="1469" spans="1:2" x14ac:dyDescent="0.25">
      <c r="A1469">
        <v>11562391</v>
      </c>
      <c r="B1469" t="s">
        <v>568</v>
      </c>
    </row>
    <row r="1470" spans="1:2" x14ac:dyDescent="0.25">
      <c r="A1470">
        <v>11557651</v>
      </c>
      <c r="B1470" t="s">
        <v>569</v>
      </c>
    </row>
    <row r="1471" spans="1:2" x14ac:dyDescent="0.25">
      <c r="A1471">
        <v>11557901</v>
      </c>
      <c r="B1471" t="s">
        <v>569</v>
      </c>
    </row>
    <row r="1472" spans="1:2" x14ac:dyDescent="0.25">
      <c r="A1472">
        <v>11558254</v>
      </c>
      <c r="B1472" t="s">
        <v>568</v>
      </c>
    </row>
    <row r="1473" spans="1:2" x14ac:dyDescent="0.25">
      <c r="A1473">
        <v>11558657</v>
      </c>
      <c r="B1473" t="s">
        <v>569</v>
      </c>
    </row>
    <row r="1474" spans="1:2" x14ac:dyDescent="0.25">
      <c r="A1474">
        <v>11559057</v>
      </c>
      <c r="B1474" t="s">
        <v>568</v>
      </c>
    </row>
    <row r="1475" spans="1:2" x14ac:dyDescent="0.25">
      <c r="A1475">
        <v>11560307</v>
      </c>
      <c r="B1475" t="s">
        <v>568</v>
      </c>
    </row>
    <row r="1476" spans="1:2" x14ac:dyDescent="0.25">
      <c r="A1476">
        <v>11272837</v>
      </c>
      <c r="B1476" t="s">
        <v>568</v>
      </c>
    </row>
    <row r="1477" spans="1:2" x14ac:dyDescent="0.25">
      <c r="A1477">
        <v>11305477</v>
      </c>
      <c r="B1477" t="s">
        <v>568</v>
      </c>
    </row>
    <row r="1478" spans="1:2" x14ac:dyDescent="0.25">
      <c r="A1478">
        <v>11298984</v>
      </c>
      <c r="B1478" t="s">
        <v>568</v>
      </c>
    </row>
    <row r="1479" spans="1:2" x14ac:dyDescent="0.25">
      <c r="A1479">
        <v>11269572</v>
      </c>
      <c r="B1479" t="s">
        <v>568</v>
      </c>
    </row>
    <row r="1480" spans="1:2" x14ac:dyDescent="0.25">
      <c r="A1480">
        <v>11229397</v>
      </c>
      <c r="B1480" t="s">
        <v>568</v>
      </c>
    </row>
    <row r="1481" spans="1:2" x14ac:dyDescent="0.25">
      <c r="A1481">
        <v>11238632</v>
      </c>
      <c r="B1481" t="s">
        <v>568</v>
      </c>
    </row>
    <row r="1482" spans="1:2" x14ac:dyDescent="0.25">
      <c r="A1482">
        <v>11241375</v>
      </c>
      <c r="B1482" t="s">
        <v>568</v>
      </c>
    </row>
    <row r="1483" spans="1:2" x14ac:dyDescent="0.25">
      <c r="A1483">
        <v>11302947</v>
      </c>
      <c r="B1483" t="s">
        <v>569</v>
      </c>
    </row>
    <row r="1484" spans="1:2" x14ac:dyDescent="0.25">
      <c r="A1484">
        <v>11331246</v>
      </c>
      <c r="B1484" t="s">
        <v>569</v>
      </c>
    </row>
    <row r="1485" spans="1:2" x14ac:dyDescent="0.25">
      <c r="A1485">
        <v>11338338</v>
      </c>
      <c r="B1485" t="s">
        <v>569</v>
      </c>
    </row>
    <row r="1486" spans="1:2" x14ac:dyDescent="0.25">
      <c r="A1486">
        <v>11344378</v>
      </c>
      <c r="B1486" t="s">
        <v>569</v>
      </c>
    </row>
    <row r="1487" spans="1:2" x14ac:dyDescent="0.25">
      <c r="A1487">
        <v>11345547</v>
      </c>
      <c r="B1487" t="s">
        <v>568</v>
      </c>
    </row>
    <row r="1488" spans="1:2" x14ac:dyDescent="0.25">
      <c r="A1488">
        <v>11345826</v>
      </c>
      <c r="B1488" t="s">
        <v>569</v>
      </c>
    </row>
    <row r="1489" spans="1:2" x14ac:dyDescent="0.25">
      <c r="A1489">
        <v>11348282</v>
      </c>
      <c r="B1489" t="s">
        <v>568</v>
      </c>
    </row>
    <row r="1490" spans="1:2" x14ac:dyDescent="0.25">
      <c r="A1490">
        <v>11359877</v>
      </c>
      <c r="B1490" t="s">
        <v>568</v>
      </c>
    </row>
    <row r="1491" spans="1:2" x14ac:dyDescent="0.25">
      <c r="A1491">
        <v>11409218</v>
      </c>
      <c r="B1491" t="s">
        <v>568</v>
      </c>
    </row>
    <row r="1492" spans="1:2" x14ac:dyDescent="0.25">
      <c r="A1492">
        <v>11440238</v>
      </c>
      <c r="B1492" t="s">
        <v>568</v>
      </c>
    </row>
    <row r="1493" spans="1:2" x14ac:dyDescent="0.25">
      <c r="A1493">
        <v>11518743</v>
      </c>
      <c r="B1493" t="s">
        <v>568</v>
      </c>
    </row>
    <row r="1494" spans="1:2" x14ac:dyDescent="0.25">
      <c r="A1494">
        <v>11520506</v>
      </c>
      <c r="B1494" t="s">
        <v>568</v>
      </c>
    </row>
    <row r="1495" spans="1:2" x14ac:dyDescent="0.25">
      <c r="A1495">
        <v>11462140</v>
      </c>
      <c r="B1495" t="s">
        <v>568</v>
      </c>
    </row>
    <row r="1496" spans="1:2" x14ac:dyDescent="0.25">
      <c r="A1496">
        <v>11472198</v>
      </c>
      <c r="B1496" t="s">
        <v>569</v>
      </c>
    </row>
    <row r="1497" spans="1:2" x14ac:dyDescent="0.25">
      <c r="A1497">
        <v>11445743</v>
      </c>
      <c r="B1497" t="s">
        <v>568</v>
      </c>
    </row>
    <row r="1498" spans="1:2" x14ac:dyDescent="0.25">
      <c r="A1498">
        <v>11446310</v>
      </c>
      <c r="B1498" t="s">
        <v>568</v>
      </c>
    </row>
    <row r="1499" spans="1:2" x14ac:dyDescent="0.25">
      <c r="A1499">
        <v>11223824</v>
      </c>
      <c r="B1499" t="s">
        <v>568</v>
      </c>
    </row>
    <row r="1500" spans="1:2" x14ac:dyDescent="0.25">
      <c r="A1500">
        <v>11214324</v>
      </c>
      <c r="B1500" t="s">
        <v>572</v>
      </c>
    </row>
    <row r="1501" spans="1:2" x14ac:dyDescent="0.25">
      <c r="A1501">
        <v>11206139</v>
      </c>
      <c r="B1501" t="s">
        <v>568</v>
      </c>
    </row>
    <row r="1502" spans="1:2" x14ac:dyDescent="0.25">
      <c r="A1502">
        <v>11166775</v>
      </c>
      <c r="B1502" t="s">
        <v>568</v>
      </c>
    </row>
    <row r="1503" spans="1:2" x14ac:dyDescent="0.25">
      <c r="A1503">
        <v>11170231</v>
      </c>
      <c r="B1503" t="s">
        <v>568</v>
      </c>
    </row>
    <row r="1504" spans="1:2" x14ac:dyDescent="0.25">
      <c r="A1504">
        <v>11182612</v>
      </c>
      <c r="B1504" t="s">
        <v>572</v>
      </c>
    </row>
    <row r="1505" spans="1:2" x14ac:dyDescent="0.25">
      <c r="A1505">
        <v>11194510</v>
      </c>
      <c r="B1505" t="s">
        <v>568</v>
      </c>
    </row>
    <row r="1506" spans="1:2" x14ac:dyDescent="0.25">
      <c r="A1506">
        <v>11081282</v>
      </c>
      <c r="B1506" t="s">
        <v>568</v>
      </c>
    </row>
    <row r="1507" spans="1:2" x14ac:dyDescent="0.25">
      <c r="A1507">
        <v>10846796</v>
      </c>
      <c r="B1507" t="s">
        <v>569</v>
      </c>
    </row>
    <row r="1508" spans="1:2" x14ac:dyDescent="0.25">
      <c r="A1508">
        <v>11336228</v>
      </c>
      <c r="B1508" t="s">
        <v>568</v>
      </c>
    </row>
    <row r="1509" spans="1:2" x14ac:dyDescent="0.25">
      <c r="A1509">
        <v>10838812</v>
      </c>
      <c r="B1509" t="s">
        <v>569</v>
      </c>
    </row>
    <row r="1510" spans="1:2" x14ac:dyDescent="0.25">
      <c r="A1510">
        <v>11067784</v>
      </c>
    </row>
    <row r="1511" spans="1:2" x14ac:dyDescent="0.25">
      <c r="A1511">
        <v>11067828</v>
      </c>
    </row>
    <row r="1512" spans="1:2" x14ac:dyDescent="0.25">
      <c r="A1512">
        <v>11068056</v>
      </c>
    </row>
    <row r="1513" spans="1:2" x14ac:dyDescent="0.25">
      <c r="A1513">
        <v>11068081</v>
      </c>
    </row>
    <row r="1514" spans="1:2" x14ac:dyDescent="0.25">
      <c r="A1514">
        <v>11068126</v>
      </c>
    </row>
    <row r="1515" spans="1:2" x14ac:dyDescent="0.25">
      <c r="A1515">
        <v>11068184</v>
      </c>
    </row>
    <row r="1516" spans="1:2" x14ac:dyDescent="0.25">
      <c r="A1516">
        <v>11068200</v>
      </c>
    </row>
    <row r="1517" spans="1:2" x14ac:dyDescent="0.25">
      <c r="A1517">
        <v>11068221</v>
      </c>
    </row>
    <row r="1518" spans="1:2" x14ac:dyDescent="0.25">
      <c r="A1518">
        <v>11068372</v>
      </c>
    </row>
    <row r="1519" spans="1:2" x14ac:dyDescent="0.25">
      <c r="A1519">
        <v>11070025</v>
      </c>
    </row>
    <row r="1520" spans="1:2" x14ac:dyDescent="0.25">
      <c r="A1520">
        <v>11067233</v>
      </c>
    </row>
    <row r="1521" spans="1:2" x14ac:dyDescent="0.25">
      <c r="A1521">
        <v>11067257</v>
      </c>
    </row>
    <row r="1522" spans="1:2" x14ac:dyDescent="0.25">
      <c r="A1522">
        <v>11067273</v>
      </c>
    </row>
    <row r="1523" spans="1:2" x14ac:dyDescent="0.25">
      <c r="A1523">
        <v>10613590</v>
      </c>
      <c r="B1523" t="s">
        <v>571</v>
      </c>
    </row>
    <row r="1524" spans="1:2" x14ac:dyDescent="0.25">
      <c r="A1524">
        <v>11461136</v>
      </c>
      <c r="B1524" t="s">
        <v>568</v>
      </c>
    </row>
    <row r="1525" spans="1:2" x14ac:dyDescent="0.25">
      <c r="A1525">
        <v>11479039</v>
      </c>
      <c r="B1525" t="s">
        <v>568</v>
      </c>
    </row>
    <row r="1526" spans="1:2" x14ac:dyDescent="0.25">
      <c r="A1526">
        <v>11454152</v>
      </c>
      <c r="B1526" t="s">
        <v>568</v>
      </c>
    </row>
    <row r="1527" spans="1:2" x14ac:dyDescent="0.25">
      <c r="A1527">
        <v>11425020</v>
      </c>
      <c r="B1527" t="s">
        <v>568</v>
      </c>
    </row>
    <row r="1528" spans="1:2" x14ac:dyDescent="0.25">
      <c r="A1528">
        <v>11425395</v>
      </c>
      <c r="B1528" t="s">
        <v>569</v>
      </c>
    </row>
    <row r="1529" spans="1:2" x14ac:dyDescent="0.25">
      <c r="A1529">
        <v>11390282</v>
      </c>
      <c r="B1529" t="s">
        <v>569</v>
      </c>
    </row>
    <row r="1530" spans="1:2" x14ac:dyDescent="0.25">
      <c r="A1530">
        <v>11406911</v>
      </c>
      <c r="B1530" t="s">
        <v>569</v>
      </c>
    </row>
    <row r="1531" spans="1:2" x14ac:dyDescent="0.25">
      <c r="A1531">
        <v>11402207</v>
      </c>
      <c r="B1531" t="s">
        <v>568</v>
      </c>
    </row>
    <row r="1532" spans="1:2" x14ac:dyDescent="0.25">
      <c r="A1532">
        <v>11409145</v>
      </c>
      <c r="B1532" t="s">
        <v>568</v>
      </c>
    </row>
    <row r="1533" spans="1:2" x14ac:dyDescent="0.25">
      <c r="A1533">
        <v>11409637</v>
      </c>
      <c r="B1533" t="s">
        <v>568</v>
      </c>
    </row>
    <row r="1534" spans="1:2" x14ac:dyDescent="0.25">
      <c r="A1534">
        <v>11391608</v>
      </c>
      <c r="B1534" t="s">
        <v>568</v>
      </c>
    </row>
    <row r="1535" spans="1:2" x14ac:dyDescent="0.25">
      <c r="A1535">
        <v>11380143</v>
      </c>
      <c r="B1535" t="s">
        <v>569</v>
      </c>
    </row>
    <row r="1536" spans="1:2" x14ac:dyDescent="0.25">
      <c r="A1536">
        <v>11379368</v>
      </c>
      <c r="B1536" t="s">
        <v>569</v>
      </c>
    </row>
    <row r="1537" spans="1:2" x14ac:dyDescent="0.25">
      <c r="A1537">
        <v>11361973</v>
      </c>
      <c r="B1537" t="s">
        <v>569</v>
      </c>
    </row>
    <row r="1538" spans="1:2" x14ac:dyDescent="0.25">
      <c r="A1538">
        <v>11357653</v>
      </c>
      <c r="B1538" t="s">
        <v>569</v>
      </c>
    </row>
    <row r="1539" spans="1:2" x14ac:dyDescent="0.25">
      <c r="A1539">
        <v>11363311</v>
      </c>
      <c r="B1539" t="s">
        <v>568</v>
      </c>
    </row>
    <row r="1540" spans="1:2" x14ac:dyDescent="0.25">
      <c r="A1540">
        <v>11348490</v>
      </c>
      <c r="B1540" t="s">
        <v>568</v>
      </c>
    </row>
    <row r="1541" spans="1:2" x14ac:dyDescent="0.25">
      <c r="A1541">
        <v>11349932</v>
      </c>
      <c r="B1541" t="s">
        <v>568</v>
      </c>
    </row>
    <row r="1542" spans="1:2" x14ac:dyDescent="0.25">
      <c r="A1542">
        <v>11350424</v>
      </c>
      <c r="B1542" t="s">
        <v>569</v>
      </c>
    </row>
    <row r="1543" spans="1:2" x14ac:dyDescent="0.25">
      <c r="A1543">
        <v>11351897</v>
      </c>
      <c r="B1543" t="s">
        <v>568</v>
      </c>
    </row>
    <row r="1544" spans="1:2" x14ac:dyDescent="0.25">
      <c r="A1544">
        <v>11348628</v>
      </c>
      <c r="B1544" t="s">
        <v>569</v>
      </c>
    </row>
    <row r="1545" spans="1:2" x14ac:dyDescent="0.25">
      <c r="A1545">
        <v>11348719</v>
      </c>
      <c r="B1545" t="s">
        <v>569</v>
      </c>
    </row>
    <row r="1546" spans="1:2" x14ac:dyDescent="0.25">
      <c r="A1546">
        <v>11349608</v>
      </c>
      <c r="B1546" t="s">
        <v>568</v>
      </c>
    </row>
    <row r="1547" spans="1:2" x14ac:dyDescent="0.25">
      <c r="A1547">
        <v>11441042</v>
      </c>
      <c r="B1547" t="s">
        <v>568</v>
      </c>
    </row>
    <row r="1548" spans="1:2" x14ac:dyDescent="0.25">
      <c r="A1548">
        <v>11482585</v>
      </c>
      <c r="B1548" t="s">
        <v>568</v>
      </c>
    </row>
    <row r="1549" spans="1:2" x14ac:dyDescent="0.25">
      <c r="A1549">
        <v>11408638</v>
      </c>
      <c r="B1549" t="s">
        <v>568</v>
      </c>
    </row>
    <row r="1550" spans="1:2" x14ac:dyDescent="0.25">
      <c r="A1550">
        <v>11562442</v>
      </c>
      <c r="B1550" t="s">
        <v>569</v>
      </c>
    </row>
    <row r="1551" spans="1:2" x14ac:dyDescent="0.25">
      <c r="A1551">
        <v>11572631</v>
      </c>
      <c r="B1551" t="s">
        <v>569</v>
      </c>
    </row>
    <row r="1552" spans="1:2" x14ac:dyDescent="0.25">
      <c r="A1552">
        <v>11585282</v>
      </c>
      <c r="B1552" t="s">
        <v>568</v>
      </c>
    </row>
    <row r="1553" spans="1:2" x14ac:dyDescent="0.25">
      <c r="A1553">
        <v>11607816</v>
      </c>
      <c r="B1553" t="s">
        <v>569</v>
      </c>
    </row>
    <row r="1554" spans="1:2" x14ac:dyDescent="0.25">
      <c r="A1554">
        <v>11617032</v>
      </c>
      <c r="B1554" t="s">
        <v>569</v>
      </c>
    </row>
    <row r="1555" spans="1:2" x14ac:dyDescent="0.25">
      <c r="A1555">
        <v>11324040</v>
      </c>
      <c r="B1555" t="s">
        <v>568</v>
      </c>
    </row>
    <row r="1556" spans="1:2" x14ac:dyDescent="0.25">
      <c r="A1556">
        <v>10855107</v>
      </c>
      <c r="B1556" t="s">
        <v>569</v>
      </c>
    </row>
    <row r="1557" spans="1:2" x14ac:dyDescent="0.25">
      <c r="A1557">
        <v>10868647</v>
      </c>
      <c r="B1557" t="s">
        <v>569</v>
      </c>
    </row>
    <row r="1558" spans="1:2" x14ac:dyDescent="0.25">
      <c r="A1558">
        <v>10868908</v>
      </c>
      <c r="B1558" t="s">
        <v>568</v>
      </c>
    </row>
    <row r="1559" spans="1:2" x14ac:dyDescent="0.25">
      <c r="A1559">
        <v>10869521</v>
      </c>
      <c r="B1559" t="s">
        <v>568</v>
      </c>
    </row>
    <row r="1560" spans="1:2" x14ac:dyDescent="0.25">
      <c r="A1560">
        <v>10906664</v>
      </c>
      <c r="B1560" t="s">
        <v>569</v>
      </c>
    </row>
    <row r="1561" spans="1:2" x14ac:dyDescent="0.25">
      <c r="A1561">
        <v>10923727</v>
      </c>
      <c r="B1561" t="s">
        <v>568</v>
      </c>
    </row>
    <row r="1562" spans="1:2" x14ac:dyDescent="0.25">
      <c r="A1562">
        <v>10934309</v>
      </c>
      <c r="B1562" t="s">
        <v>568</v>
      </c>
    </row>
    <row r="1563" spans="1:2" x14ac:dyDescent="0.25">
      <c r="A1563">
        <v>10894019</v>
      </c>
      <c r="B1563" t="s">
        <v>569</v>
      </c>
    </row>
    <row r="1564" spans="1:2" x14ac:dyDescent="0.25">
      <c r="A1564">
        <v>10881130</v>
      </c>
      <c r="B1564" t="s">
        <v>569</v>
      </c>
    </row>
    <row r="1565" spans="1:2" x14ac:dyDescent="0.25">
      <c r="A1565">
        <v>10806010</v>
      </c>
      <c r="B1565" t="s">
        <v>569</v>
      </c>
    </row>
    <row r="1566" spans="1:2" x14ac:dyDescent="0.25">
      <c r="A1566">
        <v>10810914</v>
      </c>
      <c r="B1566" t="s">
        <v>569</v>
      </c>
    </row>
    <row r="1567" spans="1:2" x14ac:dyDescent="0.25">
      <c r="A1567">
        <v>10802696</v>
      </c>
      <c r="B1567" t="s">
        <v>568</v>
      </c>
    </row>
    <row r="1568" spans="1:2" x14ac:dyDescent="0.25">
      <c r="A1568">
        <v>10802712</v>
      </c>
      <c r="B1568" t="s">
        <v>568</v>
      </c>
    </row>
    <row r="1569" spans="1:2" x14ac:dyDescent="0.25">
      <c r="A1569">
        <v>10802724</v>
      </c>
      <c r="B1569" t="s">
        <v>568</v>
      </c>
    </row>
    <row r="1570" spans="1:2" x14ac:dyDescent="0.25">
      <c r="A1570">
        <v>10915409</v>
      </c>
      <c r="B1570" t="s">
        <v>568</v>
      </c>
    </row>
    <row r="1571" spans="1:2" x14ac:dyDescent="0.25">
      <c r="A1571">
        <v>10778995</v>
      </c>
      <c r="B1571" t="s">
        <v>568</v>
      </c>
    </row>
    <row r="1572" spans="1:2" x14ac:dyDescent="0.25">
      <c r="A1572">
        <v>10781034</v>
      </c>
      <c r="B1572" t="s">
        <v>568</v>
      </c>
    </row>
    <row r="1573" spans="1:2" x14ac:dyDescent="0.25">
      <c r="A1573">
        <v>11326094</v>
      </c>
      <c r="B1573" t="s">
        <v>569</v>
      </c>
    </row>
    <row r="1574" spans="1:2" x14ac:dyDescent="0.25">
      <c r="A1574">
        <v>11303107</v>
      </c>
      <c r="B1574" t="s">
        <v>568</v>
      </c>
    </row>
    <row r="1575" spans="1:2" x14ac:dyDescent="0.25">
      <c r="A1575">
        <v>11307544</v>
      </c>
      <c r="B1575" t="s">
        <v>568</v>
      </c>
    </row>
    <row r="1576" spans="1:2" x14ac:dyDescent="0.25">
      <c r="A1576">
        <v>11308459</v>
      </c>
      <c r="B1576" t="s">
        <v>568</v>
      </c>
    </row>
    <row r="1577" spans="1:2" x14ac:dyDescent="0.25">
      <c r="A1577">
        <v>11333960</v>
      </c>
      <c r="B1577" t="s">
        <v>569</v>
      </c>
    </row>
    <row r="1578" spans="1:2" x14ac:dyDescent="0.25">
      <c r="A1578">
        <v>11344134</v>
      </c>
      <c r="B1578" t="s">
        <v>568</v>
      </c>
    </row>
    <row r="1579" spans="1:2" x14ac:dyDescent="0.25">
      <c r="A1579">
        <v>11330139</v>
      </c>
      <c r="B1579" t="s">
        <v>568</v>
      </c>
    </row>
    <row r="1580" spans="1:2" x14ac:dyDescent="0.25">
      <c r="A1580">
        <v>11347272</v>
      </c>
      <c r="B1580" t="s">
        <v>569</v>
      </c>
    </row>
    <row r="1581" spans="1:2" x14ac:dyDescent="0.25">
      <c r="A1581">
        <v>11347944</v>
      </c>
      <c r="B1581" t="s">
        <v>568</v>
      </c>
    </row>
    <row r="1582" spans="1:2" x14ac:dyDescent="0.25">
      <c r="A1582">
        <v>11348225</v>
      </c>
      <c r="B1582" t="s">
        <v>568</v>
      </c>
    </row>
    <row r="1583" spans="1:2" x14ac:dyDescent="0.25">
      <c r="A1583">
        <v>11225044</v>
      </c>
      <c r="B1583" t="s">
        <v>568</v>
      </c>
    </row>
    <row r="1584" spans="1:2" x14ac:dyDescent="0.25">
      <c r="A1584">
        <v>11268960</v>
      </c>
      <c r="B1584" t="s">
        <v>568</v>
      </c>
    </row>
    <row r="1585" spans="1:2" x14ac:dyDescent="0.25">
      <c r="A1585">
        <v>11271430</v>
      </c>
      <c r="B1585" t="s">
        <v>568</v>
      </c>
    </row>
    <row r="1586" spans="1:2" x14ac:dyDescent="0.25">
      <c r="A1586">
        <v>11010709</v>
      </c>
      <c r="B1586" t="s">
        <v>568</v>
      </c>
    </row>
    <row r="1587" spans="1:2" x14ac:dyDescent="0.25">
      <c r="A1587">
        <v>11012688</v>
      </c>
      <c r="B1587" t="s">
        <v>569</v>
      </c>
    </row>
    <row r="1588" spans="1:2" x14ac:dyDescent="0.25">
      <c r="A1588">
        <v>10967086</v>
      </c>
      <c r="B1588" t="s">
        <v>569</v>
      </c>
    </row>
    <row r="1589" spans="1:2" x14ac:dyDescent="0.25">
      <c r="A1589">
        <v>10961452</v>
      </c>
      <c r="B1589" t="s">
        <v>568</v>
      </c>
    </row>
    <row r="1590" spans="1:2" x14ac:dyDescent="0.25">
      <c r="A1590">
        <v>10999282</v>
      </c>
      <c r="B1590" t="s">
        <v>568</v>
      </c>
    </row>
    <row r="1591" spans="1:2" x14ac:dyDescent="0.25">
      <c r="A1591">
        <v>11000643</v>
      </c>
      <c r="B1591" t="s">
        <v>568</v>
      </c>
    </row>
    <row r="1592" spans="1:2" x14ac:dyDescent="0.25">
      <c r="A1592">
        <v>11001069</v>
      </c>
      <c r="B1592" t="s">
        <v>568</v>
      </c>
    </row>
    <row r="1593" spans="1:2" x14ac:dyDescent="0.25">
      <c r="A1593">
        <v>10766163</v>
      </c>
      <c r="B1593" t="s">
        <v>568</v>
      </c>
    </row>
    <row r="1594" spans="1:2" x14ac:dyDescent="0.25">
      <c r="A1594">
        <v>10742848</v>
      </c>
      <c r="B1594" t="s">
        <v>569</v>
      </c>
    </row>
    <row r="1595" spans="1:2" x14ac:dyDescent="0.25">
      <c r="A1595">
        <v>10745945</v>
      </c>
      <c r="B1595" t="s">
        <v>568</v>
      </c>
    </row>
    <row r="1596" spans="1:2" x14ac:dyDescent="0.25">
      <c r="A1596">
        <v>10747062</v>
      </c>
      <c r="B1596" t="s">
        <v>568</v>
      </c>
    </row>
    <row r="1597" spans="1:2" x14ac:dyDescent="0.25">
      <c r="A1597">
        <v>11312751</v>
      </c>
      <c r="B1597" t="s">
        <v>568</v>
      </c>
    </row>
    <row r="1598" spans="1:2" x14ac:dyDescent="0.25">
      <c r="A1598">
        <v>11617904</v>
      </c>
      <c r="B1598" t="s">
        <v>570</v>
      </c>
    </row>
    <row r="1599" spans="1:2" x14ac:dyDescent="0.25">
      <c r="A1599">
        <v>11621193</v>
      </c>
      <c r="B1599" t="s">
        <v>568</v>
      </c>
    </row>
    <row r="1600" spans="1:2" x14ac:dyDescent="0.25">
      <c r="A1600">
        <v>11622531</v>
      </c>
      <c r="B1600" t="s">
        <v>568</v>
      </c>
    </row>
    <row r="1601" spans="1:2" x14ac:dyDescent="0.25">
      <c r="A1601">
        <v>11612211</v>
      </c>
      <c r="B1601" t="s">
        <v>568</v>
      </c>
    </row>
    <row r="1602" spans="1:2" x14ac:dyDescent="0.25">
      <c r="A1602">
        <v>11601342</v>
      </c>
      <c r="B1602" t="s">
        <v>568</v>
      </c>
    </row>
    <row r="1603" spans="1:2" x14ac:dyDescent="0.25">
      <c r="A1603">
        <v>11604471</v>
      </c>
      <c r="B1603" t="s">
        <v>568</v>
      </c>
    </row>
    <row r="1604" spans="1:2" x14ac:dyDescent="0.25">
      <c r="A1604">
        <v>11609072</v>
      </c>
      <c r="B1604" t="s">
        <v>568</v>
      </c>
    </row>
    <row r="1605" spans="1:2" x14ac:dyDescent="0.25">
      <c r="A1605">
        <v>11631802</v>
      </c>
      <c r="B1605" t="s">
        <v>569</v>
      </c>
    </row>
    <row r="1606" spans="1:2" x14ac:dyDescent="0.25">
      <c r="A1606">
        <v>11632799</v>
      </c>
      <c r="B1606" t="s">
        <v>568</v>
      </c>
    </row>
    <row r="1607" spans="1:2" x14ac:dyDescent="0.25">
      <c r="A1607">
        <v>11632836</v>
      </c>
      <c r="B1607" t="s">
        <v>568</v>
      </c>
    </row>
    <row r="1608" spans="1:2" x14ac:dyDescent="0.25">
      <c r="A1608">
        <v>11634514</v>
      </c>
      <c r="B1608" t="s">
        <v>569</v>
      </c>
    </row>
    <row r="1609" spans="1:2" x14ac:dyDescent="0.25">
      <c r="A1609">
        <v>11629601</v>
      </c>
      <c r="B1609" t="s">
        <v>569</v>
      </c>
    </row>
    <row r="1610" spans="1:2" x14ac:dyDescent="0.25">
      <c r="A1610">
        <v>11718354</v>
      </c>
      <c r="B1610" t="s">
        <v>568</v>
      </c>
    </row>
    <row r="1611" spans="1:2" x14ac:dyDescent="0.25">
      <c r="A1611">
        <v>11668066</v>
      </c>
      <c r="B1611" t="s">
        <v>570</v>
      </c>
    </row>
    <row r="1612" spans="1:2" x14ac:dyDescent="0.25">
      <c r="A1612">
        <v>11669920</v>
      </c>
      <c r="B1612" t="s">
        <v>569</v>
      </c>
    </row>
    <row r="1613" spans="1:2" x14ac:dyDescent="0.25">
      <c r="A1613">
        <v>11670354</v>
      </c>
      <c r="B1613" t="s">
        <v>569</v>
      </c>
    </row>
    <row r="1614" spans="1:2" x14ac:dyDescent="0.25">
      <c r="A1614">
        <v>11664229</v>
      </c>
      <c r="B1614" t="s">
        <v>569</v>
      </c>
    </row>
    <row r="1615" spans="1:2" x14ac:dyDescent="0.25">
      <c r="A1615">
        <v>11256419</v>
      </c>
      <c r="B1615" t="s">
        <v>568</v>
      </c>
    </row>
    <row r="1616" spans="1:2" x14ac:dyDescent="0.25">
      <c r="A1616">
        <v>11348055</v>
      </c>
      <c r="B1616" t="s">
        <v>568</v>
      </c>
    </row>
    <row r="1617" spans="1:2" x14ac:dyDescent="0.25">
      <c r="A1617">
        <v>11348066</v>
      </c>
      <c r="B1617" t="s">
        <v>568</v>
      </c>
    </row>
    <row r="1618" spans="1:2" x14ac:dyDescent="0.25">
      <c r="A1618">
        <v>11348071</v>
      </c>
      <c r="B1618" t="s">
        <v>568</v>
      </c>
    </row>
    <row r="1619" spans="1:2" x14ac:dyDescent="0.25">
      <c r="A1619">
        <v>11348115</v>
      </c>
      <c r="B1619" t="s">
        <v>568</v>
      </c>
    </row>
    <row r="1620" spans="1:2" x14ac:dyDescent="0.25">
      <c r="A1620">
        <v>11348193</v>
      </c>
      <c r="B1620" t="s">
        <v>568</v>
      </c>
    </row>
    <row r="1621" spans="1:2" x14ac:dyDescent="0.25">
      <c r="A1621">
        <v>11348291</v>
      </c>
      <c r="B1621" t="s">
        <v>568</v>
      </c>
    </row>
    <row r="1622" spans="1:2" x14ac:dyDescent="0.25">
      <c r="A1622">
        <v>11607995</v>
      </c>
      <c r="B1622" t="s">
        <v>568</v>
      </c>
    </row>
    <row r="1623" spans="1:2" x14ac:dyDescent="0.25">
      <c r="A1623">
        <v>11817966</v>
      </c>
      <c r="B1623" t="s">
        <v>568</v>
      </c>
    </row>
    <row r="1624" spans="1:2" x14ac:dyDescent="0.25">
      <c r="A1624">
        <v>11818002</v>
      </c>
      <c r="B1624" t="s">
        <v>568</v>
      </c>
    </row>
    <row r="1625" spans="1:2" x14ac:dyDescent="0.25">
      <c r="A1625">
        <v>11851375</v>
      </c>
      <c r="B1625" t="s">
        <v>568</v>
      </c>
    </row>
    <row r="1626" spans="1:2" x14ac:dyDescent="0.25">
      <c r="A1626">
        <v>11660141</v>
      </c>
      <c r="B1626" t="s">
        <v>568</v>
      </c>
    </row>
    <row r="1627" spans="1:2" x14ac:dyDescent="0.25">
      <c r="A1627">
        <v>11543436</v>
      </c>
      <c r="B1627" t="s">
        <v>568</v>
      </c>
    </row>
    <row r="1628" spans="1:2" x14ac:dyDescent="0.25">
      <c r="A1628">
        <v>11407860</v>
      </c>
      <c r="B1628" t="s">
        <v>569</v>
      </c>
    </row>
    <row r="1629" spans="1:2" x14ac:dyDescent="0.25">
      <c r="A1629">
        <v>11465990</v>
      </c>
      <c r="B1629" t="s">
        <v>568</v>
      </c>
    </row>
    <row r="1630" spans="1:2" x14ac:dyDescent="0.25">
      <c r="A1630">
        <v>11345590</v>
      </c>
      <c r="B1630" t="s">
        <v>568</v>
      </c>
    </row>
    <row r="1631" spans="1:2" x14ac:dyDescent="0.25">
      <c r="A1631">
        <v>11391351</v>
      </c>
      <c r="B1631" t="s">
        <v>569</v>
      </c>
    </row>
    <row r="1632" spans="1:2" x14ac:dyDescent="0.25">
      <c r="A1632">
        <v>11284380</v>
      </c>
      <c r="B1632" t="s">
        <v>569</v>
      </c>
    </row>
    <row r="1633" spans="1:2" x14ac:dyDescent="0.25">
      <c r="A1633">
        <v>11092543</v>
      </c>
      <c r="B1633" t="s">
        <v>568</v>
      </c>
    </row>
    <row r="1634" spans="1:2" x14ac:dyDescent="0.25">
      <c r="A1634">
        <v>11094076</v>
      </c>
      <c r="B1634" t="s">
        <v>569</v>
      </c>
    </row>
    <row r="1635" spans="1:2" x14ac:dyDescent="0.25">
      <c r="A1635">
        <v>11183749</v>
      </c>
      <c r="B1635" t="s">
        <v>569</v>
      </c>
    </row>
    <row r="1636" spans="1:2" x14ac:dyDescent="0.25">
      <c r="A1636">
        <v>11194335</v>
      </c>
      <c r="B1636" t="s">
        <v>568</v>
      </c>
    </row>
    <row r="1637" spans="1:2" x14ac:dyDescent="0.25">
      <c r="A1637">
        <v>10954754</v>
      </c>
      <c r="B1637" t="s">
        <v>570</v>
      </c>
    </row>
    <row r="1638" spans="1:2" x14ac:dyDescent="0.25">
      <c r="A1638">
        <v>11008827</v>
      </c>
      <c r="B1638" t="s">
        <v>569</v>
      </c>
    </row>
    <row r="1639" spans="1:2" x14ac:dyDescent="0.25">
      <c r="A1639">
        <v>11715359</v>
      </c>
      <c r="B1639" t="s">
        <v>568</v>
      </c>
    </row>
    <row r="1640" spans="1:2" x14ac:dyDescent="0.25">
      <c r="A1640">
        <v>11630850</v>
      </c>
      <c r="B1640" t="s">
        <v>568</v>
      </c>
    </row>
    <row r="1641" spans="1:2" x14ac:dyDescent="0.25">
      <c r="A1641">
        <v>11496682</v>
      </c>
      <c r="B1641" t="s">
        <v>568</v>
      </c>
    </row>
    <row r="1642" spans="1:2" x14ac:dyDescent="0.25">
      <c r="A1642">
        <v>11483552</v>
      </c>
      <c r="B1642" t="s">
        <v>570</v>
      </c>
    </row>
    <row r="1643" spans="1:2" x14ac:dyDescent="0.25">
      <c r="A1643">
        <v>11607873</v>
      </c>
      <c r="B1643" t="s">
        <v>569</v>
      </c>
    </row>
    <row r="1644" spans="1:2" x14ac:dyDescent="0.25">
      <c r="A1644">
        <v>11694919</v>
      </c>
      <c r="B1644" t="s">
        <v>568</v>
      </c>
    </row>
    <row r="1645" spans="1:2" x14ac:dyDescent="0.25">
      <c r="A1645">
        <v>11856048</v>
      </c>
      <c r="B1645" t="s">
        <v>569</v>
      </c>
    </row>
    <row r="1646" spans="1:2" x14ac:dyDescent="0.25">
      <c r="A1646">
        <v>11300762</v>
      </c>
      <c r="B1646" t="s">
        <v>569</v>
      </c>
    </row>
    <row r="1647" spans="1:2" x14ac:dyDescent="0.25">
      <c r="A1647">
        <v>11708055</v>
      </c>
      <c r="B1647" t="s">
        <v>568</v>
      </c>
    </row>
    <row r="1648" spans="1:2" x14ac:dyDescent="0.25">
      <c r="A1648">
        <v>11345411</v>
      </c>
      <c r="B1648" t="s">
        <v>568</v>
      </c>
    </row>
    <row r="1649" spans="1:2" x14ac:dyDescent="0.25">
      <c r="A1649">
        <v>11347478</v>
      </c>
      <c r="B1649" t="s">
        <v>568</v>
      </c>
    </row>
    <row r="1650" spans="1:2" x14ac:dyDescent="0.25">
      <c r="A1650">
        <v>11382988</v>
      </c>
      <c r="B1650" t="s">
        <v>569</v>
      </c>
    </row>
    <row r="1651" spans="1:2" x14ac:dyDescent="0.25">
      <c r="A1651">
        <v>11396053</v>
      </c>
      <c r="B1651" t="s">
        <v>568</v>
      </c>
    </row>
    <row r="1652" spans="1:2" x14ac:dyDescent="0.25">
      <c r="A1652">
        <v>11408282</v>
      </c>
      <c r="B1652" t="s">
        <v>568</v>
      </c>
    </row>
    <row r="1653" spans="1:2" x14ac:dyDescent="0.25">
      <c r="A1653">
        <v>11408945</v>
      </c>
      <c r="B1653" t="s">
        <v>568</v>
      </c>
    </row>
    <row r="1654" spans="1:2" x14ac:dyDescent="0.25">
      <c r="A1654">
        <v>10721281</v>
      </c>
      <c r="B1654" t="s">
        <v>568</v>
      </c>
    </row>
    <row r="1655" spans="1:2" x14ac:dyDescent="0.25">
      <c r="A1655">
        <v>10722962</v>
      </c>
      <c r="B1655" t="s">
        <v>568</v>
      </c>
    </row>
    <row r="1656" spans="1:2" x14ac:dyDescent="0.25">
      <c r="A1656">
        <v>10724692</v>
      </c>
      <c r="B1656" t="s">
        <v>568</v>
      </c>
    </row>
    <row r="1657" spans="1:2" x14ac:dyDescent="0.25">
      <c r="A1657">
        <v>10704307</v>
      </c>
      <c r="B1657" t="s">
        <v>569</v>
      </c>
    </row>
    <row r="1658" spans="1:2" x14ac:dyDescent="0.25">
      <c r="A1658">
        <v>10705066</v>
      </c>
      <c r="B1658" t="s">
        <v>569</v>
      </c>
    </row>
    <row r="1659" spans="1:2" x14ac:dyDescent="0.25">
      <c r="A1659">
        <v>10705414</v>
      </c>
      <c r="B1659" t="s">
        <v>570</v>
      </c>
    </row>
    <row r="1660" spans="1:2" x14ac:dyDescent="0.25">
      <c r="A1660">
        <v>10698064</v>
      </c>
      <c r="B1660" t="s">
        <v>568</v>
      </c>
    </row>
    <row r="1661" spans="1:2" x14ac:dyDescent="0.25">
      <c r="A1661">
        <v>11626985</v>
      </c>
      <c r="B1661" t="s">
        <v>568</v>
      </c>
    </row>
    <row r="1662" spans="1:2" x14ac:dyDescent="0.25">
      <c r="A1662">
        <v>11617902</v>
      </c>
      <c r="B1662" t="s">
        <v>568</v>
      </c>
    </row>
    <row r="1663" spans="1:2" x14ac:dyDescent="0.25">
      <c r="A1663">
        <v>11617974</v>
      </c>
      <c r="B1663" t="s">
        <v>568</v>
      </c>
    </row>
    <row r="1664" spans="1:2" x14ac:dyDescent="0.25">
      <c r="A1664">
        <v>11618283</v>
      </c>
      <c r="B1664" t="s">
        <v>568</v>
      </c>
    </row>
    <row r="1665" spans="1:2" x14ac:dyDescent="0.25">
      <c r="A1665">
        <v>11111175</v>
      </c>
      <c r="B1665" t="s">
        <v>570</v>
      </c>
    </row>
    <row r="1666" spans="1:2" x14ac:dyDescent="0.25">
      <c r="A1666">
        <v>11112751</v>
      </c>
      <c r="B1666" t="s">
        <v>568</v>
      </c>
    </row>
    <row r="1667" spans="1:2" x14ac:dyDescent="0.25">
      <c r="A1667">
        <v>10791477</v>
      </c>
      <c r="B1667" t="s">
        <v>568</v>
      </c>
    </row>
    <row r="1668" spans="1:2" x14ac:dyDescent="0.25">
      <c r="A1668">
        <v>10791560</v>
      </c>
      <c r="B1668" t="s">
        <v>569</v>
      </c>
    </row>
    <row r="1669" spans="1:2" x14ac:dyDescent="0.25">
      <c r="A1669">
        <v>10794152</v>
      </c>
      <c r="B1669" t="s">
        <v>568</v>
      </c>
    </row>
    <row r="1670" spans="1:2" x14ac:dyDescent="0.25">
      <c r="A1670">
        <v>10796317</v>
      </c>
      <c r="B1670" t="s">
        <v>568</v>
      </c>
    </row>
    <row r="1671" spans="1:2" x14ac:dyDescent="0.25">
      <c r="A1671">
        <v>11282991</v>
      </c>
      <c r="B1671" t="s">
        <v>568</v>
      </c>
    </row>
    <row r="1672" spans="1:2" x14ac:dyDescent="0.25">
      <c r="A1672">
        <v>11284023</v>
      </c>
      <c r="B1672" t="s">
        <v>568</v>
      </c>
    </row>
    <row r="1673" spans="1:2" x14ac:dyDescent="0.25">
      <c r="A1673">
        <v>11070606</v>
      </c>
    </row>
    <row r="1674" spans="1:2" x14ac:dyDescent="0.25">
      <c r="A1674">
        <v>11071869</v>
      </c>
    </row>
    <row r="1675" spans="1:2" x14ac:dyDescent="0.25">
      <c r="A1675">
        <v>11068504</v>
      </c>
    </row>
    <row r="1676" spans="1:2" x14ac:dyDescent="0.25">
      <c r="A1676">
        <v>11599703</v>
      </c>
    </row>
    <row r="1677" spans="1:2" x14ac:dyDescent="0.25">
      <c r="A1677">
        <v>11344704</v>
      </c>
      <c r="B1677" t="s">
        <v>569</v>
      </c>
    </row>
    <row r="1678" spans="1:2" x14ac:dyDescent="0.25">
      <c r="A1678">
        <v>11264792</v>
      </c>
      <c r="B1678" t="s">
        <v>568</v>
      </c>
    </row>
    <row r="1679" spans="1:2" x14ac:dyDescent="0.25">
      <c r="A1679">
        <v>11933972</v>
      </c>
      <c r="B1679" t="s">
        <v>570</v>
      </c>
    </row>
    <row r="1680" spans="1:2" x14ac:dyDescent="0.25">
      <c r="A1680">
        <v>11290065</v>
      </c>
      <c r="B1680" t="s">
        <v>568</v>
      </c>
    </row>
    <row r="1681" spans="1:2" x14ac:dyDescent="0.25">
      <c r="A1681">
        <v>11334533</v>
      </c>
      <c r="B1681" t="s">
        <v>570</v>
      </c>
    </row>
    <row r="1682" spans="1:2" x14ac:dyDescent="0.25">
      <c r="A1682">
        <v>11346530</v>
      </c>
      <c r="B1682" t="s">
        <v>569</v>
      </c>
    </row>
    <row r="1683" spans="1:2" x14ac:dyDescent="0.25">
      <c r="A1683">
        <v>11421234</v>
      </c>
      <c r="B1683" t="s">
        <v>570</v>
      </c>
    </row>
    <row r="1684" spans="1:2" x14ac:dyDescent="0.25">
      <c r="A1684">
        <v>11715844</v>
      </c>
      <c r="B1684" t="s">
        <v>568</v>
      </c>
    </row>
    <row r="1685" spans="1:2" x14ac:dyDescent="0.25">
      <c r="A1685">
        <v>11724450</v>
      </c>
      <c r="B1685" t="s">
        <v>569</v>
      </c>
    </row>
    <row r="1686" spans="1:2" x14ac:dyDescent="0.25">
      <c r="A1686">
        <v>11461300</v>
      </c>
      <c r="B1686" t="s">
        <v>571</v>
      </c>
    </row>
    <row r="1687" spans="1:2" x14ac:dyDescent="0.25">
      <c r="A1687">
        <v>11445191</v>
      </c>
      <c r="B1687" t="s">
        <v>569</v>
      </c>
    </row>
    <row r="1688" spans="1:2" x14ac:dyDescent="0.25">
      <c r="A1688">
        <v>11453877</v>
      </c>
      <c r="B1688" t="s">
        <v>572</v>
      </c>
    </row>
    <row r="1689" spans="1:2" x14ac:dyDescent="0.25">
      <c r="A1689">
        <v>11520708</v>
      </c>
      <c r="B1689" t="s">
        <v>569</v>
      </c>
    </row>
    <row r="1690" spans="1:2" x14ac:dyDescent="0.25">
      <c r="A1690">
        <v>11091695</v>
      </c>
      <c r="B1690" t="s">
        <v>569</v>
      </c>
    </row>
    <row r="1691" spans="1:2" x14ac:dyDescent="0.25">
      <c r="A1691">
        <v>11047536</v>
      </c>
      <c r="B1691" t="s">
        <v>568</v>
      </c>
    </row>
    <row r="1692" spans="1:2" x14ac:dyDescent="0.25">
      <c r="A1692">
        <v>10958736</v>
      </c>
      <c r="B1692" t="s">
        <v>571</v>
      </c>
    </row>
    <row r="1693" spans="1:2" x14ac:dyDescent="0.25">
      <c r="A1693">
        <v>10961624</v>
      </c>
      <c r="B1693" t="s">
        <v>568</v>
      </c>
    </row>
    <row r="1694" spans="1:2" x14ac:dyDescent="0.25">
      <c r="A1694">
        <v>10980224</v>
      </c>
      <c r="B1694" t="s">
        <v>569</v>
      </c>
    </row>
    <row r="1695" spans="1:2" x14ac:dyDescent="0.25">
      <c r="A1695">
        <v>10853591</v>
      </c>
      <c r="B1695" t="s">
        <v>572</v>
      </c>
    </row>
    <row r="1696" spans="1:2" x14ac:dyDescent="0.25">
      <c r="A1696">
        <v>10919276</v>
      </c>
      <c r="B1696" t="s">
        <v>568</v>
      </c>
    </row>
    <row r="1697" spans="1:2" x14ac:dyDescent="0.25">
      <c r="A1697">
        <v>10640009</v>
      </c>
    </row>
    <row r="1698" spans="1:2" x14ac:dyDescent="0.25">
      <c r="A1698">
        <v>10676449</v>
      </c>
      <c r="B1698" t="s">
        <v>569</v>
      </c>
    </row>
    <row r="1699" spans="1:2" x14ac:dyDescent="0.25">
      <c r="A1699">
        <v>10696938</v>
      </c>
      <c r="B1699" t="s">
        <v>569</v>
      </c>
    </row>
    <row r="1700" spans="1:2" x14ac:dyDescent="0.25">
      <c r="A1700">
        <v>10705532</v>
      </c>
      <c r="B1700" t="s">
        <v>572</v>
      </c>
    </row>
    <row r="1701" spans="1:2" x14ac:dyDescent="0.25">
      <c r="A1701">
        <v>10885182</v>
      </c>
      <c r="B1701" t="s">
        <v>569</v>
      </c>
    </row>
    <row r="1702" spans="1:2" x14ac:dyDescent="0.25">
      <c r="A1702">
        <v>10913550</v>
      </c>
      <c r="B1702" t="s">
        <v>569</v>
      </c>
    </row>
    <row r="1703" spans="1:2" x14ac:dyDescent="0.25">
      <c r="A1703">
        <v>10964224</v>
      </c>
      <c r="B1703" t="s">
        <v>569</v>
      </c>
    </row>
    <row r="1704" spans="1:2" x14ac:dyDescent="0.25">
      <c r="A1704">
        <v>11023211</v>
      </c>
      <c r="B1704" t="s">
        <v>569</v>
      </c>
    </row>
    <row r="1705" spans="1:2" x14ac:dyDescent="0.25">
      <c r="A1705">
        <v>11311517</v>
      </c>
      <c r="B1705" t="s">
        <v>568</v>
      </c>
    </row>
    <row r="1706" spans="1:2" x14ac:dyDescent="0.25">
      <c r="A1706">
        <v>11581769</v>
      </c>
      <c r="B1706" t="s">
        <v>570</v>
      </c>
    </row>
    <row r="1707" spans="1:2" x14ac:dyDescent="0.25">
      <c r="A1707">
        <v>11824982</v>
      </c>
      <c r="B1707" t="s">
        <v>570</v>
      </c>
    </row>
    <row r="1708" spans="1:2" x14ac:dyDescent="0.25">
      <c r="A1708">
        <v>11613507</v>
      </c>
      <c r="B1708" t="s">
        <v>570</v>
      </c>
    </row>
    <row r="1709" spans="1:2" x14ac:dyDescent="0.25">
      <c r="A1709">
        <v>11592974</v>
      </c>
      <c r="B1709" t="s">
        <v>570</v>
      </c>
    </row>
    <row r="1710" spans="1:2" x14ac:dyDescent="0.25">
      <c r="A1710">
        <v>11627077</v>
      </c>
    </row>
    <row r="1711" spans="1:2" x14ac:dyDescent="0.25">
      <c r="A1711">
        <v>11574073</v>
      </c>
      <c r="B1711" t="s">
        <v>568</v>
      </c>
    </row>
    <row r="1712" spans="1:2" x14ac:dyDescent="0.25">
      <c r="A1712">
        <v>11643814</v>
      </c>
      <c r="B1712" t="s">
        <v>569</v>
      </c>
    </row>
    <row r="1713" spans="1:2" x14ac:dyDescent="0.25">
      <c r="A1713">
        <v>11740769</v>
      </c>
      <c r="B1713" t="s">
        <v>569</v>
      </c>
    </row>
    <row r="1714" spans="1:2" x14ac:dyDescent="0.25">
      <c r="A1714">
        <v>11645505</v>
      </c>
      <c r="B1714" t="s">
        <v>569</v>
      </c>
    </row>
    <row r="1715" spans="1:2" x14ac:dyDescent="0.25">
      <c r="A1715">
        <v>11971167</v>
      </c>
      <c r="B1715" t="s">
        <v>572</v>
      </c>
    </row>
    <row r="1716" spans="1:2" x14ac:dyDescent="0.25">
      <c r="A1716">
        <v>11937987</v>
      </c>
      <c r="B1716" t="s">
        <v>568</v>
      </c>
    </row>
    <row r="1717" spans="1:2" x14ac:dyDescent="0.25">
      <c r="A1717">
        <v>11942566</v>
      </c>
      <c r="B1717" t="s">
        <v>568</v>
      </c>
    </row>
    <row r="1718" spans="1:2" x14ac:dyDescent="0.25">
      <c r="A1718">
        <v>11993184</v>
      </c>
      <c r="B1718" t="s">
        <v>573</v>
      </c>
    </row>
    <row r="1719" spans="1:2" x14ac:dyDescent="0.25">
      <c r="A1719">
        <v>11999840</v>
      </c>
      <c r="B1719" t="s">
        <v>569</v>
      </c>
    </row>
    <row r="1720" spans="1:2" x14ac:dyDescent="0.25">
      <c r="A1720">
        <v>12015655</v>
      </c>
      <c r="B1720" t="s">
        <v>570</v>
      </c>
    </row>
    <row r="1721" spans="1:2" x14ac:dyDescent="0.25">
      <c r="A1721">
        <v>12019895</v>
      </c>
      <c r="B1721" t="s">
        <v>569</v>
      </c>
    </row>
    <row r="1722" spans="1:2" x14ac:dyDescent="0.25">
      <c r="A1722">
        <v>12020519</v>
      </c>
      <c r="B1722" t="s">
        <v>569</v>
      </c>
    </row>
    <row r="1723" spans="1:2" x14ac:dyDescent="0.25">
      <c r="A1723">
        <v>12025673</v>
      </c>
      <c r="B1723" t="s">
        <v>570</v>
      </c>
    </row>
    <row r="1724" spans="1:2" x14ac:dyDescent="0.25">
      <c r="A1724">
        <v>11594118</v>
      </c>
      <c r="B1724" t="s">
        <v>569</v>
      </c>
    </row>
    <row r="1725" spans="1:2" x14ac:dyDescent="0.25">
      <c r="A1725">
        <v>11594788</v>
      </c>
      <c r="B1725" t="s">
        <v>570</v>
      </c>
    </row>
    <row r="1726" spans="1:2" x14ac:dyDescent="0.25">
      <c r="A1726">
        <v>11600231</v>
      </c>
    </row>
    <row r="1727" spans="1:2" x14ac:dyDescent="0.25">
      <c r="A1727">
        <v>11630105</v>
      </c>
      <c r="B1727" t="s">
        <v>568</v>
      </c>
    </row>
    <row r="1728" spans="1:2" x14ac:dyDescent="0.25">
      <c r="A1728">
        <v>10623424</v>
      </c>
      <c r="B1728" t="s">
        <v>568</v>
      </c>
    </row>
    <row r="1729" spans="1:2" x14ac:dyDescent="0.25">
      <c r="A1729">
        <v>11047468</v>
      </c>
      <c r="B1729" t="s">
        <v>573</v>
      </c>
    </row>
    <row r="1730" spans="1:2" x14ac:dyDescent="0.25">
      <c r="A1730">
        <v>10645204</v>
      </c>
      <c r="B1730" t="s">
        <v>572</v>
      </c>
    </row>
    <row r="1731" spans="1:2" x14ac:dyDescent="0.25">
      <c r="A1731">
        <v>10860175</v>
      </c>
      <c r="B1731" t="s">
        <v>572</v>
      </c>
    </row>
    <row r="1732" spans="1:2" x14ac:dyDescent="0.25">
      <c r="A1732">
        <v>11530289</v>
      </c>
      <c r="B1732" t="s">
        <v>569</v>
      </c>
    </row>
    <row r="1733" spans="1:2" x14ac:dyDescent="0.25">
      <c r="A1733">
        <v>11453301</v>
      </c>
      <c r="B1733" t="s">
        <v>568</v>
      </c>
    </row>
    <row r="1734" spans="1:2" x14ac:dyDescent="0.25">
      <c r="A1734">
        <v>11461317</v>
      </c>
      <c r="B1734" t="s">
        <v>570</v>
      </c>
    </row>
    <row r="1735" spans="1:2" x14ac:dyDescent="0.25">
      <c r="A1735">
        <v>11361866</v>
      </c>
      <c r="B1735" t="s">
        <v>569</v>
      </c>
    </row>
    <row r="1736" spans="1:2" x14ac:dyDescent="0.25">
      <c r="A1736">
        <v>11391005</v>
      </c>
      <c r="B1736" t="s">
        <v>569</v>
      </c>
    </row>
    <row r="1737" spans="1:2" x14ac:dyDescent="0.25">
      <c r="A1737">
        <v>10621522</v>
      </c>
      <c r="B1737" t="s">
        <v>569</v>
      </c>
    </row>
    <row r="1738" spans="1:2" x14ac:dyDescent="0.25">
      <c r="A1738">
        <v>11422047</v>
      </c>
      <c r="B1738" t="s">
        <v>569</v>
      </c>
    </row>
    <row r="1739" spans="1:2" x14ac:dyDescent="0.25">
      <c r="A1739">
        <v>11047537</v>
      </c>
      <c r="B1739" t="s">
        <v>568</v>
      </c>
    </row>
    <row r="1740" spans="1:2" x14ac:dyDescent="0.25">
      <c r="A1740">
        <v>11222406</v>
      </c>
      <c r="B1740" t="s">
        <v>570</v>
      </c>
    </row>
    <row r="1741" spans="1:2" x14ac:dyDescent="0.25">
      <c r="A1741">
        <v>11290662</v>
      </c>
      <c r="B1741" t="s">
        <v>569</v>
      </c>
    </row>
    <row r="1742" spans="1:2" x14ac:dyDescent="0.25">
      <c r="A1742">
        <v>10803939</v>
      </c>
      <c r="B1742" t="s">
        <v>570</v>
      </c>
    </row>
    <row r="1743" spans="1:2" x14ac:dyDescent="0.25">
      <c r="A1743">
        <v>10808217</v>
      </c>
      <c r="B1743" t="s">
        <v>570</v>
      </c>
    </row>
    <row r="1744" spans="1:2" x14ac:dyDescent="0.25">
      <c r="A1744">
        <v>10809356</v>
      </c>
      <c r="B1744" t="s">
        <v>568</v>
      </c>
    </row>
    <row r="1745" spans="1:2" x14ac:dyDescent="0.25">
      <c r="A1745">
        <v>10849290</v>
      </c>
      <c r="B1745" t="s">
        <v>569</v>
      </c>
    </row>
    <row r="1746" spans="1:2" x14ac:dyDescent="0.25">
      <c r="A1746">
        <v>10891107</v>
      </c>
      <c r="B1746" t="s">
        <v>568</v>
      </c>
    </row>
    <row r="1747" spans="1:2" x14ac:dyDescent="0.25">
      <c r="A1747">
        <v>10891198</v>
      </c>
      <c r="B1747" t="s">
        <v>568</v>
      </c>
    </row>
    <row r="1748" spans="1:2" x14ac:dyDescent="0.25">
      <c r="A1748">
        <v>10749434</v>
      </c>
      <c r="B1748" t="s">
        <v>570</v>
      </c>
    </row>
    <row r="1749" spans="1:2" x14ac:dyDescent="0.25">
      <c r="A1749">
        <v>10777652</v>
      </c>
      <c r="B1749" t="s">
        <v>570</v>
      </c>
    </row>
    <row r="1750" spans="1:2" x14ac:dyDescent="0.25">
      <c r="A1750">
        <v>10703830</v>
      </c>
      <c r="B1750" t="s">
        <v>570</v>
      </c>
    </row>
    <row r="1751" spans="1:2" x14ac:dyDescent="0.25">
      <c r="A1751">
        <v>10719260</v>
      </c>
      <c r="B1751" t="s">
        <v>569</v>
      </c>
    </row>
    <row r="1752" spans="1:2" x14ac:dyDescent="0.25">
      <c r="A1752">
        <v>10719817</v>
      </c>
      <c r="B1752" t="s">
        <v>568</v>
      </c>
    </row>
    <row r="1753" spans="1:2" x14ac:dyDescent="0.25">
      <c r="A1753">
        <v>11684528</v>
      </c>
    </row>
    <row r="1754" spans="1:2" x14ac:dyDescent="0.25">
      <c r="A1754">
        <v>11699064</v>
      </c>
    </row>
    <row r="1755" spans="1:2" x14ac:dyDescent="0.25">
      <c r="A1755">
        <v>11272773</v>
      </c>
      <c r="B1755" t="s">
        <v>568</v>
      </c>
    </row>
    <row r="1756" spans="1:2" x14ac:dyDescent="0.25">
      <c r="A1756">
        <v>11349650</v>
      </c>
      <c r="B1756" t="s">
        <v>569</v>
      </c>
    </row>
    <row r="1757" spans="1:2" x14ac:dyDescent="0.25">
      <c r="A1757">
        <v>11775697</v>
      </c>
      <c r="B1757" t="s">
        <v>570</v>
      </c>
    </row>
    <row r="1758" spans="1:2" x14ac:dyDescent="0.25">
      <c r="A1758">
        <v>10806920</v>
      </c>
      <c r="B1758" t="s">
        <v>568</v>
      </c>
    </row>
    <row r="1759" spans="1:2" x14ac:dyDescent="0.25">
      <c r="A1759">
        <v>10691204</v>
      </c>
      <c r="B1759" t="s">
        <v>569</v>
      </c>
    </row>
    <row r="1760" spans="1:2" x14ac:dyDescent="0.25">
      <c r="A1760">
        <v>10939465</v>
      </c>
      <c r="B1760" t="s">
        <v>569</v>
      </c>
    </row>
    <row r="1761" spans="1:2" x14ac:dyDescent="0.25">
      <c r="A1761">
        <v>10935283</v>
      </c>
      <c r="B1761" t="s">
        <v>568</v>
      </c>
    </row>
    <row r="1762" spans="1:2" x14ac:dyDescent="0.25">
      <c r="A1762">
        <v>10936560</v>
      </c>
      <c r="B1762" t="s">
        <v>569</v>
      </c>
    </row>
    <row r="1763" spans="1:2" x14ac:dyDescent="0.25">
      <c r="A1763">
        <v>10933651</v>
      </c>
      <c r="B1763" t="s">
        <v>570</v>
      </c>
    </row>
    <row r="1764" spans="1:2" x14ac:dyDescent="0.25">
      <c r="A1764">
        <v>11267521</v>
      </c>
      <c r="B1764" t="s">
        <v>570</v>
      </c>
    </row>
    <row r="1765" spans="1:2" x14ac:dyDescent="0.25">
      <c r="A1765">
        <v>11347589</v>
      </c>
      <c r="B1765" t="s">
        <v>568</v>
      </c>
    </row>
    <row r="1766" spans="1:2" x14ac:dyDescent="0.25">
      <c r="A1766">
        <v>11282555</v>
      </c>
      <c r="B1766" t="s">
        <v>572</v>
      </c>
    </row>
    <row r="1767" spans="1:2" x14ac:dyDescent="0.25">
      <c r="A1767">
        <v>11273353</v>
      </c>
      <c r="B1767" t="s">
        <v>573</v>
      </c>
    </row>
    <row r="1768" spans="1:2" x14ac:dyDescent="0.25">
      <c r="A1768">
        <v>11673966</v>
      </c>
      <c r="B1768" t="s">
        <v>570</v>
      </c>
    </row>
    <row r="1769" spans="1:2" x14ac:dyDescent="0.25">
      <c r="A1769">
        <v>11674740</v>
      </c>
      <c r="B1769" t="s">
        <v>573</v>
      </c>
    </row>
    <row r="1770" spans="1:2" x14ac:dyDescent="0.25">
      <c r="A1770">
        <v>11646736</v>
      </c>
      <c r="B1770" t="s">
        <v>569</v>
      </c>
    </row>
    <row r="1771" spans="1:2" x14ac:dyDescent="0.25">
      <c r="A1771">
        <v>11666215</v>
      </c>
      <c r="B1771" t="s">
        <v>571</v>
      </c>
    </row>
    <row r="1772" spans="1:2" x14ac:dyDescent="0.25">
      <c r="A1772">
        <v>11650191</v>
      </c>
      <c r="B1772" t="s">
        <v>568</v>
      </c>
    </row>
    <row r="1773" spans="1:2" x14ac:dyDescent="0.25">
      <c r="A1773">
        <v>11717257</v>
      </c>
      <c r="B1773" t="s">
        <v>569</v>
      </c>
    </row>
    <row r="1774" spans="1:2" x14ac:dyDescent="0.25">
      <c r="A1774">
        <v>11623552</v>
      </c>
      <c r="B1774" t="s">
        <v>570</v>
      </c>
    </row>
    <row r="1775" spans="1:2" x14ac:dyDescent="0.25">
      <c r="A1775">
        <v>11579800</v>
      </c>
      <c r="B1775" t="s">
        <v>569</v>
      </c>
    </row>
    <row r="1776" spans="1:2" x14ac:dyDescent="0.25">
      <c r="A1776">
        <v>11608030</v>
      </c>
      <c r="B1776" t="s">
        <v>570</v>
      </c>
    </row>
    <row r="1777" spans="1:2" x14ac:dyDescent="0.25">
      <c r="A1777">
        <v>10747018</v>
      </c>
      <c r="B1777" t="s">
        <v>569</v>
      </c>
    </row>
    <row r="1778" spans="1:2" x14ac:dyDescent="0.25">
      <c r="A1778">
        <v>10745001</v>
      </c>
      <c r="B1778" t="s">
        <v>573</v>
      </c>
    </row>
    <row r="1779" spans="1:2" x14ac:dyDescent="0.25">
      <c r="A1779">
        <v>10737411</v>
      </c>
      <c r="B1779" t="s">
        <v>569</v>
      </c>
    </row>
    <row r="1780" spans="1:2" x14ac:dyDescent="0.25">
      <c r="A1780">
        <v>10846157</v>
      </c>
      <c r="B1780" t="s">
        <v>572</v>
      </c>
    </row>
    <row r="1781" spans="1:2" x14ac:dyDescent="0.25">
      <c r="A1781">
        <v>10834999</v>
      </c>
      <c r="B1781" t="s">
        <v>568</v>
      </c>
    </row>
    <row r="1782" spans="1:2" x14ac:dyDescent="0.25">
      <c r="A1782">
        <v>10826533</v>
      </c>
      <c r="B1782" t="s">
        <v>569</v>
      </c>
    </row>
    <row r="1783" spans="1:2" x14ac:dyDescent="0.25">
      <c r="A1783">
        <v>10817655</v>
      </c>
      <c r="B1783" t="s">
        <v>570</v>
      </c>
    </row>
    <row r="1784" spans="1:2" x14ac:dyDescent="0.25">
      <c r="A1784">
        <v>10818860</v>
      </c>
      <c r="B1784" t="s">
        <v>568</v>
      </c>
    </row>
    <row r="1785" spans="1:2" x14ac:dyDescent="0.25">
      <c r="A1785">
        <v>10824328</v>
      </c>
      <c r="B1785" t="s">
        <v>572</v>
      </c>
    </row>
    <row r="1786" spans="1:2" x14ac:dyDescent="0.25">
      <c r="A1786">
        <v>10804267</v>
      </c>
      <c r="B1786" t="s">
        <v>569</v>
      </c>
    </row>
    <row r="1787" spans="1:2" x14ac:dyDescent="0.25">
      <c r="A1787">
        <v>11216187</v>
      </c>
      <c r="B1787" t="s">
        <v>572</v>
      </c>
    </row>
    <row r="1788" spans="1:2" x14ac:dyDescent="0.25">
      <c r="A1788">
        <v>11070445</v>
      </c>
      <c r="B1788" t="s">
        <v>569</v>
      </c>
    </row>
    <row r="1789" spans="1:2" x14ac:dyDescent="0.25">
      <c r="A1789">
        <v>11008097</v>
      </c>
      <c r="B1789" t="s">
        <v>569</v>
      </c>
    </row>
    <row r="1790" spans="1:2" x14ac:dyDescent="0.25">
      <c r="A1790">
        <v>11012692</v>
      </c>
      <c r="B1790" t="s">
        <v>570</v>
      </c>
    </row>
    <row r="1791" spans="1:2" x14ac:dyDescent="0.25">
      <c r="A1791">
        <v>10997806</v>
      </c>
      <c r="B1791" t="s">
        <v>569</v>
      </c>
    </row>
    <row r="1792" spans="1:2" x14ac:dyDescent="0.25">
      <c r="A1792">
        <v>10964873</v>
      </c>
      <c r="B1792" t="s">
        <v>570</v>
      </c>
    </row>
    <row r="1793" spans="1:2" x14ac:dyDescent="0.25">
      <c r="A1793">
        <v>10950407</v>
      </c>
      <c r="B1793" t="s">
        <v>569</v>
      </c>
    </row>
    <row r="1794" spans="1:2" x14ac:dyDescent="0.25">
      <c r="A1794">
        <v>10953202</v>
      </c>
      <c r="B1794" t="s">
        <v>570</v>
      </c>
    </row>
    <row r="1795" spans="1:2" x14ac:dyDescent="0.25">
      <c r="A1795">
        <v>10958795</v>
      </c>
      <c r="B1795" t="s">
        <v>569</v>
      </c>
    </row>
    <row r="1796" spans="1:2" x14ac:dyDescent="0.25">
      <c r="A1796">
        <v>11317634</v>
      </c>
      <c r="B1796" t="s">
        <v>568</v>
      </c>
    </row>
    <row r="1797" spans="1:2" x14ac:dyDescent="0.25">
      <c r="A1797">
        <v>11242777</v>
      </c>
      <c r="B1797" t="s">
        <v>569</v>
      </c>
    </row>
    <row r="1798" spans="1:2" x14ac:dyDescent="0.25">
      <c r="A1798">
        <v>11268843</v>
      </c>
      <c r="B1798" t="s">
        <v>569</v>
      </c>
    </row>
    <row r="1799" spans="1:2" x14ac:dyDescent="0.25">
      <c r="A1799">
        <v>11386360</v>
      </c>
      <c r="B1799" t="s">
        <v>570</v>
      </c>
    </row>
    <row r="1800" spans="1:2" x14ac:dyDescent="0.25">
      <c r="A1800">
        <v>11353534</v>
      </c>
      <c r="B1800" t="s">
        <v>572</v>
      </c>
    </row>
    <row r="1801" spans="1:2" x14ac:dyDescent="0.25">
      <c r="A1801">
        <v>11580462</v>
      </c>
      <c r="B1801" t="s">
        <v>568</v>
      </c>
    </row>
    <row r="1802" spans="1:2" x14ac:dyDescent="0.25">
      <c r="A1802">
        <v>11507864</v>
      </c>
      <c r="B1802" t="s">
        <v>569</v>
      </c>
    </row>
    <row r="1803" spans="1:2" x14ac:dyDescent="0.25">
      <c r="A1803">
        <v>11435155</v>
      </c>
      <c r="B1803" t="s">
        <v>568</v>
      </c>
    </row>
    <row r="1804" spans="1:2" x14ac:dyDescent="0.25">
      <c r="A1804">
        <v>11457587</v>
      </c>
      <c r="B1804" t="s">
        <v>569</v>
      </c>
    </row>
    <row r="1805" spans="1:2" x14ac:dyDescent="0.25">
      <c r="A1805">
        <v>11419904</v>
      </c>
      <c r="B1805" t="s">
        <v>568</v>
      </c>
    </row>
    <row r="1806" spans="1:2" x14ac:dyDescent="0.25">
      <c r="A1806">
        <v>11710491</v>
      </c>
      <c r="B1806" t="s">
        <v>568</v>
      </c>
    </row>
    <row r="1807" spans="1:2" x14ac:dyDescent="0.25">
      <c r="A1807">
        <v>11997202</v>
      </c>
      <c r="B1807" t="s">
        <v>572</v>
      </c>
    </row>
    <row r="1808" spans="1:2" x14ac:dyDescent="0.25">
      <c r="A1808">
        <v>11930189</v>
      </c>
      <c r="B1808" t="s">
        <v>569</v>
      </c>
    </row>
    <row r="1809" spans="1:2" x14ac:dyDescent="0.25">
      <c r="A1809">
        <v>11967603</v>
      </c>
      <c r="B1809" t="s">
        <v>569</v>
      </c>
    </row>
    <row r="1810" spans="1:2" x14ac:dyDescent="0.25">
      <c r="A1810">
        <v>11949593</v>
      </c>
      <c r="B1810" t="s">
        <v>572</v>
      </c>
    </row>
    <row r="1811" spans="1:2" x14ac:dyDescent="0.25">
      <c r="A1811">
        <v>11382540</v>
      </c>
      <c r="B1811" t="s">
        <v>568</v>
      </c>
    </row>
    <row r="1812" spans="1:2" x14ac:dyDescent="0.25">
      <c r="A1812">
        <v>11382849</v>
      </c>
      <c r="B1812" t="s">
        <v>569</v>
      </c>
    </row>
    <row r="1813" spans="1:2" x14ac:dyDescent="0.25">
      <c r="A1813">
        <v>11300176</v>
      </c>
      <c r="B1813" t="s">
        <v>569</v>
      </c>
    </row>
    <row r="1814" spans="1:2" x14ac:dyDescent="0.25">
      <c r="A1814">
        <v>11300378</v>
      </c>
      <c r="B1814" t="s">
        <v>569</v>
      </c>
    </row>
    <row r="1815" spans="1:2" x14ac:dyDescent="0.25">
      <c r="A1815">
        <v>11868790</v>
      </c>
      <c r="B1815" t="s">
        <v>569</v>
      </c>
    </row>
    <row r="1816" spans="1:2" x14ac:dyDescent="0.25">
      <c r="A1816">
        <v>11911487</v>
      </c>
      <c r="B1816" t="s">
        <v>569</v>
      </c>
    </row>
    <row r="1817" spans="1:2" x14ac:dyDescent="0.25">
      <c r="A1817">
        <v>11843830</v>
      </c>
      <c r="B1817" t="s">
        <v>570</v>
      </c>
    </row>
    <row r="1818" spans="1:2" x14ac:dyDescent="0.25">
      <c r="A1818">
        <v>11876290</v>
      </c>
      <c r="B1818" t="s">
        <v>570</v>
      </c>
    </row>
    <row r="1819" spans="1:2" x14ac:dyDescent="0.25">
      <c r="A1819">
        <v>11880212</v>
      </c>
      <c r="B1819" t="s">
        <v>572</v>
      </c>
    </row>
    <row r="1820" spans="1:2" x14ac:dyDescent="0.25">
      <c r="A1820">
        <v>11648417</v>
      </c>
      <c r="B1820" t="s">
        <v>569</v>
      </c>
    </row>
    <row r="1821" spans="1:2" x14ac:dyDescent="0.25">
      <c r="A1821">
        <v>11490009</v>
      </c>
      <c r="B1821" t="s">
        <v>572</v>
      </c>
    </row>
    <row r="1822" spans="1:2" x14ac:dyDescent="0.25">
      <c r="A1822">
        <v>11633652</v>
      </c>
      <c r="B1822" t="s">
        <v>569</v>
      </c>
    </row>
    <row r="1823" spans="1:2" x14ac:dyDescent="0.25">
      <c r="A1823">
        <v>11264785</v>
      </c>
      <c r="B1823" t="s">
        <v>568</v>
      </c>
    </row>
    <row r="1824" spans="1:2" x14ac:dyDescent="0.25">
      <c r="A1824">
        <v>11264862</v>
      </c>
      <c r="B1824" t="s">
        <v>568</v>
      </c>
    </row>
    <row r="1825" spans="1:2" x14ac:dyDescent="0.25">
      <c r="A1825">
        <v>10641502</v>
      </c>
      <c r="B1825" t="s">
        <v>568</v>
      </c>
    </row>
    <row r="1826" spans="1:2" x14ac:dyDescent="0.25">
      <c r="A1826">
        <v>11303671</v>
      </c>
      <c r="B1826" t="s">
        <v>569</v>
      </c>
    </row>
    <row r="1827" spans="1:2" x14ac:dyDescent="0.25">
      <c r="A1827">
        <v>11304237</v>
      </c>
      <c r="B1827" t="s">
        <v>569</v>
      </c>
    </row>
    <row r="1828" spans="1:2" x14ac:dyDescent="0.25">
      <c r="A1828">
        <v>10961540</v>
      </c>
      <c r="B1828" t="s">
        <v>569</v>
      </c>
    </row>
    <row r="1829" spans="1:2" x14ac:dyDescent="0.25">
      <c r="A1829">
        <v>10955618</v>
      </c>
      <c r="B1829" t="s">
        <v>569</v>
      </c>
    </row>
    <row r="1830" spans="1:2" x14ac:dyDescent="0.25">
      <c r="A1830">
        <v>10970381</v>
      </c>
      <c r="B1830" t="s">
        <v>569</v>
      </c>
    </row>
    <row r="1831" spans="1:2" x14ac:dyDescent="0.25">
      <c r="A1831">
        <v>10952585</v>
      </c>
      <c r="B1831" t="s">
        <v>569</v>
      </c>
    </row>
    <row r="1832" spans="1:2" x14ac:dyDescent="0.25">
      <c r="A1832">
        <v>11030645</v>
      </c>
      <c r="B1832" t="s">
        <v>570</v>
      </c>
    </row>
    <row r="1833" spans="1:2" x14ac:dyDescent="0.25">
      <c r="A1833">
        <v>11013332</v>
      </c>
      <c r="B1833" t="s">
        <v>569</v>
      </c>
    </row>
    <row r="1834" spans="1:2" x14ac:dyDescent="0.25">
      <c r="A1834">
        <v>11489953</v>
      </c>
      <c r="B1834" t="s">
        <v>569</v>
      </c>
    </row>
    <row r="1835" spans="1:2" x14ac:dyDescent="0.25">
      <c r="A1835">
        <v>10746472</v>
      </c>
      <c r="B1835" t="s">
        <v>568</v>
      </c>
    </row>
    <row r="1836" spans="1:2" x14ac:dyDescent="0.25">
      <c r="A1836">
        <v>11374221</v>
      </c>
      <c r="B1836" t="s">
        <v>568</v>
      </c>
    </row>
    <row r="1837" spans="1:2" x14ac:dyDescent="0.25">
      <c r="A1837">
        <v>11348623</v>
      </c>
      <c r="B1837" t="s">
        <v>569</v>
      </c>
    </row>
    <row r="1838" spans="1:2" x14ac:dyDescent="0.25">
      <c r="A1838">
        <v>11358078</v>
      </c>
      <c r="B1838" t="s">
        <v>569</v>
      </c>
    </row>
    <row r="1839" spans="1:2" x14ac:dyDescent="0.25">
      <c r="A1839">
        <v>11680702</v>
      </c>
      <c r="B1839" t="s">
        <v>569</v>
      </c>
    </row>
    <row r="1840" spans="1:2" x14ac:dyDescent="0.25">
      <c r="A1840">
        <v>11801937</v>
      </c>
      <c r="B1840" t="s">
        <v>569</v>
      </c>
    </row>
    <row r="1841" spans="1:2" x14ac:dyDescent="0.25">
      <c r="A1841">
        <v>11736597</v>
      </c>
      <c r="B1841" t="s">
        <v>572</v>
      </c>
    </row>
    <row r="1842" spans="1:2" x14ac:dyDescent="0.25">
      <c r="A1842">
        <v>11707589</v>
      </c>
      <c r="B1842" t="s">
        <v>568</v>
      </c>
    </row>
    <row r="1843" spans="1:2" x14ac:dyDescent="0.25">
      <c r="A1843">
        <v>11762169</v>
      </c>
      <c r="B1843" t="s">
        <v>573</v>
      </c>
    </row>
    <row r="1844" spans="1:2" x14ac:dyDescent="0.25">
      <c r="A1844">
        <v>11810939</v>
      </c>
      <c r="B1844" t="s">
        <v>570</v>
      </c>
    </row>
    <row r="1845" spans="1:2" x14ac:dyDescent="0.25">
      <c r="A1845">
        <v>11731186</v>
      </c>
      <c r="B1845" t="s">
        <v>568</v>
      </c>
    </row>
    <row r="1846" spans="1:2" x14ac:dyDescent="0.25">
      <c r="A1846">
        <v>11708571</v>
      </c>
      <c r="B1846" t="s">
        <v>571</v>
      </c>
    </row>
    <row r="1847" spans="1:2" x14ac:dyDescent="0.25">
      <c r="A1847">
        <v>11629722</v>
      </c>
      <c r="B1847" t="s">
        <v>570</v>
      </c>
    </row>
    <row r="1848" spans="1:2" x14ac:dyDescent="0.25">
      <c r="A1848">
        <v>11562201</v>
      </c>
      <c r="B1848" t="s">
        <v>568</v>
      </c>
    </row>
    <row r="1849" spans="1:2" x14ac:dyDescent="0.25">
      <c r="A1849">
        <v>11573700</v>
      </c>
      <c r="B1849" t="s">
        <v>570</v>
      </c>
    </row>
    <row r="1850" spans="1:2" x14ac:dyDescent="0.25">
      <c r="A1850">
        <v>11317433</v>
      </c>
      <c r="B1850" t="s">
        <v>569</v>
      </c>
    </row>
    <row r="1851" spans="1:2" x14ac:dyDescent="0.25">
      <c r="A1851">
        <v>11282992</v>
      </c>
      <c r="B1851" t="s">
        <v>570</v>
      </c>
    </row>
    <row r="1852" spans="1:2" x14ac:dyDescent="0.25">
      <c r="A1852">
        <v>11266443</v>
      </c>
      <c r="B1852" t="s">
        <v>572</v>
      </c>
    </row>
    <row r="1853" spans="1:2" x14ac:dyDescent="0.25">
      <c r="A1853">
        <v>11263822</v>
      </c>
      <c r="B1853" t="s">
        <v>568</v>
      </c>
    </row>
    <row r="1854" spans="1:2" x14ac:dyDescent="0.25">
      <c r="A1854">
        <v>11431874</v>
      </c>
      <c r="B1854" t="s">
        <v>572</v>
      </c>
    </row>
    <row r="1855" spans="1:2" x14ac:dyDescent="0.25">
      <c r="A1855">
        <v>10840880</v>
      </c>
      <c r="B1855" t="s">
        <v>569</v>
      </c>
    </row>
    <row r="1856" spans="1:2" x14ac:dyDescent="0.25">
      <c r="A1856">
        <v>10773060</v>
      </c>
      <c r="B1856" t="s">
        <v>572</v>
      </c>
    </row>
    <row r="1857" spans="1:2" x14ac:dyDescent="0.25">
      <c r="A1857">
        <v>11920881</v>
      </c>
      <c r="B1857" t="s">
        <v>569</v>
      </c>
    </row>
    <row r="1858" spans="1:2" x14ac:dyDescent="0.25">
      <c r="A1858">
        <v>11900798</v>
      </c>
      <c r="B1858" t="s">
        <v>570</v>
      </c>
    </row>
    <row r="1859" spans="1:2" x14ac:dyDescent="0.25">
      <c r="A1859">
        <v>10782692</v>
      </c>
      <c r="B1859" t="s">
        <v>568</v>
      </c>
    </row>
    <row r="1860" spans="1:2" x14ac:dyDescent="0.25">
      <c r="A1860">
        <v>10794590</v>
      </c>
      <c r="B1860" t="s">
        <v>570</v>
      </c>
    </row>
    <row r="1861" spans="1:2" x14ac:dyDescent="0.25">
      <c r="A1861">
        <v>10665604</v>
      </c>
      <c r="B1861" t="s">
        <v>570</v>
      </c>
    </row>
    <row r="1862" spans="1:2" x14ac:dyDescent="0.25">
      <c r="A1862">
        <v>10683933</v>
      </c>
      <c r="B1862" t="s">
        <v>568</v>
      </c>
    </row>
    <row r="1863" spans="1:2" x14ac:dyDescent="0.25">
      <c r="A1863">
        <v>10691252</v>
      </c>
      <c r="B1863" t="s">
        <v>569</v>
      </c>
    </row>
    <row r="1864" spans="1:2" x14ac:dyDescent="0.25">
      <c r="A1864">
        <v>11666771</v>
      </c>
      <c r="B1864" t="s">
        <v>569</v>
      </c>
    </row>
    <row r="1865" spans="1:2" x14ac:dyDescent="0.25">
      <c r="A1865">
        <v>11645536</v>
      </c>
      <c r="B1865" t="s">
        <v>570</v>
      </c>
    </row>
    <row r="1866" spans="1:2" x14ac:dyDescent="0.25">
      <c r="A1866">
        <v>11720335</v>
      </c>
      <c r="B1866" t="s">
        <v>568</v>
      </c>
    </row>
    <row r="1867" spans="1:2" x14ac:dyDescent="0.25">
      <c r="A1867">
        <v>10835878</v>
      </c>
      <c r="B1867" t="s">
        <v>573</v>
      </c>
    </row>
    <row r="1868" spans="1:2" x14ac:dyDescent="0.25">
      <c r="A1868">
        <v>10772027</v>
      </c>
      <c r="B1868" t="s">
        <v>569</v>
      </c>
    </row>
    <row r="1869" spans="1:2" x14ac:dyDescent="0.25">
      <c r="A1869">
        <v>10881810</v>
      </c>
      <c r="B1869" t="s">
        <v>572</v>
      </c>
    </row>
    <row r="1870" spans="1:2" x14ac:dyDescent="0.25">
      <c r="A1870">
        <v>10881351</v>
      </c>
      <c r="B1870" t="s">
        <v>569</v>
      </c>
    </row>
    <row r="1871" spans="1:2" x14ac:dyDescent="0.25">
      <c r="A1871">
        <v>10939911</v>
      </c>
      <c r="B1871" t="s">
        <v>570</v>
      </c>
    </row>
    <row r="1872" spans="1:2" x14ac:dyDescent="0.25">
      <c r="A1872">
        <v>11343133</v>
      </c>
      <c r="B1872" t="s">
        <v>569</v>
      </c>
    </row>
    <row r="1873" spans="1:2" x14ac:dyDescent="0.25">
      <c r="A1873">
        <v>11343431</v>
      </c>
      <c r="B1873" t="s">
        <v>568</v>
      </c>
    </row>
    <row r="1874" spans="1:2" x14ac:dyDescent="0.25">
      <c r="A1874">
        <v>11591588</v>
      </c>
      <c r="B1874" t="s">
        <v>570</v>
      </c>
    </row>
    <row r="1875" spans="1:2" x14ac:dyDescent="0.25">
      <c r="A1875">
        <v>11583303</v>
      </c>
      <c r="B1875" t="s">
        <v>569</v>
      </c>
    </row>
    <row r="1876" spans="1:2" x14ac:dyDescent="0.25">
      <c r="A1876">
        <v>11583414</v>
      </c>
      <c r="B1876" t="s">
        <v>569</v>
      </c>
    </row>
    <row r="1877" spans="1:2" x14ac:dyDescent="0.25">
      <c r="A1877">
        <v>11580684</v>
      </c>
      <c r="B1877" t="s">
        <v>569</v>
      </c>
    </row>
    <row r="1878" spans="1:2" x14ac:dyDescent="0.25">
      <c r="A1878">
        <v>11573071</v>
      </c>
      <c r="B1878" t="s">
        <v>568</v>
      </c>
    </row>
    <row r="1879" spans="1:2" x14ac:dyDescent="0.25">
      <c r="A1879">
        <v>11562193</v>
      </c>
      <c r="B1879" t="s">
        <v>569</v>
      </c>
    </row>
    <row r="1880" spans="1:2" x14ac:dyDescent="0.25">
      <c r="A1880">
        <v>11559764</v>
      </c>
      <c r="B1880" t="s">
        <v>568</v>
      </c>
    </row>
    <row r="1881" spans="1:2" x14ac:dyDescent="0.25">
      <c r="A1881">
        <v>11559071</v>
      </c>
      <c r="B1881" t="s">
        <v>569</v>
      </c>
    </row>
    <row r="1882" spans="1:2" x14ac:dyDescent="0.25">
      <c r="A1882">
        <v>11559274</v>
      </c>
      <c r="B1882" t="s">
        <v>568</v>
      </c>
    </row>
    <row r="1883" spans="1:2" x14ac:dyDescent="0.25">
      <c r="A1883">
        <v>11543592</v>
      </c>
      <c r="B1883" t="s">
        <v>570</v>
      </c>
    </row>
    <row r="1884" spans="1:2" x14ac:dyDescent="0.25">
      <c r="A1884">
        <v>11543936</v>
      </c>
      <c r="B1884" t="s">
        <v>569</v>
      </c>
    </row>
    <row r="1885" spans="1:2" x14ac:dyDescent="0.25">
      <c r="A1885">
        <v>11634608</v>
      </c>
      <c r="B1885" t="s">
        <v>570</v>
      </c>
    </row>
    <row r="1886" spans="1:2" x14ac:dyDescent="0.25">
      <c r="A1886">
        <v>11617765</v>
      </c>
      <c r="B1886" t="s">
        <v>570</v>
      </c>
    </row>
    <row r="1887" spans="1:2" x14ac:dyDescent="0.25">
      <c r="A1887">
        <v>11971744</v>
      </c>
      <c r="B1887" t="s">
        <v>570</v>
      </c>
    </row>
    <row r="1888" spans="1:2" x14ac:dyDescent="0.25">
      <c r="A1888">
        <v>11208915</v>
      </c>
      <c r="B1888" t="s">
        <v>569</v>
      </c>
    </row>
    <row r="1889" spans="1:2" x14ac:dyDescent="0.25">
      <c r="A1889">
        <v>11448783</v>
      </c>
      <c r="B1889" t="s">
        <v>572</v>
      </c>
    </row>
    <row r="1890" spans="1:2" x14ac:dyDescent="0.25">
      <c r="A1890">
        <v>11454009</v>
      </c>
      <c r="B1890" t="s">
        <v>569</v>
      </c>
    </row>
    <row r="1891" spans="1:2" x14ac:dyDescent="0.25">
      <c r="A1891">
        <v>10930465</v>
      </c>
      <c r="B1891" t="s">
        <v>568</v>
      </c>
    </row>
    <row r="1892" spans="1:2" x14ac:dyDescent="0.25">
      <c r="A1892">
        <v>11538865</v>
      </c>
      <c r="B1892" t="s">
        <v>569</v>
      </c>
    </row>
    <row r="1893" spans="1:2" x14ac:dyDescent="0.25">
      <c r="A1893">
        <v>11116788</v>
      </c>
      <c r="B1893" t="s">
        <v>570</v>
      </c>
    </row>
    <row r="1894" spans="1:2" x14ac:dyDescent="0.25">
      <c r="A1894">
        <v>11082426</v>
      </c>
      <c r="B1894" t="s">
        <v>570</v>
      </c>
    </row>
    <row r="1895" spans="1:2" x14ac:dyDescent="0.25">
      <c r="A1895">
        <v>11072277</v>
      </c>
      <c r="B1895" t="s">
        <v>568</v>
      </c>
    </row>
    <row r="1896" spans="1:2" x14ac:dyDescent="0.25">
      <c r="A1896">
        <v>11058571</v>
      </c>
      <c r="B1896" t="s">
        <v>568</v>
      </c>
    </row>
    <row r="1897" spans="1:2" x14ac:dyDescent="0.25">
      <c r="A1897">
        <v>11058342</v>
      </c>
      <c r="B1897" t="s">
        <v>569</v>
      </c>
    </row>
    <row r="1898" spans="1:2" x14ac:dyDescent="0.25">
      <c r="A1898">
        <v>11048469</v>
      </c>
      <c r="B1898" t="s">
        <v>568</v>
      </c>
    </row>
    <row r="1899" spans="1:2" x14ac:dyDescent="0.25">
      <c r="A1899">
        <v>11044645</v>
      </c>
      <c r="B1899" t="s">
        <v>569</v>
      </c>
    </row>
    <row r="1900" spans="1:2" x14ac:dyDescent="0.25">
      <c r="A1900">
        <v>11033612</v>
      </c>
      <c r="B1900" t="s">
        <v>568</v>
      </c>
    </row>
    <row r="1901" spans="1:2" x14ac:dyDescent="0.25">
      <c r="A1901">
        <v>11007858</v>
      </c>
      <c r="B1901" t="s">
        <v>568</v>
      </c>
    </row>
    <row r="1902" spans="1:2" x14ac:dyDescent="0.25">
      <c r="A1902">
        <v>10956516</v>
      </c>
      <c r="B1902" t="s">
        <v>569</v>
      </c>
    </row>
    <row r="1903" spans="1:2" x14ac:dyDescent="0.25">
      <c r="A1903">
        <v>10958951</v>
      </c>
      <c r="B1903" t="s">
        <v>568</v>
      </c>
    </row>
    <row r="1904" spans="1:2" x14ac:dyDescent="0.25">
      <c r="A1904">
        <v>10965495</v>
      </c>
      <c r="B1904" t="s">
        <v>569</v>
      </c>
    </row>
    <row r="1905" spans="1:2" x14ac:dyDescent="0.25">
      <c r="A1905">
        <v>10968173</v>
      </c>
      <c r="B1905" t="s">
        <v>569</v>
      </c>
    </row>
    <row r="1906" spans="1:2" x14ac:dyDescent="0.25">
      <c r="A1906">
        <v>10971157</v>
      </c>
      <c r="B1906" t="s">
        <v>568</v>
      </c>
    </row>
    <row r="1907" spans="1:2" x14ac:dyDescent="0.25">
      <c r="A1907">
        <v>10991626</v>
      </c>
      <c r="B1907" t="s">
        <v>569</v>
      </c>
    </row>
    <row r="1908" spans="1:2" x14ac:dyDescent="0.25">
      <c r="A1908">
        <v>11025975</v>
      </c>
      <c r="B1908" t="s">
        <v>569</v>
      </c>
    </row>
    <row r="1909" spans="1:2" x14ac:dyDescent="0.25">
      <c r="A1909">
        <v>11009402</v>
      </c>
      <c r="B1909" t="s">
        <v>572</v>
      </c>
    </row>
    <row r="1910" spans="1:2" x14ac:dyDescent="0.25">
      <c r="A1910">
        <v>11009640</v>
      </c>
      <c r="B1910" t="s">
        <v>568</v>
      </c>
    </row>
    <row r="1911" spans="1:2" x14ac:dyDescent="0.25">
      <c r="A1911">
        <v>11011404</v>
      </c>
      <c r="B1911" t="s">
        <v>568</v>
      </c>
    </row>
    <row r="1912" spans="1:2" x14ac:dyDescent="0.25">
      <c r="A1912">
        <v>11013023</v>
      </c>
      <c r="B1912" t="s">
        <v>568</v>
      </c>
    </row>
    <row r="1913" spans="1:2" x14ac:dyDescent="0.25">
      <c r="A1913">
        <v>10999768</v>
      </c>
      <c r="B1913" t="s">
        <v>568</v>
      </c>
    </row>
    <row r="1914" spans="1:2" x14ac:dyDescent="0.25">
      <c r="A1914">
        <v>10945036</v>
      </c>
      <c r="B1914" t="s">
        <v>568</v>
      </c>
    </row>
    <row r="1915" spans="1:2" x14ac:dyDescent="0.25">
      <c r="A1915">
        <v>11015967</v>
      </c>
      <c r="B1915" t="s">
        <v>569</v>
      </c>
    </row>
    <row r="1916" spans="1:2" x14ac:dyDescent="0.25">
      <c r="A1916">
        <v>10936197</v>
      </c>
      <c r="B1916" t="s">
        <v>569</v>
      </c>
    </row>
    <row r="1917" spans="1:2" x14ac:dyDescent="0.25">
      <c r="A1917">
        <v>10936734</v>
      </c>
      <c r="B1917" t="s">
        <v>569</v>
      </c>
    </row>
    <row r="1918" spans="1:2" x14ac:dyDescent="0.25">
      <c r="A1918">
        <v>10922905</v>
      </c>
      <c r="B1918" t="s">
        <v>568</v>
      </c>
    </row>
    <row r="1919" spans="1:2" x14ac:dyDescent="0.25">
      <c r="A1919">
        <v>10923489</v>
      </c>
      <c r="B1919" t="s">
        <v>568</v>
      </c>
    </row>
    <row r="1920" spans="1:2" x14ac:dyDescent="0.25">
      <c r="A1920">
        <v>10922435</v>
      </c>
      <c r="B1920" t="s">
        <v>568</v>
      </c>
    </row>
    <row r="1921" spans="1:2" x14ac:dyDescent="0.25">
      <c r="A1921">
        <v>10705485</v>
      </c>
      <c r="B1921" t="s">
        <v>568</v>
      </c>
    </row>
    <row r="1922" spans="1:2" x14ac:dyDescent="0.25">
      <c r="A1922">
        <v>10701294</v>
      </c>
      <c r="B1922" t="s">
        <v>568</v>
      </c>
    </row>
    <row r="1923" spans="1:2" x14ac:dyDescent="0.25">
      <c r="A1923">
        <v>10720666</v>
      </c>
      <c r="B1923" t="s">
        <v>569</v>
      </c>
    </row>
    <row r="1924" spans="1:2" x14ac:dyDescent="0.25">
      <c r="A1924">
        <v>10706011</v>
      </c>
      <c r="B1924" t="s">
        <v>568</v>
      </c>
    </row>
    <row r="1925" spans="1:2" x14ac:dyDescent="0.25">
      <c r="A1925">
        <v>10707353</v>
      </c>
      <c r="B1925" t="s">
        <v>568</v>
      </c>
    </row>
    <row r="1926" spans="1:2" x14ac:dyDescent="0.25">
      <c r="A1926">
        <v>10724063</v>
      </c>
      <c r="B1926" t="s">
        <v>568</v>
      </c>
    </row>
    <row r="1927" spans="1:2" x14ac:dyDescent="0.25">
      <c r="A1927">
        <v>10724209</v>
      </c>
      <c r="B1927" t="s">
        <v>568</v>
      </c>
    </row>
    <row r="1928" spans="1:2" x14ac:dyDescent="0.25">
      <c r="A1928">
        <v>11214391</v>
      </c>
      <c r="B1928" t="s">
        <v>569</v>
      </c>
    </row>
    <row r="1929" spans="1:2" x14ac:dyDescent="0.25">
      <c r="A1929">
        <v>11198491</v>
      </c>
      <c r="B1929" t="s">
        <v>568</v>
      </c>
    </row>
    <row r="1930" spans="1:2" x14ac:dyDescent="0.25">
      <c r="A1930">
        <v>11195366</v>
      </c>
      <c r="B1930" t="s">
        <v>569</v>
      </c>
    </row>
    <row r="1931" spans="1:2" x14ac:dyDescent="0.25">
      <c r="A1931">
        <v>11178678</v>
      </c>
      <c r="B1931" t="s">
        <v>570</v>
      </c>
    </row>
    <row r="1932" spans="1:2" x14ac:dyDescent="0.25">
      <c r="A1932">
        <v>11179923</v>
      </c>
      <c r="B1932" t="s">
        <v>570</v>
      </c>
    </row>
    <row r="1933" spans="1:2" x14ac:dyDescent="0.25">
      <c r="A1933">
        <v>11182141</v>
      </c>
      <c r="B1933" t="s">
        <v>568</v>
      </c>
    </row>
    <row r="1934" spans="1:2" x14ac:dyDescent="0.25">
      <c r="A1934">
        <v>11104488</v>
      </c>
      <c r="B1934" t="s">
        <v>569</v>
      </c>
    </row>
    <row r="1935" spans="1:2" x14ac:dyDescent="0.25">
      <c r="A1935">
        <v>11147699</v>
      </c>
      <c r="B1935" t="s">
        <v>569</v>
      </c>
    </row>
    <row r="1936" spans="1:2" x14ac:dyDescent="0.25">
      <c r="A1936">
        <v>10773637</v>
      </c>
      <c r="B1936" t="s">
        <v>569</v>
      </c>
    </row>
    <row r="1937" spans="1:2" x14ac:dyDescent="0.25">
      <c r="A1937">
        <v>10763422</v>
      </c>
      <c r="B1937" t="s">
        <v>572</v>
      </c>
    </row>
    <row r="1938" spans="1:2" x14ac:dyDescent="0.25">
      <c r="A1938">
        <v>10764638</v>
      </c>
      <c r="B1938" t="s">
        <v>568</v>
      </c>
    </row>
    <row r="1939" spans="1:2" x14ac:dyDescent="0.25">
      <c r="A1939">
        <v>10765814</v>
      </c>
      <c r="B1939" t="s">
        <v>568</v>
      </c>
    </row>
    <row r="1940" spans="1:2" x14ac:dyDescent="0.25">
      <c r="A1940">
        <v>10753951</v>
      </c>
      <c r="B1940" t="s">
        <v>568</v>
      </c>
    </row>
    <row r="1941" spans="1:2" x14ac:dyDescent="0.25">
      <c r="A1941">
        <v>10782142</v>
      </c>
      <c r="B1941" t="s">
        <v>568</v>
      </c>
    </row>
    <row r="1942" spans="1:2" x14ac:dyDescent="0.25">
      <c r="A1942">
        <v>10779059</v>
      </c>
      <c r="B1942" t="s">
        <v>568</v>
      </c>
    </row>
    <row r="1943" spans="1:2" x14ac:dyDescent="0.25">
      <c r="A1943">
        <v>10834966</v>
      </c>
      <c r="B1943" t="s">
        <v>568</v>
      </c>
    </row>
    <row r="1944" spans="1:2" x14ac:dyDescent="0.25">
      <c r="A1944">
        <v>10823695</v>
      </c>
      <c r="B1944" t="s">
        <v>569</v>
      </c>
    </row>
    <row r="1945" spans="1:2" x14ac:dyDescent="0.25">
      <c r="A1945">
        <v>10843926</v>
      </c>
      <c r="B1945" t="s">
        <v>568</v>
      </c>
    </row>
    <row r="1946" spans="1:2" x14ac:dyDescent="0.25">
      <c r="A1946">
        <v>10814947</v>
      </c>
      <c r="B1946" t="s">
        <v>568</v>
      </c>
    </row>
    <row r="1947" spans="1:2" x14ac:dyDescent="0.25">
      <c r="A1947">
        <v>10816864</v>
      </c>
      <c r="B1947" t="s">
        <v>568</v>
      </c>
    </row>
    <row r="1948" spans="1:2" x14ac:dyDescent="0.25">
      <c r="A1948">
        <v>10806122</v>
      </c>
      <c r="B1948" t="s">
        <v>569</v>
      </c>
    </row>
    <row r="1949" spans="1:2" x14ac:dyDescent="0.25">
      <c r="A1949">
        <v>10803679</v>
      </c>
      <c r="B1949" t="s">
        <v>569</v>
      </c>
    </row>
    <row r="1950" spans="1:2" x14ac:dyDescent="0.25">
      <c r="A1950">
        <v>10803759</v>
      </c>
      <c r="B1950" t="s">
        <v>571</v>
      </c>
    </row>
    <row r="1951" spans="1:2" x14ac:dyDescent="0.25">
      <c r="A1951">
        <v>10804080</v>
      </c>
      <c r="B1951" t="s">
        <v>569</v>
      </c>
    </row>
    <row r="1952" spans="1:2" x14ac:dyDescent="0.25">
      <c r="A1952">
        <v>10873337</v>
      </c>
      <c r="B1952" t="s">
        <v>568</v>
      </c>
    </row>
    <row r="1953" spans="1:2" x14ac:dyDescent="0.25">
      <c r="A1953">
        <v>10868219</v>
      </c>
      <c r="B1953" t="s">
        <v>568</v>
      </c>
    </row>
    <row r="1954" spans="1:2" x14ac:dyDescent="0.25">
      <c r="A1954">
        <v>10869496</v>
      </c>
      <c r="B1954" t="s">
        <v>569</v>
      </c>
    </row>
    <row r="1955" spans="1:2" x14ac:dyDescent="0.25">
      <c r="A1955">
        <v>10869526</v>
      </c>
      <c r="B1955" t="s">
        <v>569</v>
      </c>
    </row>
    <row r="1956" spans="1:2" x14ac:dyDescent="0.25">
      <c r="A1956">
        <v>10869639</v>
      </c>
      <c r="B1956" t="s">
        <v>568</v>
      </c>
    </row>
    <row r="1957" spans="1:2" x14ac:dyDescent="0.25">
      <c r="A1957">
        <v>10860499</v>
      </c>
      <c r="B1957" t="s">
        <v>569</v>
      </c>
    </row>
    <row r="1958" spans="1:2" x14ac:dyDescent="0.25">
      <c r="A1958">
        <v>10861032</v>
      </c>
      <c r="B1958" t="s">
        <v>569</v>
      </c>
    </row>
    <row r="1959" spans="1:2" x14ac:dyDescent="0.25">
      <c r="A1959">
        <v>10867131</v>
      </c>
      <c r="B1959" t="s">
        <v>568</v>
      </c>
    </row>
    <row r="1960" spans="1:2" x14ac:dyDescent="0.25">
      <c r="A1960">
        <v>10850894</v>
      </c>
      <c r="B1960" t="s">
        <v>568</v>
      </c>
    </row>
    <row r="1961" spans="1:2" x14ac:dyDescent="0.25">
      <c r="A1961">
        <v>10893807</v>
      </c>
      <c r="B1961" t="s">
        <v>568</v>
      </c>
    </row>
    <row r="1962" spans="1:2" x14ac:dyDescent="0.25">
      <c r="A1962">
        <v>10898058</v>
      </c>
      <c r="B1962" t="s">
        <v>570</v>
      </c>
    </row>
    <row r="1963" spans="1:2" x14ac:dyDescent="0.25">
      <c r="A1963">
        <v>10904180</v>
      </c>
      <c r="B1963" t="s">
        <v>568</v>
      </c>
    </row>
    <row r="1964" spans="1:2" x14ac:dyDescent="0.25">
      <c r="A1964">
        <v>10920661</v>
      </c>
      <c r="B1964" t="s">
        <v>568</v>
      </c>
    </row>
    <row r="1965" spans="1:2" x14ac:dyDescent="0.25">
      <c r="A1965">
        <v>10915665</v>
      </c>
      <c r="B1965" t="s">
        <v>569</v>
      </c>
    </row>
    <row r="1966" spans="1:2" x14ac:dyDescent="0.25">
      <c r="A1966">
        <v>10916151</v>
      </c>
      <c r="B1966" t="s">
        <v>569</v>
      </c>
    </row>
    <row r="1967" spans="1:2" x14ac:dyDescent="0.25">
      <c r="A1967">
        <v>10691481</v>
      </c>
      <c r="B1967" t="s">
        <v>568</v>
      </c>
    </row>
    <row r="1968" spans="1:2" x14ac:dyDescent="0.25">
      <c r="A1968">
        <v>10692039</v>
      </c>
      <c r="B1968" t="s">
        <v>568</v>
      </c>
    </row>
    <row r="1969" spans="1:2" x14ac:dyDescent="0.25">
      <c r="A1969">
        <v>11693311</v>
      </c>
      <c r="B1969" t="s">
        <v>568</v>
      </c>
    </row>
    <row r="1970" spans="1:2" x14ac:dyDescent="0.25">
      <c r="A1970">
        <v>11715944</v>
      </c>
      <c r="B1970" t="s">
        <v>572</v>
      </c>
    </row>
    <row r="1971" spans="1:2" x14ac:dyDescent="0.25">
      <c r="A1971">
        <v>11746723</v>
      </c>
      <c r="B1971" t="s">
        <v>568</v>
      </c>
    </row>
    <row r="1972" spans="1:2" x14ac:dyDescent="0.25">
      <c r="A1972">
        <v>11682454</v>
      </c>
      <c r="B1972" t="s">
        <v>569</v>
      </c>
    </row>
    <row r="1973" spans="1:2" x14ac:dyDescent="0.25">
      <c r="A1973">
        <v>11685706</v>
      </c>
      <c r="B1973" t="s">
        <v>569</v>
      </c>
    </row>
    <row r="1974" spans="1:2" x14ac:dyDescent="0.25">
      <c r="A1974">
        <v>11549074</v>
      </c>
      <c r="B1974" t="s">
        <v>569</v>
      </c>
    </row>
    <row r="1975" spans="1:2" x14ac:dyDescent="0.25">
      <c r="A1975">
        <v>11524388</v>
      </c>
      <c r="B1975" t="s">
        <v>568</v>
      </c>
    </row>
    <row r="1976" spans="1:2" x14ac:dyDescent="0.25">
      <c r="A1976">
        <v>11527692</v>
      </c>
      <c r="B1976" t="s">
        <v>569</v>
      </c>
    </row>
    <row r="1977" spans="1:2" x14ac:dyDescent="0.25">
      <c r="A1977">
        <v>11331877</v>
      </c>
      <c r="B1977" t="s">
        <v>572</v>
      </c>
    </row>
    <row r="1978" spans="1:2" x14ac:dyDescent="0.25">
      <c r="A1978">
        <v>11664724</v>
      </c>
      <c r="B1978" t="s">
        <v>568</v>
      </c>
    </row>
    <row r="1979" spans="1:2" x14ac:dyDescent="0.25">
      <c r="A1979">
        <v>11707234</v>
      </c>
      <c r="B1979" t="s">
        <v>569</v>
      </c>
    </row>
    <row r="1980" spans="1:2" x14ac:dyDescent="0.25">
      <c r="A1980">
        <v>11447359</v>
      </c>
      <c r="B1980" t="s">
        <v>570</v>
      </c>
    </row>
    <row r="1981" spans="1:2" x14ac:dyDescent="0.25">
      <c r="A1981">
        <v>11465068</v>
      </c>
      <c r="B1981" t="s">
        <v>572</v>
      </c>
    </row>
    <row r="1982" spans="1:2" x14ac:dyDescent="0.25">
      <c r="A1982">
        <v>10951238</v>
      </c>
      <c r="B1982" t="s">
        <v>568</v>
      </c>
    </row>
    <row r="1983" spans="1:2" x14ac:dyDescent="0.25">
      <c r="A1983">
        <v>11498479</v>
      </c>
      <c r="B1983" t="s">
        <v>568</v>
      </c>
    </row>
    <row r="1984" spans="1:2" x14ac:dyDescent="0.25">
      <c r="A1984">
        <v>11498689</v>
      </c>
      <c r="B1984" t="s">
        <v>569</v>
      </c>
    </row>
    <row r="1985" spans="1:2" x14ac:dyDescent="0.25">
      <c r="A1985">
        <v>11512476</v>
      </c>
      <c r="B1985" t="s">
        <v>568</v>
      </c>
    </row>
    <row r="1986" spans="1:2" x14ac:dyDescent="0.25">
      <c r="A1986">
        <v>11444637</v>
      </c>
      <c r="B1986" t="s">
        <v>569</v>
      </c>
    </row>
    <row r="1987" spans="1:2" x14ac:dyDescent="0.25">
      <c r="A1987">
        <v>11434479</v>
      </c>
      <c r="B1987" t="s">
        <v>568</v>
      </c>
    </row>
    <row r="1988" spans="1:2" x14ac:dyDescent="0.25">
      <c r="A1988">
        <v>11393183</v>
      </c>
      <c r="B1988" t="s">
        <v>568</v>
      </c>
    </row>
    <row r="1989" spans="1:2" x14ac:dyDescent="0.25">
      <c r="A1989">
        <v>11381611</v>
      </c>
      <c r="B1989" t="s">
        <v>572</v>
      </c>
    </row>
    <row r="1990" spans="1:2" x14ac:dyDescent="0.25">
      <c r="A1990">
        <v>11395125</v>
      </c>
      <c r="B1990" t="s">
        <v>569</v>
      </c>
    </row>
    <row r="1991" spans="1:2" x14ac:dyDescent="0.25">
      <c r="A1991">
        <v>11270435</v>
      </c>
      <c r="B1991" t="s">
        <v>570</v>
      </c>
    </row>
    <row r="1992" spans="1:2" x14ac:dyDescent="0.25">
      <c r="A1992">
        <v>11279361</v>
      </c>
      <c r="B1992" t="s">
        <v>568</v>
      </c>
    </row>
    <row r="1993" spans="1:2" x14ac:dyDescent="0.25">
      <c r="A1993">
        <v>11304512</v>
      </c>
      <c r="B1993" t="s">
        <v>568</v>
      </c>
    </row>
    <row r="1994" spans="1:2" x14ac:dyDescent="0.25">
      <c r="A1994">
        <v>11299844</v>
      </c>
      <c r="B1994" t="s">
        <v>571</v>
      </c>
    </row>
    <row r="1995" spans="1:2" x14ac:dyDescent="0.25">
      <c r="A1995">
        <v>11511313</v>
      </c>
      <c r="B1995" t="s">
        <v>572</v>
      </c>
    </row>
    <row r="1996" spans="1:2" x14ac:dyDescent="0.25">
      <c r="A1996">
        <v>11300254</v>
      </c>
      <c r="B1996" t="s">
        <v>568</v>
      </c>
    </row>
    <row r="1997" spans="1:2" x14ac:dyDescent="0.25">
      <c r="A1997">
        <v>11569192</v>
      </c>
      <c r="B1997" t="s">
        <v>568</v>
      </c>
    </row>
    <row r="1998" spans="1:2" x14ac:dyDescent="0.25">
      <c r="A1998">
        <v>11579756</v>
      </c>
      <c r="B1998" t="s">
        <v>569</v>
      </c>
    </row>
    <row r="1999" spans="1:2" x14ac:dyDescent="0.25">
      <c r="A1999">
        <v>11564403</v>
      </c>
      <c r="B1999" t="s">
        <v>569</v>
      </c>
    </row>
    <row r="2000" spans="1:2" x14ac:dyDescent="0.25">
      <c r="A2000">
        <v>11615648</v>
      </c>
      <c r="B2000" t="s">
        <v>570</v>
      </c>
    </row>
    <row r="2001" spans="1:2" x14ac:dyDescent="0.25">
      <c r="A2001">
        <v>11623779</v>
      </c>
      <c r="B2001" t="s">
        <v>568</v>
      </c>
    </row>
    <row r="2002" spans="1:2" x14ac:dyDescent="0.25">
      <c r="A2002">
        <v>11628281</v>
      </c>
      <c r="B2002" t="s">
        <v>568</v>
      </c>
    </row>
    <row r="2003" spans="1:2" x14ac:dyDescent="0.25">
      <c r="A2003">
        <v>11737026</v>
      </c>
      <c r="B2003" t="s">
        <v>569</v>
      </c>
    </row>
    <row r="2004" spans="1:2" x14ac:dyDescent="0.25">
      <c r="A2004">
        <v>11775944</v>
      </c>
      <c r="B2004" t="s">
        <v>569</v>
      </c>
    </row>
    <row r="2005" spans="1:2" x14ac:dyDescent="0.25">
      <c r="A2005">
        <v>11883217</v>
      </c>
      <c r="B2005" t="s">
        <v>569</v>
      </c>
    </row>
    <row r="2006" spans="1:2" x14ac:dyDescent="0.25">
      <c r="A2006">
        <v>11921300</v>
      </c>
      <c r="B2006" t="s">
        <v>569</v>
      </c>
    </row>
    <row r="2007" spans="1:2" x14ac:dyDescent="0.25">
      <c r="A2007">
        <v>11951528</v>
      </c>
      <c r="B2007" t="s">
        <v>569</v>
      </c>
    </row>
    <row r="2008" spans="1:2" x14ac:dyDescent="0.25">
      <c r="A2008">
        <v>11942450</v>
      </c>
      <c r="B2008" t="s">
        <v>569</v>
      </c>
    </row>
    <row r="2009" spans="1:2" x14ac:dyDescent="0.25">
      <c r="A2009">
        <v>11916697</v>
      </c>
      <c r="B2009" t="s">
        <v>569</v>
      </c>
    </row>
    <row r="2010" spans="1:2" x14ac:dyDescent="0.25">
      <c r="A2010">
        <v>11858304</v>
      </c>
      <c r="B2010" t="s">
        <v>569</v>
      </c>
    </row>
    <row r="2011" spans="1:2" x14ac:dyDescent="0.25">
      <c r="A2011">
        <v>11827579</v>
      </c>
      <c r="B2011" t="s">
        <v>568</v>
      </c>
    </row>
    <row r="2012" spans="1:2" x14ac:dyDescent="0.25">
      <c r="A2012">
        <v>11843195</v>
      </c>
      <c r="B2012" t="s">
        <v>570</v>
      </c>
    </row>
    <row r="2013" spans="1:2" x14ac:dyDescent="0.25">
      <c r="A2013">
        <v>11844676</v>
      </c>
      <c r="B2013" t="s">
        <v>572</v>
      </c>
    </row>
    <row r="2014" spans="1:2" x14ac:dyDescent="0.25">
      <c r="A2014">
        <v>11844725</v>
      </c>
      <c r="B2014" t="s">
        <v>572</v>
      </c>
    </row>
    <row r="2015" spans="1:2" x14ac:dyDescent="0.25">
      <c r="A2015">
        <v>11865613</v>
      </c>
      <c r="B2015" t="s">
        <v>569</v>
      </c>
    </row>
    <row r="2016" spans="1:2" x14ac:dyDescent="0.25">
      <c r="A2016">
        <v>12022721</v>
      </c>
      <c r="B2016" t="s">
        <v>569</v>
      </c>
    </row>
    <row r="2017" spans="1:2" x14ac:dyDescent="0.25">
      <c r="A2017">
        <v>10921422</v>
      </c>
      <c r="B2017" t="s">
        <v>568</v>
      </c>
    </row>
    <row r="2018" spans="1:2" x14ac:dyDescent="0.25">
      <c r="A2018">
        <v>10922721</v>
      </c>
      <c r="B2018" t="s">
        <v>569</v>
      </c>
    </row>
    <row r="2019" spans="1:2" x14ac:dyDescent="0.25">
      <c r="A2019">
        <v>10919044</v>
      </c>
      <c r="B2019" t="s">
        <v>569</v>
      </c>
    </row>
    <row r="2020" spans="1:2" x14ac:dyDescent="0.25">
      <c r="A2020">
        <v>10904914</v>
      </c>
      <c r="B2020" t="s">
        <v>568</v>
      </c>
    </row>
    <row r="2021" spans="1:2" x14ac:dyDescent="0.25">
      <c r="A2021">
        <v>10691527</v>
      </c>
      <c r="B2021" t="s">
        <v>569</v>
      </c>
    </row>
    <row r="2022" spans="1:2" x14ac:dyDescent="0.25">
      <c r="A2022">
        <v>10884777</v>
      </c>
      <c r="B2022" t="s">
        <v>569</v>
      </c>
    </row>
    <row r="2023" spans="1:2" x14ac:dyDescent="0.25">
      <c r="A2023">
        <v>10893618</v>
      </c>
      <c r="B2023" t="s">
        <v>569</v>
      </c>
    </row>
    <row r="2024" spans="1:2" x14ac:dyDescent="0.25">
      <c r="A2024">
        <v>10877161</v>
      </c>
      <c r="B2024" t="s">
        <v>570</v>
      </c>
    </row>
    <row r="2025" spans="1:2" x14ac:dyDescent="0.25">
      <c r="A2025">
        <v>10879479</v>
      </c>
      <c r="B2025" t="s">
        <v>569</v>
      </c>
    </row>
    <row r="2026" spans="1:2" x14ac:dyDescent="0.25">
      <c r="A2026">
        <v>10881110</v>
      </c>
      <c r="B2026" t="s">
        <v>569</v>
      </c>
    </row>
    <row r="2027" spans="1:2" x14ac:dyDescent="0.25">
      <c r="A2027">
        <v>10765916</v>
      </c>
      <c r="B2027" t="s">
        <v>568</v>
      </c>
    </row>
    <row r="2028" spans="1:2" x14ac:dyDescent="0.25">
      <c r="A2028">
        <v>10781568</v>
      </c>
      <c r="B2028" t="s">
        <v>569</v>
      </c>
    </row>
    <row r="2029" spans="1:2" x14ac:dyDescent="0.25">
      <c r="A2029">
        <v>10782207</v>
      </c>
      <c r="B2029" t="s">
        <v>569</v>
      </c>
    </row>
    <row r="2030" spans="1:2" x14ac:dyDescent="0.25">
      <c r="A2030">
        <v>10794033</v>
      </c>
      <c r="B2030" t="s">
        <v>569</v>
      </c>
    </row>
    <row r="2031" spans="1:2" x14ac:dyDescent="0.25">
      <c r="A2031">
        <v>10797650</v>
      </c>
      <c r="B2031" t="s">
        <v>569</v>
      </c>
    </row>
    <row r="2032" spans="1:2" x14ac:dyDescent="0.25">
      <c r="A2032">
        <v>10850362</v>
      </c>
      <c r="B2032" t="s">
        <v>569</v>
      </c>
    </row>
    <row r="2033" spans="1:2" x14ac:dyDescent="0.25">
      <c r="A2033">
        <v>10851143</v>
      </c>
      <c r="B2033" t="s">
        <v>568</v>
      </c>
    </row>
    <row r="2034" spans="1:2" x14ac:dyDescent="0.25">
      <c r="A2034">
        <v>10751641</v>
      </c>
      <c r="B2034" t="s">
        <v>572</v>
      </c>
    </row>
    <row r="2035" spans="1:2" x14ac:dyDescent="0.25">
      <c r="A2035">
        <v>10750569</v>
      </c>
      <c r="B2035" t="s">
        <v>568</v>
      </c>
    </row>
    <row r="2036" spans="1:2" x14ac:dyDescent="0.25">
      <c r="A2036">
        <v>10594958</v>
      </c>
      <c r="B2036" t="s">
        <v>568</v>
      </c>
    </row>
    <row r="2037" spans="1:2" x14ac:dyDescent="0.25">
      <c r="A2037">
        <v>10590214</v>
      </c>
      <c r="B2037" t="s">
        <v>568</v>
      </c>
    </row>
    <row r="2038" spans="1:2" x14ac:dyDescent="0.25">
      <c r="A2038">
        <v>10610471</v>
      </c>
      <c r="B2038" t="s">
        <v>568</v>
      </c>
    </row>
    <row r="2039" spans="1:2" x14ac:dyDescent="0.25">
      <c r="A2039">
        <v>10580602</v>
      </c>
      <c r="B2039" t="s">
        <v>569</v>
      </c>
    </row>
    <row r="2040" spans="1:2" x14ac:dyDescent="0.25">
      <c r="A2040">
        <v>10580665</v>
      </c>
      <c r="B2040" t="s">
        <v>573</v>
      </c>
    </row>
    <row r="2041" spans="1:2" x14ac:dyDescent="0.25">
      <c r="A2041">
        <v>10583128</v>
      </c>
      <c r="B2041" t="s">
        <v>568</v>
      </c>
    </row>
    <row r="2042" spans="1:2" x14ac:dyDescent="0.25">
      <c r="A2042">
        <v>10583203</v>
      </c>
      <c r="B2042" t="s">
        <v>568</v>
      </c>
    </row>
    <row r="2043" spans="1:2" x14ac:dyDescent="0.25">
      <c r="A2043">
        <v>10583847</v>
      </c>
      <c r="B2043" t="s">
        <v>568</v>
      </c>
    </row>
    <row r="2044" spans="1:2" x14ac:dyDescent="0.25">
      <c r="A2044">
        <v>10589210</v>
      </c>
      <c r="B2044" t="s">
        <v>568</v>
      </c>
    </row>
    <row r="2045" spans="1:2" x14ac:dyDescent="0.25">
      <c r="A2045">
        <v>10589395</v>
      </c>
      <c r="B2045" t="s">
        <v>568</v>
      </c>
    </row>
    <row r="2046" spans="1:2" x14ac:dyDescent="0.25">
      <c r="A2046">
        <v>10589414</v>
      </c>
      <c r="B2046" t="s">
        <v>570</v>
      </c>
    </row>
    <row r="2047" spans="1:2" x14ac:dyDescent="0.25">
      <c r="A2047">
        <v>10589498</v>
      </c>
      <c r="B2047" t="s">
        <v>568</v>
      </c>
    </row>
    <row r="2048" spans="1:2" x14ac:dyDescent="0.25">
      <c r="A2048">
        <v>10608811</v>
      </c>
      <c r="B2048" t="s">
        <v>568</v>
      </c>
    </row>
    <row r="2049" spans="1:2" x14ac:dyDescent="0.25">
      <c r="A2049">
        <v>10615968</v>
      </c>
      <c r="B2049" t="s">
        <v>569</v>
      </c>
    </row>
    <row r="2050" spans="1:2" x14ac:dyDescent="0.25">
      <c r="A2050">
        <v>11257822</v>
      </c>
      <c r="B2050" t="s">
        <v>568</v>
      </c>
    </row>
    <row r="2051" spans="1:2" x14ac:dyDescent="0.25">
      <c r="A2051">
        <v>10577408</v>
      </c>
      <c r="B2051" t="s">
        <v>569</v>
      </c>
    </row>
    <row r="2052" spans="1:2" x14ac:dyDescent="0.25">
      <c r="A2052">
        <v>10565887</v>
      </c>
      <c r="B2052" t="s">
        <v>568</v>
      </c>
    </row>
    <row r="2053" spans="1:2" x14ac:dyDescent="0.25">
      <c r="A2053">
        <v>10572118</v>
      </c>
      <c r="B2053" t="s">
        <v>569</v>
      </c>
    </row>
    <row r="2054" spans="1:2" x14ac:dyDescent="0.25">
      <c r="A2054">
        <v>10637945</v>
      </c>
      <c r="B2054" t="s">
        <v>570</v>
      </c>
    </row>
    <row r="2055" spans="1:2" x14ac:dyDescent="0.25">
      <c r="A2055">
        <v>10638303</v>
      </c>
      <c r="B2055" t="s">
        <v>571</v>
      </c>
    </row>
    <row r="2056" spans="1:2" x14ac:dyDescent="0.25">
      <c r="A2056">
        <v>10624639</v>
      </c>
      <c r="B2056" t="s">
        <v>569</v>
      </c>
    </row>
    <row r="2057" spans="1:2" x14ac:dyDescent="0.25">
      <c r="A2057">
        <v>10626690</v>
      </c>
      <c r="B2057" t="s">
        <v>569</v>
      </c>
    </row>
    <row r="2058" spans="1:2" x14ac:dyDescent="0.25">
      <c r="A2058">
        <v>10655248</v>
      </c>
      <c r="B2058" t="s">
        <v>569</v>
      </c>
    </row>
    <row r="2059" spans="1:2" x14ac:dyDescent="0.25">
      <c r="A2059">
        <v>10657111</v>
      </c>
      <c r="B2059" t="s">
        <v>568</v>
      </c>
    </row>
    <row r="2060" spans="1:2" x14ac:dyDescent="0.25">
      <c r="A2060">
        <v>10641259</v>
      </c>
      <c r="B2060" t="s">
        <v>568</v>
      </c>
    </row>
    <row r="2061" spans="1:2" x14ac:dyDescent="0.25">
      <c r="A2061">
        <v>10644770</v>
      </c>
      <c r="B2061" t="s">
        <v>568</v>
      </c>
    </row>
    <row r="2062" spans="1:2" x14ac:dyDescent="0.25">
      <c r="A2062">
        <v>10644974</v>
      </c>
      <c r="B2062" t="s">
        <v>568</v>
      </c>
    </row>
    <row r="2063" spans="1:2" x14ac:dyDescent="0.25">
      <c r="A2063">
        <v>10623971</v>
      </c>
      <c r="B2063" t="s">
        <v>569</v>
      </c>
    </row>
    <row r="2064" spans="1:2" x14ac:dyDescent="0.25">
      <c r="A2064">
        <v>10624054</v>
      </c>
      <c r="B2064" t="s">
        <v>568</v>
      </c>
    </row>
    <row r="2065" spans="1:2" x14ac:dyDescent="0.25">
      <c r="A2065">
        <v>10623631</v>
      </c>
      <c r="B2065" t="s">
        <v>568</v>
      </c>
    </row>
    <row r="2066" spans="1:2" x14ac:dyDescent="0.25">
      <c r="A2066">
        <v>10621734</v>
      </c>
      <c r="B2066" t="s">
        <v>568</v>
      </c>
    </row>
    <row r="2067" spans="1:2" x14ac:dyDescent="0.25">
      <c r="A2067">
        <v>10621890</v>
      </c>
      <c r="B2067" t="s">
        <v>569</v>
      </c>
    </row>
    <row r="2068" spans="1:2" x14ac:dyDescent="0.25">
      <c r="A2068">
        <v>10621914</v>
      </c>
      <c r="B2068" t="s">
        <v>569</v>
      </c>
    </row>
    <row r="2069" spans="1:2" x14ac:dyDescent="0.25">
      <c r="A2069">
        <v>10622159</v>
      </c>
      <c r="B2069" t="s">
        <v>568</v>
      </c>
    </row>
    <row r="2070" spans="1:2" x14ac:dyDescent="0.25">
      <c r="A2070">
        <v>10622261</v>
      </c>
      <c r="B2070" t="s">
        <v>568</v>
      </c>
    </row>
    <row r="2071" spans="1:2" x14ac:dyDescent="0.25">
      <c r="A2071">
        <v>10622429</v>
      </c>
      <c r="B2071" t="s">
        <v>569</v>
      </c>
    </row>
    <row r="2072" spans="1:2" x14ac:dyDescent="0.25">
      <c r="A2072">
        <v>10623517</v>
      </c>
      <c r="B2072" t="s">
        <v>568</v>
      </c>
    </row>
    <row r="2073" spans="1:2" x14ac:dyDescent="0.25">
      <c r="A2073">
        <v>10614204</v>
      </c>
      <c r="B2073" t="s">
        <v>572</v>
      </c>
    </row>
    <row r="2074" spans="1:2" x14ac:dyDescent="0.25">
      <c r="A2074">
        <v>10597756</v>
      </c>
      <c r="B2074" t="s">
        <v>569</v>
      </c>
    </row>
    <row r="2075" spans="1:2" x14ac:dyDescent="0.25">
      <c r="A2075">
        <v>10733484</v>
      </c>
      <c r="B2075" t="s">
        <v>568</v>
      </c>
    </row>
    <row r="2076" spans="1:2" x14ac:dyDescent="0.25">
      <c r="A2076">
        <v>10737628</v>
      </c>
      <c r="B2076" t="s">
        <v>568</v>
      </c>
    </row>
    <row r="2077" spans="1:2" x14ac:dyDescent="0.25">
      <c r="A2077">
        <v>10727456</v>
      </c>
      <c r="B2077" t="s">
        <v>568</v>
      </c>
    </row>
    <row r="2078" spans="1:2" x14ac:dyDescent="0.25">
      <c r="A2078">
        <v>10781389</v>
      </c>
      <c r="B2078" t="s">
        <v>568</v>
      </c>
    </row>
    <row r="2079" spans="1:2" x14ac:dyDescent="0.25">
      <c r="A2079">
        <v>10780737</v>
      </c>
      <c r="B2079" t="s">
        <v>568</v>
      </c>
    </row>
    <row r="2080" spans="1:2" x14ac:dyDescent="0.25">
      <c r="A2080">
        <v>10804235</v>
      </c>
      <c r="B2080" t="s">
        <v>568</v>
      </c>
    </row>
    <row r="2081" spans="1:2" x14ac:dyDescent="0.25">
      <c r="A2081">
        <v>10808557</v>
      </c>
      <c r="B2081" t="s">
        <v>569</v>
      </c>
    </row>
    <row r="2082" spans="1:2" x14ac:dyDescent="0.25">
      <c r="A2082">
        <v>10595672</v>
      </c>
      <c r="B2082" t="s">
        <v>568</v>
      </c>
    </row>
    <row r="2083" spans="1:2" x14ac:dyDescent="0.25">
      <c r="A2083">
        <v>10892001</v>
      </c>
    </row>
    <row r="2084" spans="1:2" x14ac:dyDescent="0.25">
      <c r="A2084">
        <v>10665770</v>
      </c>
      <c r="B2084" t="s">
        <v>569</v>
      </c>
    </row>
    <row r="2085" spans="1:2" x14ac:dyDescent="0.25">
      <c r="A2085">
        <v>10620379</v>
      </c>
      <c r="B2085" t="s">
        <v>569</v>
      </c>
    </row>
    <row r="2086" spans="1:2" x14ac:dyDescent="0.25">
      <c r="A2086">
        <v>11422465</v>
      </c>
      <c r="B2086" t="s">
        <v>568</v>
      </c>
    </row>
    <row r="2087" spans="1:2" x14ac:dyDescent="0.25">
      <c r="A2087">
        <v>10643397</v>
      </c>
      <c r="B2087" t="s">
        <v>570</v>
      </c>
    </row>
    <row r="2088" spans="1:2" x14ac:dyDescent="0.25">
      <c r="A2088">
        <v>10644875</v>
      </c>
      <c r="B2088" t="s">
        <v>568</v>
      </c>
    </row>
    <row r="2089" spans="1:2" x14ac:dyDescent="0.25">
      <c r="A2089">
        <v>10650572</v>
      </c>
      <c r="B2089" t="s">
        <v>570</v>
      </c>
    </row>
    <row r="2090" spans="1:2" x14ac:dyDescent="0.25">
      <c r="A2090">
        <v>10665511</v>
      </c>
      <c r="B2090" t="s">
        <v>568</v>
      </c>
    </row>
    <row r="2091" spans="1:2" x14ac:dyDescent="0.25">
      <c r="A2091">
        <v>10639663</v>
      </c>
      <c r="B2091" t="s">
        <v>569</v>
      </c>
    </row>
    <row r="2092" spans="1:2" x14ac:dyDescent="0.25">
      <c r="A2092">
        <v>10627783</v>
      </c>
      <c r="B2092" t="s">
        <v>572</v>
      </c>
    </row>
    <row r="2093" spans="1:2" x14ac:dyDescent="0.25">
      <c r="A2093">
        <v>10620898</v>
      </c>
      <c r="B2093" t="s">
        <v>569</v>
      </c>
    </row>
    <row r="2094" spans="1:2" x14ac:dyDescent="0.25">
      <c r="A2094">
        <v>10608837</v>
      </c>
      <c r="B2094" t="s">
        <v>569</v>
      </c>
    </row>
    <row r="2095" spans="1:2" x14ac:dyDescent="0.25">
      <c r="A2095">
        <v>10601766</v>
      </c>
      <c r="B2095" t="s">
        <v>570</v>
      </c>
    </row>
    <row r="2096" spans="1:2" x14ac:dyDescent="0.25">
      <c r="A2096">
        <v>10623136</v>
      </c>
      <c r="B2096" t="s">
        <v>569</v>
      </c>
    </row>
    <row r="2097" spans="1:2" x14ac:dyDescent="0.25">
      <c r="A2097">
        <v>10609417</v>
      </c>
      <c r="B2097" t="s">
        <v>568</v>
      </c>
    </row>
    <row r="2098" spans="1:2" x14ac:dyDescent="0.25">
      <c r="A2098">
        <v>10614259</v>
      </c>
      <c r="B2098" t="s">
        <v>569</v>
      </c>
    </row>
    <row r="2099" spans="1:2" x14ac:dyDescent="0.25">
      <c r="A2099">
        <v>10617978</v>
      </c>
      <c r="B2099" t="s">
        <v>568</v>
      </c>
    </row>
    <row r="2100" spans="1:2" x14ac:dyDescent="0.25">
      <c r="A2100">
        <v>10565957</v>
      </c>
      <c r="B2100" t="s">
        <v>568</v>
      </c>
    </row>
    <row r="2101" spans="1:2" x14ac:dyDescent="0.25">
      <c r="A2101">
        <v>10566399</v>
      </c>
      <c r="B2101" t="s">
        <v>568</v>
      </c>
    </row>
    <row r="2102" spans="1:2" x14ac:dyDescent="0.25">
      <c r="A2102">
        <v>10567513</v>
      </c>
      <c r="B2102" t="s">
        <v>569</v>
      </c>
    </row>
    <row r="2103" spans="1:2" x14ac:dyDescent="0.25">
      <c r="A2103">
        <v>10575766</v>
      </c>
      <c r="B2103" t="s">
        <v>569</v>
      </c>
    </row>
    <row r="2104" spans="1:2" x14ac:dyDescent="0.25">
      <c r="A2104">
        <v>10584889</v>
      </c>
      <c r="B2104" t="s">
        <v>568</v>
      </c>
    </row>
    <row r="2105" spans="1:2" x14ac:dyDescent="0.25">
      <c r="A2105">
        <v>10588876</v>
      </c>
      <c r="B2105" t="s">
        <v>568</v>
      </c>
    </row>
    <row r="2106" spans="1:2" x14ac:dyDescent="0.25">
      <c r="A2106">
        <v>10589017</v>
      </c>
      <c r="B2106" t="s">
        <v>569</v>
      </c>
    </row>
    <row r="2107" spans="1:2" x14ac:dyDescent="0.25">
      <c r="A2107">
        <v>10590887</v>
      </c>
      <c r="B2107" t="s">
        <v>568</v>
      </c>
    </row>
    <row r="2108" spans="1:2" x14ac:dyDescent="0.25">
      <c r="A2108">
        <v>10595463</v>
      </c>
      <c r="B2108" t="s">
        <v>569</v>
      </c>
    </row>
    <row r="2109" spans="1:2" x14ac:dyDescent="0.25">
      <c r="A2109">
        <v>10595742</v>
      </c>
      <c r="B2109" t="s">
        <v>569</v>
      </c>
    </row>
    <row r="2110" spans="1:2" x14ac:dyDescent="0.25">
      <c r="A2110">
        <v>10595388</v>
      </c>
      <c r="B2110" t="s">
        <v>569</v>
      </c>
    </row>
    <row r="2111" spans="1:2" x14ac:dyDescent="0.25">
      <c r="A2111">
        <v>10595392</v>
      </c>
      <c r="B2111" t="s">
        <v>569</v>
      </c>
    </row>
    <row r="2112" spans="1:2" x14ac:dyDescent="0.25">
      <c r="A2112">
        <v>10578265</v>
      </c>
      <c r="B2112" t="s">
        <v>569</v>
      </c>
    </row>
    <row r="2113" spans="1:2" x14ac:dyDescent="0.25">
      <c r="A2113">
        <v>10578279</v>
      </c>
      <c r="B2113" t="s">
        <v>572</v>
      </c>
    </row>
    <row r="2114" spans="1:2" x14ac:dyDescent="0.25">
      <c r="A2114">
        <v>10628730</v>
      </c>
      <c r="B2114" t="s">
        <v>573</v>
      </c>
    </row>
    <row r="2115" spans="1:2" x14ac:dyDescent="0.25">
      <c r="A2115">
        <v>11346670</v>
      </c>
      <c r="B2115" t="s">
        <v>569</v>
      </c>
    </row>
    <row r="2116" spans="1:2" x14ac:dyDescent="0.25">
      <c r="A2116">
        <v>11571805</v>
      </c>
      <c r="B2116" t="s">
        <v>569</v>
      </c>
    </row>
    <row r="2117" spans="1:2" x14ac:dyDescent="0.25">
      <c r="A2117">
        <v>11379126</v>
      </c>
      <c r="B2117" t="s">
        <v>569</v>
      </c>
    </row>
    <row r="2118" spans="1:2" x14ac:dyDescent="0.25">
      <c r="A2118">
        <v>11405544</v>
      </c>
      <c r="B2118" t="s">
        <v>568</v>
      </c>
    </row>
    <row r="2119" spans="1:2" x14ac:dyDescent="0.25">
      <c r="A2119">
        <v>11708061</v>
      </c>
      <c r="B2119" t="s">
        <v>568</v>
      </c>
    </row>
    <row r="2120" spans="1:2" x14ac:dyDescent="0.25">
      <c r="A2120">
        <v>11860545</v>
      </c>
      <c r="B2120" t="s">
        <v>568</v>
      </c>
    </row>
    <row r="2121" spans="1:2" x14ac:dyDescent="0.25">
      <c r="A2121">
        <v>10790033</v>
      </c>
      <c r="B2121" t="s">
        <v>569</v>
      </c>
    </row>
    <row r="2122" spans="1:2" x14ac:dyDescent="0.25">
      <c r="A2122">
        <v>10790347</v>
      </c>
      <c r="B2122" t="s">
        <v>569</v>
      </c>
    </row>
    <row r="2123" spans="1:2" x14ac:dyDescent="0.25">
      <c r="A2123">
        <v>11832452</v>
      </c>
      <c r="B2123" t="s">
        <v>573</v>
      </c>
    </row>
    <row r="2124" spans="1:2" x14ac:dyDescent="0.25">
      <c r="A2124">
        <v>11385747</v>
      </c>
      <c r="B2124" t="s">
        <v>570</v>
      </c>
    </row>
    <row r="2125" spans="1:2" x14ac:dyDescent="0.25">
      <c r="A2125">
        <v>11371270</v>
      </c>
      <c r="B2125" t="s">
        <v>571</v>
      </c>
    </row>
    <row r="2126" spans="1:2" x14ac:dyDescent="0.25">
      <c r="A2126">
        <v>11400319</v>
      </c>
      <c r="B2126" t="s">
        <v>570</v>
      </c>
    </row>
    <row r="2127" spans="1:2" x14ac:dyDescent="0.25">
      <c r="A2127">
        <v>11348185</v>
      </c>
      <c r="B2127" t="s">
        <v>569</v>
      </c>
    </row>
    <row r="2128" spans="1:2" x14ac:dyDescent="0.25">
      <c r="A2128">
        <v>11826088</v>
      </c>
      <c r="B2128" t="s">
        <v>573</v>
      </c>
    </row>
    <row r="2129" spans="1:2" x14ac:dyDescent="0.25">
      <c r="A2129">
        <v>11619491</v>
      </c>
      <c r="B2129" t="s">
        <v>569</v>
      </c>
    </row>
    <row r="2130" spans="1:2" x14ac:dyDescent="0.25">
      <c r="A2130">
        <v>11348882</v>
      </c>
      <c r="B2130" t="s">
        <v>569</v>
      </c>
    </row>
    <row r="2131" spans="1:2" x14ac:dyDescent="0.25">
      <c r="A2131">
        <v>11363915</v>
      </c>
      <c r="B2131" t="s">
        <v>568</v>
      </c>
    </row>
    <row r="2132" spans="1:2" x14ac:dyDescent="0.25">
      <c r="A2132">
        <v>11599483</v>
      </c>
      <c r="B2132" t="s">
        <v>569</v>
      </c>
    </row>
    <row r="2133" spans="1:2" x14ac:dyDescent="0.25">
      <c r="A2133">
        <v>11404623</v>
      </c>
      <c r="B2133" t="s">
        <v>568</v>
      </c>
    </row>
    <row r="2134" spans="1:2" x14ac:dyDescent="0.25">
      <c r="A2134">
        <v>11356313</v>
      </c>
      <c r="B2134" t="s">
        <v>569</v>
      </c>
    </row>
    <row r="2135" spans="1:2" x14ac:dyDescent="0.25">
      <c r="A2135">
        <v>11376032</v>
      </c>
      <c r="B2135" t="s">
        <v>568</v>
      </c>
    </row>
    <row r="2136" spans="1:2" x14ac:dyDescent="0.25">
      <c r="A2136">
        <v>11318868</v>
      </c>
      <c r="B2136" t="s">
        <v>568</v>
      </c>
    </row>
    <row r="2137" spans="1:2" x14ac:dyDescent="0.25">
      <c r="A2137">
        <v>11302924</v>
      </c>
      <c r="B2137" t="s">
        <v>568</v>
      </c>
    </row>
    <row r="2138" spans="1:2" x14ac:dyDescent="0.25">
      <c r="A2138">
        <v>11618817</v>
      </c>
      <c r="B2138" t="s">
        <v>568</v>
      </c>
    </row>
    <row r="2139" spans="1:2" x14ac:dyDescent="0.25">
      <c r="A2139">
        <v>11648017</v>
      </c>
      <c r="B2139" t="s">
        <v>568</v>
      </c>
    </row>
    <row r="2140" spans="1:2" x14ac:dyDescent="0.25">
      <c r="A2140">
        <v>11345196</v>
      </c>
      <c r="B2140" t="s">
        <v>568</v>
      </c>
    </row>
    <row r="2141" spans="1:2" x14ac:dyDescent="0.25">
      <c r="A2141">
        <v>11425029</v>
      </c>
      <c r="B2141" t="s">
        <v>568</v>
      </c>
    </row>
    <row r="2142" spans="1:2" x14ac:dyDescent="0.25">
      <c r="A2142">
        <v>11405634</v>
      </c>
      <c r="B2142" t="s">
        <v>569</v>
      </c>
    </row>
    <row r="2143" spans="1:2" x14ac:dyDescent="0.25">
      <c r="A2143">
        <v>11394061</v>
      </c>
      <c r="B2143" t="s">
        <v>573</v>
      </c>
    </row>
    <row r="2144" spans="1:2" x14ac:dyDescent="0.25">
      <c r="A2144">
        <v>11407220</v>
      </c>
      <c r="B2144" t="s">
        <v>569</v>
      </c>
    </row>
    <row r="2145" spans="1:2" x14ac:dyDescent="0.25">
      <c r="A2145">
        <v>11440821</v>
      </c>
      <c r="B2145" t="s">
        <v>568</v>
      </c>
    </row>
    <row r="2146" spans="1:2" x14ac:dyDescent="0.25">
      <c r="A2146">
        <v>11379346</v>
      </c>
      <c r="B2146" t="s">
        <v>573</v>
      </c>
    </row>
    <row r="2147" spans="1:2" x14ac:dyDescent="0.25">
      <c r="A2147">
        <v>11062050</v>
      </c>
      <c r="B2147" t="s">
        <v>569</v>
      </c>
    </row>
    <row r="2148" spans="1:2" x14ac:dyDescent="0.25">
      <c r="A2148">
        <v>10719149</v>
      </c>
      <c r="B2148" t="s">
        <v>568</v>
      </c>
    </row>
    <row r="2149" spans="1:2" x14ac:dyDescent="0.25">
      <c r="A2149">
        <v>11231327</v>
      </c>
      <c r="B2149" t="s">
        <v>571</v>
      </c>
    </row>
    <row r="2150" spans="1:2" x14ac:dyDescent="0.25">
      <c r="A2150">
        <v>11345584</v>
      </c>
      <c r="B2150" t="s">
        <v>568</v>
      </c>
    </row>
    <row r="2151" spans="1:2" x14ac:dyDescent="0.25">
      <c r="A2151">
        <v>11857547</v>
      </c>
      <c r="B2151" t="s">
        <v>569</v>
      </c>
    </row>
    <row r="2152" spans="1:2" x14ac:dyDescent="0.25">
      <c r="A2152">
        <v>11350108</v>
      </c>
      <c r="B2152" t="s">
        <v>568</v>
      </c>
    </row>
    <row r="2153" spans="1:2" x14ac:dyDescent="0.25">
      <c r="A2153">
        <v>11447315</v>
      </c>
      <c r="B2153" t="s">
        <v>569</v>
      </c>
    </row>
    <row r="2154" spans="1:2" x14ac:dyDescent="0.25">
      <c r="A2154">
        <v>11483931</v>
      </c>
      <c r="B2154" t="s">
        <v>569</v>
      </c>
    </row>
    <row r="2155" spans="1:2" x14ac:dyDescent="0.25">
      <c r="A2155">
        <v>10816536</v>
      </c>
      <c r="B2155" t="s">
        <v>568</v>
      </c>
    </row>
    <row r="2156" spans="1:2" x14ac:dyDescent="0.25">
      <c r="A2156">
        <v>10868823</v>
      </c>
      <c r="B2156" t="s">
        <v>569</v>
      </c>
    </row>
    <row r="2157" spans="1:2" x14ac:dyDescent="0.25">
      <c r="A2157">
        <v>10870501</v>
      </c>
      <c r="B2157" t="s">
        <v>569</v>
      </c>
    </row>
    <row r="2158" spans="1:2" x14ac:dyDescent="0.25">
      <c r="A2158">
        <v>10873254</v>
      </c>
      <c r="B2158" t="s">
        <v>568</v>
      </c>
    </row>
    <row r="2159" spans="1:2" x14ac:dyDescent="0.25">
      <c r="A2159">
        <v>10877455</v>
      </c>
      <c r="B2159" t="s">
        <v>569</v>
      </c>
    </row>
    <row r="2160" spans="1:2" x14ac:dyDescent="0.25">
      <c r="A2160">
        <v>10904333</v>
      </c>
      <c r="B2160" t="s">
        <v>569</v>
      </c>
    </row>
    <row r="2161" spans="1:2" x14ac:dyDescent="0.25">
      <c r="A2161">
        <v>10704139</v>
      </c>
      <c r="B2161" t="s">
        <v>568</v>
      </c>
    </row>
    <row r="2162" spans="1:2" x14ac:dyDescent="0.25">
      <c r="A2162">
        <v>10894240</v>
      </c>
      <c r="B2162" t="s">
        <v>568</v>
      </c>
    </row>
    <row r="2163" spans="1:2" x14ac:dyDescent="0.25">
      <c r="A2163">
        <v>10881268</v>
      </c>
      <c r="B2163" t="s">
        <v>569</v>
      </c>
    </row>
    <row r="2164" spans="1:2" x14ac:dyDescent="0.25">
      <c r="A2164">
        <v>10825193</v>
      </c>
      <c r="B2164" t="s">
        <v>568</v>
      </c>
    </row>
    <row r="2165" spans="1:2" x14ac:dyDescent="0.25">
      <c r="A2165">
        <v>10847542</v>
      </c>
      <c r="B2165" t="s">
        <v>569</v>
      </c>
    </row>
    <row r="2166" spans="1:2" x14ac:dyDescent="0.25">
      <c r="A2166">
        <v>10613309</v>
      </c>
      <c r="B2166" t="s">
        <v>570</v>
      </c>
    </row>
    <row r="2167" spans="1:2" x14ac:dyDescent="0.25">
      <c r="A2167">
        <v>10796614</v>
      </c>
      <c r="B2167" t="s">
        <v>568</v>
      </c>
    </row>
    <row r="2168" spans="1:2" x14ac:dyDescent="0.25">
      <c r="A2168">
        <v>10801540</v>
      </c>
      <c r="B2168" t="s">
        <v>568</v>
      </c>
    </row>
    <row r="2169" spans="1:2" x14ac:dyDescent="0.25">
      <c r="A2169">
        <v>11461304</v>
      </c>
      <c r="B2169" t="s">
        <v>570</v>
      </c>
    </row>
    <row r="2170" spans="1:2" x14ac:dyDescent="0.25">
      <c r="A2170">
        <v>11095212</v>
      </c>
      <c r="B2170" t="s">
        <v>569</v>
      </c>
    </row>
    <row r="2171" spans="1:2" x14ac:dyDescent="0.25">
      <c r="A2171">
        <v>11090607</v>
      </c>
      <c r="B2171" t="s">
        <v>569</v>
      </c>
    </row>
    <row r="2172" spans="1:2" x14ac:dyDescent="0.25">
      <c r="A2172">
        <v>10971582</v>
      </c>
      <c r="B2172" t="s">
        <v>568</v>
      </c>
    </row>
    <row r="2173" spans="1:2" x14ac:dyDescent="0.25">
      <c r="A2173">
        <v>11072933</v>
      </c>
      <c r="B2173" t="s">
        <v>569</v>
      </c>
    </row>
    <row r="2174" spans="1:2" x14ac:dyDescent="0.25">
      <c r="A2174">
        <v>11038381</v>
      </c>
      <c r="B2174" t="s">
        <v>568</v>
      </c>
    </row>
    <row r="2175" spans="1:2" x14ac:dyDescent="0.25">
      <c r="A2175">
        <v>11280537</v>
      </c>
      <c r="B2175" t="s">
        <v>568</v>
      </c>
    </row>
    <row r="2176" spans="1:2" x14ac:dyDescent="0.25">
      <c r="A2176">
        <v>11346500</v>
      </c>
      <c r="B2176" t="s">
        <v>569</v>
      </c>
    </row>
    <row r="2177" spans="1:2" x14ac:dyDescent="0.25">
      <c r="A2177">
        <v>11360269</v>
      </c>
      <c r="B2177" t="s">
        <v>569</v>
      </c>
    </row>
    <row r="2178" spans="1:2" x14ac:dyDescent="0.25">
      <c r="A2178">
        <v>11368045</v>
      </c>
      <c r="B2178" t="s">
        <v>570</v>
      </c>
    </row>
    <row r="2179" spans="1:2" x14ac:dyDescent="0.25">
      <c r="A2179">
        <v>11380279</v>
      </c>
      <c r="B2179" t="s">
        <v>569</v>
      </c>
    </row>
    <row r="2180" spans="1:2" x14ac:dyDescent="0.25">
      <c r="A2180">
        <v>11403007</v>
      </c>
      <c r="B2180" t="s">
        <v>568</v>
      </c>
    </row>
    <row r="2181" spans="1:2" x14ac:dyDescent="0.25">
      <c r="A2181">
        <v>11405328</v>
      </c>
      <c r="B2181" t="s">
        <v>568</v>
      </c>
    </row>
    <row r="2182" spans="1:2" x14ac:dyDescent="0.25">
      <c r="A2182">
        <v>11518450</v>
      </c>
      <c r="B2182" t="s">
        <v>569</v>
      </c>
    </row>
    <row r="2183" spans="1:2" x14ac:dyDescent="0.25">
      <c r="A2183">
        <v>11123950</v>
      </c>
      <c r="B2183" t="s">
        <v>569</v>
      </c>
    </row>
    <row r="2184" spans="1:2" x14ac:dyDescent="0.25">
      <c r="A2184">
        <v>11124460</v>
      </c>
      <c r="B2184" t="s">
        <v>570</v>
      </c>
    </row>
    <row r="2185" spans="1:2" x14ac:dyDescent="0.25">
      <c r="A2185">
        <v>11132858</v>
      </c>
      <c r="B2185" t="s">
        <v>569</v>
      </c>
    </row>
    <row r="2186" spans="1:2" x14ac:dyDescent="0.25">
      <c r="A2186">
        <v>11058280</v>
      </c>
      <c r="B2186" t="s">
        <v>569</v>
      </c>
    </row>
    <row r="2187" spans="1:2" x14ac:dyDescent="0.25">
      <c r="A2187">
        <v>10962990</v>
      </c>
      <c r="B2187" t="s">
        <v>568</v>
      </c>
    </row>
    <row r="2188" spans="1:2" x14ac:dyDescent="0.25">
      <c r="A2188">
        <v>10955391</v>
      </c>
      <c r="B2188" t="s">
        <v>569</v>
      </c>
    </row>
    <row r="2189" spans="1:2" x14ac:dyDescent="0.25">
      <c r="A2189">
        <v>10954406</v>
      </c>
      <c r="B2189" t="s">
        <v>568</v>
      </c>
    </row>
    <row r="2190" spans="1:2" x14ac:dyDescent="0.25">
      <c r="A2190">
        <v>11013051</v>
      </c>
      <c r="B2190" t="s">
        <v>568</v>
      </c>
    </row>
    <row r="2191" spans="1:2" x14ac:dyDescent="0.25">
      <c r="A2191">
        <v>10930723</v>
      </c>
      <c r="B2191" t="s">
        <v>569</v>
      </c>
    </row>
    <row r="2192" spans="1:2" x14ac:dyDescent="0.25">
      <c r="A2192">
        <v>10922736</v>
      </c>
      <c r="B2192" t="s">
        <v>572</v>
      </c>
    </row>
    <row r="2193" spans="1:2" x14ac:dyDescent="0.25">
      <c r="A2193">
        <v>10831529</v>
      </c>
      <c r="B2193" t="s">
        <v>569</v>
      </c>
    </row>
    <row r="2194" spans="1:2" x14ac:dyDescent="0.25">
      <c r="A2194">
        <v>10849506</v>
      </c>
      <c r="B2194" t="s">
        <v>569</v>
      </c>
    </row>
    <row r="2195" spans="1:2" x14ac:dyDescent="0.25">
      <c r="A2195">
        <v>10899716</v>
      </c>
      <c r="B2195" t="s">
        <v>569</v>
      </c>
    </row>
    <row r="2196" spans="1:2" x14ac:dyDescent="0.25">
      <c r="A2196">
        <v>10934165</v>
      </c>
      <c r="B2196" t="s">
        <v>571</v>
      </c>
    </row>
    <row r="2197" spans="1:2" x14ac:dyDescent="0.25">
      <c r="A2197">
        <v>10923734</v>
      </c>
      <c r="B2197" t="s">
        <v>569</v>
      </c>
    </row>
    <row r="2198" spans="1:2" x14ac:dyDescent="0.25">
      <c r="A2198">
        <v>10933472</v>
      </c>
      <c r="B2198" t="s">
        <v>568</v>
      </c>
    </row>
    <row r="2199" spans="1:2" x14ac:dyDescent="0.25">
      <c r="A2199">
        <v>10915370</v>
      </c>
      <c r="B2199" t="s">
        <v>568</v>
      </c>
    </row>
    <row r="2200" spans="1:2" x14ac:dyDescent="0.25">
      <c r="A2200">
        <v>10903742</v>
      </c>
      <c r="B2200" t="s">
        <v>569</v>
      </c>
    </row>
    <row r="2201" spans="1:2" x14ac:dyDescent="0.25">
      <c r="A2201">
        <v>10912162</v>
      </c>
      <c r="B2201" t="s">
        <v>569</v>
      </c>
    </row>
    <row r="2202" spans="1:2" x14ac:dyDescent="0.25">
      <c r="A2202">
        <v>10912241</v>
      </c>
      <c r="B2202" t="s">
        <v>569</v>
      </c>
    </row>
    <row r="2203" spans="1:2" x14ac:dyDescent="0.25">
      <c r="A2203">
        <v>11719927</v>
      </c>
      <c r="B2203" t="s">
        <v>569</v>
      </c>
    </row>
    <row r="2204" spans="1:2" x14ac:dyDescent="0.25">
      <c r="A2204">
        <v>11746608</v>
      </c>
      <c r="B2204" t="s">
        <v>568</v>
      </c>
    </row>
    <row r="2205" spans="1:2" x14ac:dyDescent="0.25">
      <c r="A2205">
        <v>11587874</v>
      </c>
      <c r="B2205" t="s">
        <v>568</v>
      </c>
    </row>
    <row r="2206" spans="1:2" x14ac:dyDescent="0.25">
      <c r="A2206">
        <v>11686506</v>
      </c>
      <c r="B2206" t="s">
        <v>568</v>
      </c>
    </row>
    <row r="2207" spans="1:2" x14ac:dyDescent="0.25">
      <c r="A2207">
        <v>11702239</v>
      </c>
      <c r="B2207" t="s">
        <v>568</v>
      </c>
    </row>
    <row r="2208" spans="1:2" x14ac:dyDescent="0.25">
      <c r="A2208">
        <v>11675305</v>
      </c>
      <c r="B2208" t="s">
        <v>569</v>
      </c>
    </row>
    <row r="2209" spans="1:2" x14ac:dyDescent="0.25">
      <c r="A2209">
        <v>11857034</v>
      </c>
      <c r="B2209" t="s">
        <v>569</v>
      </c>
    </row>
    <row r="2210" spans="1:2" x14ac:dyDescent="0.25">
      <c r="A2210">
        <v>11948139</v>
      </c>
      <c r="B2210" t="s">
        <v>569</v>
      </c>
    </row>
    <row r="2211" spans="1:2" x14ac:dyDescent="0.25">
      <c r="A2211">
        <v>10952763</v>
      </c>
      <c r="B2211" t="s">
        <v>571</v>
      </c>
    </row>
    <row r="2212" spans="1:2" x14ac:dyDescent="0.25">
      <c r="A2212">
        <v>11290631</v>
      </c>
      <c r="B2212" t="s">
        <v>569</v>
      </c>
    </row>
    <row r="2213" spans="1:2" x14ac:dyDescent="0.25">
      <c r="A2213">
        <v>11290658</v>
      </c>
      <c r="B2213" t="s">
        <v>569</v>
      </c>
    </row>
    <row r="2214" spans="1:2" x14ac:dyDescent="0.25">
      <c r="A2214">
        <v>11276200</v>
      </c>
      <c r="B2214" t="s">
        <v>570</v>
      </c>
    </row>
    <row r="2215" spans="1:2" x14ac:dyDescent="0.25">
      <c r="A2215">
        <v>11280408</v>
      </c>
      <c r="B2215" t="s">
        <v>569</v>
      </c>
    </row>
    <row r="2216" spans="1:2" x14ac:dyDescent="0.25">
      <c r="A2216">
        <v>11348385</v>
      </c>
      <c r="B2216" t="s">
        <v>573</v>
      </c>
    </row>
    <row r="2217" spans="1:2" x14ac:dyDescent="0.25">
      <c r="A2217">
        <v>11348065</v>
      </c>
      <c r="B2217" t="s">
        <v>568</v>
      </c>
    </row>
    <row r="2218" spans="1:2" x14ac:dyDescent="0.25">
      <c r="A2218">
        <v>11331617</v>
      </c>
      <c r="B2218" t="s">
        <v>570</v>
      </c>
    </row>
    <row r="2219" spans="1:2" x14ac:dyDescent="0.25">
      <c r="A2219">
        <v>11333325</v>
      </c>
      <c r="B2219" t="s">
        <v>569</v>
      </c>
    </row>
    <row r="2220" spans="1:2" x14ac:dyDescent="0.25">
      <c r="A2220">
        <v>11346556</v>
      </c>
      <c r="B2220" t="s">
        <v>569</v>
      </c>
    </row>
    <row r="2221" spans="1:2" x14ac:dyDescent="0.25">
      <c r="A2221">
        <v>11344565</v>
      </c>
      <c r="B2221" t="s">
        <v>569</v>
      </c>
    </row>
    <row r="2222" spans="1:2" x14ac:dyDescent="0.25">
      <c r="A2222">
        <v>11301260</v>
      </c>
      <c r="B2222" t="s">
        <v>569</v>
      </c>
    </row>
    <row r="2223" spans="1:2" x14ac:dyDescent="0.25">
      <c r="A2223">
        <v>10751375</v>
      </c>
      <c r="B2223" t="s">
        <v>569</v>
      </c>
    </row>
    <row r="2224" spans="1:2" x14ac:dyDescent="0.25">
      <c r="A2224">
        <v>10782630</v>
      </c>
      <c r="B2224" t="s">
        <v>569</v>
      </c>
    </row>
    <row r="2225" spans="1:2" x14ac:dyDescent="0.25">
      <c r="A2225">
        <v>10687926</v>
      </c>
      <c r="B2225" t="s">
        <v>568</v>
      </c>
    </row>
    <row r="2226" spans="1:2" x14ac:dyDescent="0.25">
      <c r="A2226">
        <v>10691487</v>
      </c>
      <c r="B2226" t="s">
        <v>569</v>
      </c>
    </row>
    <row r="2227" spans="1:2" x14ac:dyDescent="0.25">
      <c r="A2227">
        <v>10719851</v>
      </c>
      <c r="B2227" t="s">
        <v>569</v>
      </c>
    </row>
    <row r="2228" spans="1:2" x14ac:dyDescent="0.25">
      <c r="A2228">
        <v>11002797</v>
      </c>
      <c r="B2228" t="s">
        <v>572</v>
      </c>
    </row>
    <row r="2229" spans="1:2" x14ac:dyDescent="0.25">
      <c r="A2229">
        <v>10968443</v>
      </c>
      <c r="B2229" t="s">
        <v>569</v>
      </c>
    </row>
    <row r="2230" spans="1:2" x14ac:dyDescent="0.25">
      <c r="A2230">
        <v>10987728</v>
      </c>
      <c r="B2230" t="s">
        <v>571</v>
      </c>
    </row>
    <row r="2231" spans="1:2" x14ac:dyDescent="0.25">
      <c r="A2231">
        <v>10992120</v>
      </c>
      <c r="B2231" t="s">
        <v>569</v>
      </c>
    </row>
    <row r="2232" spans="1:2" x14ac:dyDescent="0.25">
      <c r="A2232">
        <v>10961468</v>
      </c>
      <c r="B2232" t="s">
        <v>570</v>
      </c>
    </row>
    <row r="2233" spans="1:2" x14ac:dyDescent="0.25">
      <c r="A2233">
        <v>10947994</v>
      </c>
      <c r="B2233" t="s">
        <v>568</v>
      </c>
    </row>
    <row r="2234" spans="1:2" x14ac:dyDescent="0.25">
      <c r="A2234">
        <v>11385999</v>
      </c>
      <c r="B2234" t="s">
        <v>568</v>
      </c>
    </row>
    <row r="2235" spans="1:2" x14ac:dyDescent="0.25">
      <c r="A2235">
        <v>11812374</v>
      </c>
      <c r="B2235" t="s">
        <v>568</v>
      </c>
    </row>
    <row r="2236" spans="1:2" x14ac:dyDescent="0.25">
      <c r="A2236">
        <v>11803303</v>
      </c>
      <c r="B2236" t="s">
        <v>568</v>
      </c>
    </row>
    <row r="2237" spans="1:2" x14ac:dyDescent="0.25">
      <c r="A2237">
        <v>11806684</v>
      </c>
      <c r="B2237" t="s">
        <v>570</v>
      </c>
    </row>
    <row r="2238" spans="1:2" x14ac:dyDescent="0.25">
      <c r="A2238">
        <v>11743456</v>
      </c>
      <c r="B2238" t="s">
        <v>568</v>
      </c>
    </row>
    <row r="2239" spans="1:2" x14ac:dyDescent="0.25">
      <c r="A2239">
        <v>11496644</v>
      </c>
      <c r="B2239" t="s">
        <v>569</v>
      </c>
    </row>
    <row r="2240" spans="1:2" x14ac:dyDescent="0.25">
      <c r="A2240">
        <v>11611126</v>
      </c>
      <c r="B2240" t="s">
        <v>569</v>
      </c>
    </row>
    <row r="2241" spans="1:2" x14ac:dyDescent="0.25">
      <c r="A2241">
        <v>11607209</v>
      </c>
      <c r="B2241" t="s">
        <v>569</v>
      </c>
    </row>
    <row r="2242" spans="1:2" x14ac:dyDescent="0.25">
      <c r="A2242">
        <v>11597932</v>
      </c>
      <c r="B2242" t="s">
        <v>568</v>
      </c>
    </row>
    <row r="2243" spans="1:2" x14ac:dyDescent="0.25">
      <c r="A2243">
        <v>11599540</v>
      </c>
      <c r="B2243" t="s">
        <v>568</v>
      </c>
    </row>
    <row r="2244" spans="1:2" x14ac:dyDescent="0.25">
      <c r="A2244">
        <v>11664703</v>
      </c>
      <c r="B2244" t="s">
        <v>569</v>
      </c>
    </row>
    <row r="2245" spans="1:2" x14ac:dyDescent="0.25">
      <c r="A2245">
        <v>10852883</v>
      </c>
      <c r="B2245" t="s">
        <v>569</v>
      </c>
    </row>
    <row r="2246" spans="1:2" x14ac:dyDescent="0.25">
      <c r="A2246">
        <v>11398532</v>
      </c>
      <c r="B2246" t="s">
        <v>569</v>
      </c>
    </row>
    <row r="2247" spans="1:2" x14ac:dyDescent="0.25">
      <c r="A2247">
        <v>11370666</v>
      </c>
      <c r="B2247" t="s">
        <v>570</v>
      </c>
    </row>
    <row r="2248" spans="1:2" x14ac:dyDescent="0.25">
      <c r="A2248">
        <v>11363382</v>
      </c>
      <c r="B2248" t="s">
        <v>568</v>
      </c>
    </row>
    <row r="2249" spans="1:2" x14ac:dyDescent="0.25">
      <c r="A2249">
        <v>11371137</v>
      </c>
      <c r="B2249" t="s">
        <v>572</v>
      </c>
    </row>
    <row r="2250" spans="1:2" x14ac:dyDescent="0.25">
      <c r="A2250">
        <v>11949340</v>
      </c>
      <c r="B2250" t="s">
        <v>569</v>
      </c>
    </row>
    <row r="2251" spans="1:2" x14ac:dyDescent="0.25">
      <c r="A2251">
        <v>11976456</v>
      </c>
      <c r="B2251" t="s">
        <v>568</v>
      </c>
    </row>
    <row r="2252" spans="1:2" x14ac:dyDescent="0.25">
      <c r="A2252">
        <v>11978275</v>
      </c>
      <c r="B2252" t="s">
        <v>569</v>
      </c>
    </row>
    <row r="2253" spans="1:2" x14ac:dyDescent="0.25">
      <c r="A2253">
        <v>12012532</v>
      </c>
      <c r="B2253" t="s">
        <v>569</v>
      </c>
    </row>
    <row r="2254" spans="1:2" x14ac:dyDescent="0.25">
      <c r="A2254">
        <v>12007108</v>
      </c>
      <c r="B2254" t="s">
        <v>569</v>
      </c>
    </row>
    <row r="2255" spans="1:2" x14ac:dyDescent="0.25">
      <c r="A2255">
        <v>12002261</v>
      </c>
      <c r="B2255" t="s">
        <v>572</v>
      </c>
    </row>
    <row r="2256" spans="1:2" x14ac:dyDescent="0.25">
      <c r="A2256">
        <v>12023868</v>
      </c>
      <c r="B2256" t="s">
        <v>569</v>
      </c>
    </row>
    <row r="2257" spans="1:2" x14ac:dyDescent="0.25">
      <c r="A2257">
        <v>12023976</v>
      </c>
      <c r="B2257" t="s">
        <v>569</v>
      </c>
    </row>
    <row r="2258" spans="1:2" x14ac:dyDescent="0.25">
      <c r="A2258">
        <v>12024031</v>
      </c>
      <c r="B2258" t="s">
        <v>572</v>
      </c>
    </row>
    <row r="2259" spans="1:2" x14ac:dyDescent="0.25">
      <c r="A2259">
        <v>11395433</v>
      </c>
      <c r="B2259" t="s">
        <v>568</v>
      </c>
    </row>
    <row r="2260" spans="1:2" x14ac:dyDescent="0.25">
      <c r="A2260">
        <v>11382010</v>
      </c>
      <c r="B2260" t="s">
        <v>568</v>
      </c>
    </row>
    <row r="2261" spans="1:2" x14ac:dyDescent="0.25">
      <c r="A2261">
        <v>12021648</v>
      </c>
      <c r="B2261" t="s">
        <v>569</v>
      </c>
    </row>
    <row r="2262" spans="1:2" x14ac:dyDescent="0.25">
      <c r="A2262">
        <v>11875914</v>
      </c>
      <c r="B2262" t="s">
        <v>568</v>
      </c>
    </row>
    <row r="2263" spans="1:2" x14ac:dyDescent="0.25">
      <c r="A2263">
        <v>11871590</v>
      </c>
      <c r="B2263" t="s">
        <v>568</v>
      </c>
    </row>
    <row r="2264" spans="1:2" x14ac:dyDescent="0.25">
      <c r="A2264">
        <v>11858022</v>
      </c>
      <c r="B2264" t="s">
        <v>571</v>
      </c>
    </row>
    <row r="2265" spans="1:2" x14ac:dyDescent="0.25">
      <c r="A2265">
        <v>11789649</v>
      </c>
      <c r="B2265" t="s">
        <v>570</v>
      </c>
    </row>
    <row r="2266" spans="1:2" x14ac:dyDescent="0.25">
      <c r="A2266">
        <v>11738122</v>
      </c>
      <c r="B2266" t="s">
        <v>569</v>
      </c>
    </row>
    <row r="2267" spans="1:2" x14ac:dyDescent="0.25">
      <c r="A2267">
        <v>11680530</v>
      </c>
      <c r="B2267" t="s">
        <v>568</v>
      </c>
    </row>
    <row r="2268" spans="1:2" x14ac:dyDescent="0.25">
      <c r="A2268">
        <v>11708785</v>
      </c>
      <c r="B2268" t="s">
        <v>569</v>
      </c>
    </row>
    <row r="2269" spans="1:2" x14ac:dyDescent="0.25">
      <c r="A2269">
        <v>11297983</v>
      </c>
      <c r="B2269" t="s">
        <v>568</v>
      </c>
    </row>
    <row r="2270" spans="1:2" x14ac:dyDescent="0.25">
      <c r="A2270">
        <v>11331813</v>
      </c>
      <c r="B2270" t="s">
        <v>570</v>
      </c>
    </row>
    <row r="2271" spans="1:2" x14ac:dyDescent="0.25">
      <c r="A2271">
        <v>10846258</v>
      </c>
      <c r="B2271" t="s">
        <v>569</v>
      </c>
    </row>
    <row r="2272" spans="1:2" x14ac:dyDescent="0.25">
      <c r="A2272">
        <v>11562089</v>
      </c>
      <c r="B2272" t="s">
        <v>569</v>
      </c>
    </row>
    <row r="2273" spans="1:2" x14ac:dyDescent="0.25">
      <c r="A2273">
        <v>11561275</v>
      </c>
      <c r="B2273" t="s">
        <v>568</v>
      </c>
    </row>
    <row r="2274" spans="1:2" x14ac:dyDescent="0.25">
      <c r="A2274">
        <v>11566253</v>
      </c>
      <c r="B2274" t="s">
        <v>568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4C10-54ED-426F-A13B-A0397F94CB96}">
  <dimension ref="A1:B2274"/>
  <sheetViews>
    <sheetView topLeftCell="A2251" workbookViewId="0">
      <selection activeCell="A2274" sqref="A2274:XFD2274"/>
    </sheetView>
  </sheetViews>
  <sheetFormatPr defaultRowHeight="15" x14ac:dyDescent="0.25"/>
  <cols>
    <col min="2" max="2" width="26.140625" bestFit="1" customWidth="1"/>
  </cols>
  <sheetData>
    <row r="1" spans="1:2" x14ac:dyDescent="0.25">
      <c r="A1" t="s">
        <v>2</v>
      </c>
      <c r="B1" t="s">
        <v>581</v>
      </c>
    </row>
    <row r="2" spans="1:2" x14ac:dyDescent="0.25">
      <c r="A2">
        <v>11316042</v>
      </c>
      <c r="B2" t="s">
        <v>575</v>
      </c>
    </row>
    <row r="3" spans="1:2" x14ac:dyDescent="0.25">
      <c r="A3">
        <v>11374979</v>
      </c>
    </row>
    <row r="4" spans="1:2" x14ac:dyDescent="0.25">
      <c r="A4">
        <v>11997870</v>
      </c>
    </row>
    <row r="5" spans="1:2" x14ac:dyDescent="0.25">
      <c r="A5">
        <v>11930537</v>
      </c>
    </row>
    <row r="6" spans="1:2" x14ac:dyDescent="0.25">
      <c r="A6">
        <v>11899381</v>
      </c>
    </row>
    <row r="7" spans="1:2" x14ac:dyDescent="0.25">
      <c r="A7">
        <v>11899592</v>
      </c>
    </row>
    <row r="8" spans="1:2" x14ac:dyDescent="0.25">
      <c r="A8">
        <v>11889399</v>
      </c>
    </row>
    <row r="9" spans="1:2" x14ac:dyDescent="0.25">
      <c r="A9">
        <v>11842866</v>
      </c>
    </row>
    <row r="10" spans="1:2" x14ac:dyDescent="0.25">
      <c r="A10">
        <v>11843011</v>
      </c>
    </row>
    <row r="11" spans="1:2" x14ac:dyDescent="0.25">
      <c r="A11">
        <v>11684556</v>
      </c>
    </row>
    <row r="12" spans="1:2" x14ac:dyDescent="0.25">
      <c r="A12">
        <v>11685062</v>
      </c>
    </row>
    <row r="13" spans="1:2" x14ac:dyDescent="0.25">
      <c r="A13">
        <v>11698167</v>
      </c>
    </row>
    <row r="14" spans="1:2" x14ac:dyDescent="0.25">
      <c r="A14">
        <v>11698312</v>
      </c>
    </row>
    <row r="15" spans="1:2" x14ac:dyDescent="0.25">
      <c r="A15">
        <v>11684204</v>
      </c>
    </row>
    <row r="16" spans="1:2" x14ac:dyDescent="0.25">
      <c r="A16">
        <v>11684264</v>
      </c>
    </row>
    <row r="17" spans="1:2" x14ac:dyDescent="0.25">
      <c r="A17">
        <v>11357814</v>
      </c>
      <c r="B17" t="s">
        <v>576</v>
      </c>
    </row>
    <row r="18" spans="1:2" x14ac:dyDescent="0.25">
      <c r="A18">
        <v>11842580</v>
      </c>
    </row>
    <row r="19" spans="1:2" x14ac:dyDescent="0.25">
      <c r="A19">
        <v>11842668</v>
      </c>
    </row>
    <row r="20" spans="1:2" x14ac:dyDescent="0.25">
      <c r="A20">
        <v>11806208</v>
      </c>
    </row>
    <row r="21" spans="1:2" x14ac:dyDescent="0.25">
      <c r="A21">
        <v>11817123</v>
      </c>
    </row>
    <row r="22" spans="1:2" x14ac:dyDescent="0.25">
      <c r="A22">
        <v>11774094</v>
      </c>
    </row>
    <row r="23" spans="1:2" x14ac:dyDescent="0.25">
      <c r="A23">
        <v>11741460</v>
      </c>
    </row>
    <row r="24" spans="1:2" x14ac:dyDescent="0.25">
      <c r="A24">
        <v>11741181</v>
      </c>
    </row>
    <row r="25" spans="1:2" x14ac:dyDescent="0.25">
      <c r="A25">
        <v>11698497</v>
      </c>
    </row>
    <row r="26" spans="1:2" x14ac:dyDescent="0.25">
      <c r="A26">
        <v>11698513</v>
      </c>
    </row>
    <row r="27" spans="1:2" x14ac:dyDescent="0.25">
      <c r="A27">
        <v>11698524</v>
      </c>
    </row>
    <row r="28" spans="1:2" x14ac:dyDescent="0.25">
      <c r="A28">
        <v>11699034</v>
      </c>
    </row>
    <row r="29" spans="1:2" x14ac:dyDescent="0.25">
      <c r="A29">
        <v>11741070</v>
      </c>
    </row>
    <row r="30" spans="1:2" x14ac:dyDescent="0.25">
      <c r="A30">
        <v>10566142</v>
      </c>
      <c r="B30" t="s">
        <v>575</v>
      </c>
    </row>
    <row r="31" spans="1:2" x14ac:dyDescent="0.25">
      <c r="A31">
        <v>10572176</v>
      </c>
      <c r="B31" t="s">
        <v>578</v>
      </c>
    </row>
    <row r="32" spans="1:2" x14ac:dyDescent="0.25">
      <c r="A32">
        <v>10581011</v>
      </c>
      <c r="B32" t="s">
        <v>578</v>
      </c>
    </row>
    <row r="33" spans="1:2" x14ac:dyDescent="0.25">
      <c r="A33">
        <v>10621157</v>
      </c>
      <c r="B33" t="s">
        <v>576</v>
      </c>
    </row>
    <row r="34" spans="1:2" x14ac:dyDescent="0.25">
      <c r="A34">
        <v>10608029</v>
      </c>
      <c r="B34" t="s">
        <v>576</v>
      </c>
    </row>
    <row r="35" spans="1:2" x14ac:dyDescent="0.25">
      <c r="A35">
        <v>10590212</v>
      </c>
      <c r="B35" t="s">
        <v>577</v>
      </c>
    </row>
    <row r="36" spans="1:2" x14ac:dyDescent="0.25">
      <c r="A36">
        <v>10590859</v>
      </c>
      <c r="B36" t="s">
        <v>579</v>
      </c>
    </row>
    <row r="37" spans="1:2" x14ac:dyDescent="0.25">
      <c r="A37">
        <v>11390110</v>
      </c>
      <c r="B37" t="s">
        <v>576</v>
      </c>
    </row>
    <row r="38" spans="1:2" x14ac:dyDescent="0.25">
      <c r="A38">
        <v>11899460</v>
      </c>
    </row>
    <row r="39" spans="1:2" x14ac:dyDescent="0.25">
      <c r="A39">
        <v>11269120</v>
      </c>
      <c r="B39" t="s">
        <v>575</v>
      </c>
    </row>
    <row r="40" spans="1:2" x14ac:dyDescent="0.25">
      <c r="A40">
        <v>11344672</v>
      </c>
      <c r="B40" t="s">
        <v>578</v>
      </c>
    </row>
    <row r="41" spans="1:2" x14ac:dyDescent="0.25">
      <c r="A41">
        <v>11269632</v>
      </c>
      <c r="B41" t="s">
        <v>575</v>
      </c>
    </row>
    <row r="42" spans="1:2" x14ac:dyDescent="0.25">
      <c r="A42">
        <v>11600384</v>
      </c>
    </row>
    <row r="43" spans="1:2" x14ac:dyDescent="0.25">
      <c r="A43">
        <v>11600003</v>
      </c>
    </row>
    <row r="44" spans="1:2" x14ac:dyDescent="0.25">
      <c r="A44">
        <v>11612125</v>
      </c>
    </row>
    <row r="45" spans="1:2" x14ac:dyDescent="0.25">
      <c r="A45">
        <v>11612134</v>
      </c>
    </row>
    <row r="46" spans="1:2" x14ac:dyDescent="0.25">
      <c r="A46">
        <v>11612150</v>
      </c>
    </row>
    <row r="47" spans="1:2" x14ac:dyDescent="0.25">
      <c r="A47">
        <v>11684485</v>
      </c>
    </row>
    <row r="48" spans="1:2" x14ac:dyDescent="0.25">
      <c r="A48">
        <v>11684795</v>
      </c>
    </row>
    <row r="49" spans="1:1" x14ac:dyDescent="0.25">
      <c r="A49">
        <v>11684898</v>
      </c>
    </row>
    <row r="50" spans="1:1" x14ac:dyDescent="0.25">
      <c r="A50">
        <v>11685013</v>
      </c>
    </row>
    <row r="51" spans="1:1" x14ac:dyDescent="0.25">
      <c r="A51">
        <v>11714445</v>
      </c>
    </row>
    <row r="52" spans="1:1" x14ac:dyDescent="0.25">
      <c r="A52">
        <v>11714617</v>
      </c>
    </row>
    <row r="53" spans="1:1" x14ac:dyDescent="0.25">
      <c r="A53">
        <v>11714640</v>
      </c>
    </row>
    <row r="54" spans="1:1" x14ac:dyDescent="0.25">
      <c r="A54">
        <v>11714702</v>
      </c>
    </row>
    <row r="55" spans="1:1" x14ac:dyDescent="0.25">
      <c r="A55">
        <v>11717819</v>
      </c>
    </row>
    <row r="56" spans="1:1" x14ac:dyDescent="0.25">
      <c r="A56">
        <v>11717984</v>
      </c>
    </row>
    <row r="57" spans="1:1" x14ac:dyDescent="0.25">
      <c r="A57">
        <v>11718243</v>
      </c>
    </row>
    <row r="58" spans="1:1" x14ac:dyDescent="0.25">
      <c r="A58">
        <v>11718364</v>
      </c>
    </row>
    <row r="59" spans="1:1" x14ac:dyDescent="0.25">
      <c r="A59">
        <v>11718437</v>
      </c>
    </row>
    <row r="60" spans="1:1" x14ac:dyDescent="0.25">
      <c r="A60">
        <v>11718549</v>
      </c>
    </row>
    <row r="61" spans="1:1" x14ac:dyDescent="0.25">
      <c r="A61">
        <v>11740755</v>
      </c>
    </row>
    <row r="62" spans="1:1" x14ac:dyDescent="0.25">
      <c r="A62">
        <v>11740859</v>
      </c>
    </row>
    <row r="63" spans="1:1" x14ac:dyDescent="0.25">
      <c r="A63">
        <v>11698469</v>
      </c>
    </row>
    <row r="64" spans="1:1" x14ac:dyDescent="0.25">
      <c r="A64">
        <v>11698475</v>
      </c>
    </row>
    <row r="65" spans="1:1" x14ac:dyDescent="0.25">
      <c r="A65">
        <v>11773367</v>
      </c>
    </row>
    <row r="66" spans="1:1" x14ac:dyDescent="0.25">
      <c r="A66">
        <v>11773409</v>
      </c>
    </row>
    <row r="67" spans="1:1" x14ac:dyDescent="0.25">
      <c r="A67">
        <v>11757048</v>
      </c>
    </row>
    <row r="68" spans="1:1" x14ac:dyDescent="0.25">
      <c r="A68">
        <v>11774377</v>
      </c>
    </row>
    <row r="69" spans="1:1" x14ac:dyDescent="0.25">
      <c r="A69">
        <v>11798332</v>
      </c>
    </row>
    <row r="70" spans="1:1" x14ac:dyDescent="0.25">
      <c r="A70">
        <v>11799384</v>
      </c>
    </row>
    <row r="71" spans="1:1" x14ac:dyDescent="0.25">
      <c r="A71">
        <v>11800181</v>
      </c>
    </row>
    <row r="72" spans="1:1" x14ac:dyDescent="0.25">
      <c r="A72">
        <v>11800788</v>
      </c>
    </row>
    <row r="73" spans="1:1" x14ac:dyDescent="0.25">
      <c r="A73">
        <v>11806133</v>
      </c>
    </row>
    <row r="74" spans="1:1" x14ac:dyDescent="0.25">
      <c r="A74">
        <v>11611775</v>
      </c>
    </row>
    <row r="75" spans="1:1" x14ac:dyDescent="0.25">
      <c r="A75">
        <v>11832009</v>
      </c>
    </row>
    <row r="76" spans="1:1" x14ac:dyDescent="0.25">
      <c r="A76">
        <v>11832538</v>
      </c>
    </row>
    <row r="77" spans="1:1" x14ac:dyDescent="0.25">
      <c r="A77">
        <v>11842737</v>
      </c>
    </row>
    <row r="78" spans="1:1" x14ac:dyDescent="0.25">
      <c r="A78">
        <v>11843401</v>
      </c>
    </row>
    <row r="79" spans="1:1" x14ac:dyDescent="0.25">
      <c r="A79">
        <v>11888712</v>
      </c>
    </row>
    <row r="80" spans="1:1" x14ac:dyDescent="0.25">
      <c r="A80">
        <v>11889032</v>
      </c>
    </row>
    <row r="81" spans="1:2" x14ac:dyDescent="0.25">
      <c r="A81">
        <v>11890089</v>
      </c>
    </row>
    <row r="82" spans="1:2" x14ac:dyDescent="0.25">
      <c r="A82">
        <v>11930488</v>
      </c>
    </row>
    <row r="83" spans="1:2" x14ac:dyDescent="0.25">
      <c r="A83">
        <v>11899817</v>
      </c>
    </row>
    <row r="84" spans="1:2" x14ac:dyDescent="0.25">
      <c r="A84">
        <v>10706315</v>
      </c>
      <c r="B84" t="s">
        <v>575</v>
      </c>
    </row>
    <row r="85" spans="1:2" x14ac:dyDescent="0.25">
      <c r="A85">
        <v>11296113</v>
      </c>
      <c r="B85" t="s">
        <v>577</v>
      </c>
    </row>
    <row r="86" spans="1:2" x14ac:dyDescent="0.25">
      <c r="A86">
        <v>11611811</v>
      </c>
    </row>
    <row r="87" spans="1:2" x14ac:dyDescent="0.25">
      <c r="A87">
        <v>11588015</v>
      </c>
    </row>
    <row r="88" spans="1:2" x14ac:dyDescent="0.25">
      <c r="A88">
        <v>11599660</v>
      </c>
    </row>
    <row r="89" spans="1:2" x14ac:dyDescent="0.25">
      <c r="A89">
        <v>11599672</v>
      </c>
    </row>
    <row r="90" spans="1:2" x14ac:dyDescent="0.25">
      <c r="A90">
        <v>11599681</v>
      </c>
    </row>
    <row r="91" spans="1:2" x14ac:dyDescent="0.25">
      <c r="A91">
        <v>11599755</v>
      </c>
    </row>
    <row r="92" spans="1:2" x14ac:dyDescent="0.25">
      <c r="A92">
        <v>11600028</v>
      </c>
    </row>
    <row r="93" spans="1:2" x14ac:dyDescent="0.25">
      <c r="A93">
        <v>11067193</v>
      </c>
    </row>
    <row r="94" spans="1:2" x14ac:dyDescent="0.25">
      <c r="A94">
        <v>11068581</v>
      </c>
    </row>
    <row r="95" spans="1:2" x14ac:dyDescent="0.25">
      <c r="A95">
        <v>11069471</v>
      </c>
    </row>
    <row r="96" spans="1:2" x14ac:dyDescent="0.25">
      <c r="A96">
        <v>11069911</v>
      </c>
    </row>
    <row r="97" spans="1:2" x14ac:dyDescent="0.25">
      <c r="A97">
        <v>11068167</v>
      </c>
    </row>
    <row r="98" spans="1:2" x14ac:dyDescent="0.25">
      <c r="A98">
        <v>11149370</v>
      </c>
    </row>
    <row r="99" spans="1:2" x14ac:dyDescent="0.25">
      <c r="A99">
        <v>11322951</v>
      </c>
      <c r="B99" t="s">
        <v>576</v>
      </c>
    </row>
    <row r="100" spans="1:2" x14ac:dyDescent="0.25">
      <c r="A100">
        <v>10781227</v>
      </c>
      <c r="B100" t="s">
        <v>575</v>
      </c>
    </row>
    <row r="101" spans="1:2" x14ac:dyDescent="0.25">
      <c r="A101">
        <v>11348488</v>
      </c>
      <c r="B101" t="s">
        <v>580</v>
      </c>
    </row>
    <row r="102" spans="1:2" x14ac:dyDescent="0.25">
      <c r="A102">
        <v>11067294</v>
      </c>
      <c r="B102" t="s">
        <v>575</v>
      </c>
    </row>
    <row r="103" spans="1:2" x14ac:dyDescent="0.25">
      <c r="A103">
        <v>10817381</v>
      </c>
      <c r="B103" t="s">
        <v>578</v>
      </c>
    </row>
    <row r="104" spans="1:2" x14ac:dyDescent="0.25">
      <c r="A104">
        <v>10718989</v>
      </c>
      <c r="B104" t="s">
        <v>578</v>
      </c>
    </row>
    <row r="105" spans="1:2" x14ac:dyDescent="0.25">
      <c r="A105">
        <v>10930967</v>
      </c>
      <c r="B105" t="s">
        <v>578</v>
      </c>
    </row>
    <row r="106" spans="1:2" x14ac:dyDescent="0.25">
      <c r="A106">
        <v>11548332</v>
      </c>
      <c r="B106" t="s">
        <v>576</v>
      </c>
    </row>
    <row r="107" spans="1:2" x14ac:dyDescent="0.25">
      <c r="A107">
        <v>11997721</v>
      </c>
    </row>
    <row r="108" spans="1:2" x14ac:dyDescent="0.25">
      <c r="A108">
        <v>11899953</v>
      </c>
    </row>
    <row r="109" spans="1:2" x14ac:dyDescent="0.25">
      <c r="A109">
        <v>11888689</v>
      </c>
    </row>
    <row r="110" spans="1:2" x14ac:dyDescent="0.25">
      <c r="A110">
        <v>11890450</v>
      </c>
    </row>
    <row r="111" spans="1:2" x14ac:dyDescent="0.25">
      <c r="A111">
        <v>11863838</v>
      </c>
    </row>
    <row r="112" spans="1:2" x14ac:dyDescent="0.25">
      <c r="A112">
        <v>11468363</v>
      </c>
      <c r="B112" t="s">
        <v>575</v>
      </c>
    </row>
    <row r="113" spans="1:2" x14ac:dyDescent="0.25">
      <c r="A113">
        <v>11684394</v>
      </c>
    </row>
    <row r="114" spans="1:2" x14ac:dyDescent="0.25">
      <c r="A114">
        <v>11684463</v>
      </c>
    </row>
    <row r="115" spans="1:2" x14ac:dyDescent="0.25">
      <c r="A115">
        <v>11699049</v>
      </c>
    </row>
    <row r="116" spans="1:2" x14ac:dyDescent="0.25">
      <c r="A116">
        <v>11698491</v>
      </c>
    </row>
    <row r="117" spans="1:2" x14ac:dyDescent="0.25">
      <c r="A117">
        <v>11351151</v>
      </c>
      <c r="B117" t="s">
        <v>580</v>
      </c>
    </row>
    <row r="118" spans="1:2" x14ac:dyDescent="0.25">
      <c r="A118">
        <v>11889547</v>
      </c>
    </row>
    <row r="119" spans="1:2" x14ac:dyDescent="0.25">
      <c r="A119">
        <v>11376296</v>
      </c>
      <c r="B119" t="s">
        <v>576</v>
      </c>
    </row>
    <row r="120" spans="1:2" x14ac:dyDescent="0.25">
      <c r="A120">
        <v>11405795</v>
      </c>
      <c r="B120" t="s">
        <v>575</v>
      </c>
    </row>
    <row r="121" spans="1:2" x14ac:dyDescent="0.25">
      <c r="A121">
        <v>10729437</v>
      </c>
      <c r="B121" t="s">
        <v>580</v>
      </c>
    </row>
    <row r="122" spans="1:2" x14ac:dyDescent="0.25">
      <c r="A122">
        <v>11890569</v>
      </c>
    </row>
    <row r="123" spans="1:2" x14ac:dyDescent="0.25">
      <c r="A123">
        <v>11930626</v>
      </c>
    </row>
    <row r="124" spans="1:2" x14ac:dyDescent="0.25">
      <c r="A124">
        <v>11803035</v>
      </c>
    </row>
    <row r="125" spans="1:2" x14ac:dyDescent="0.25">
      <c r="A125">
        <v>11773470</v>
      </c>
    </row>
    <row r="126" spans="1:2" x14ac:dyDescent="0.25">
      <c r="A126">
        <v>11611673</v>
      </c>
    </row>
    <row r="127" spans="1:2" x14ac:dyDescent="0.25">
      <c r="A127">
        <v>11997468</v>
      </c>
    </row>
    <row r="128" spans="1:2" x14ac:dyDescent="0.25">
      <c r="A128">
        <v>11997542</v>
      </c>
    </row>
    <row r="129" spans="1:2" x14ac:dyDescent="0.25">
      <c r="A129">
        <v>11899917</v>
      </c>
    </row>
    <row r="130" spans="1:2" x14ac:dyDescent="0.25">
      <c r="A130">
        <v>12011164</v>
      </c>
    </row>
    <row r="131" spans="1:2" x14ac:dyDescent="0.25">
      <c r="A131">
        <v>12011236</v>
      </c>
    </row>
    <row r="132" spans="1:2" x14ac:dyDescent="0.25">
      <c r="A132">
        <v>11890484</v>
      </c>
    </row>
    <row r="133" spans="1:2" x14ac:dyDescent="0.25">
      <c r="A133">
        <v>10715251</v>
      </c>
      <c r="B133" t="s">
        <v>575</v>
      </c>
    </row>
    <row r="134" spans="1:2" x14ac:dyDescent="0.25">
      <c r="A134">
        <v>11588046</v>
      </c>
    </row>
    <row r="135" spans="1:2" x14ac:dyDescent="0.25">
      <c r="A135">
        <v>11587818</v>
      </c>
    </row>
    <row r="136" spans="1:2" x14ac:dyDescent="0.25">
      <c r="A136">
        <v>11587864</v>
      </c>
    </row>
    <row r="137" spans="1:2" x14ac:dyDescent="0.25">
      <c r="A137">
        <v>11587883</v>
      </c>
    </row>
    <row r="138" spans="1:2" x14ac:dyDescent="0.25">
      <c r="A138">
        <v>11588003</v>
      </c>
    </row>
    <row r="139" spans="1:2" x14ac:dyDescent="0.25">
      <c r="A139">
        <v>11588013</v>
      </c>
    </row>
    <row r="140" spans="1:2" x14ac:dyDescent="0.25">
      <c r="A140">
        <v>11364047</v>
      </c>
      <c r="B140" t="s">
        <v>576</v>
      </c>
    </row>
    <row r="141" spans="1:2" x14ac:dyDescent="0.25">
      <c r="A141">
        <v>11611596</v>
      </c>
    </row>
    <row r="142" spans="1:2" x14ac:dyDescent="0.25">
      <c r="A142">
        <v>11311587</v>
      </c>
      <c r="B142" t="s">
        <v>576</v>
      </c>
    </row>
    <row r="143" spans="1:2" x14ac:dyDescent="0.25">
      <c r="A143">
        <v>11359265</v>
      </c>
      <c r="B143" t="s">
        <v>580</v>
      </c>
    </row>
    <row r="144" spans="1:2" x14ac:dyDescent="0.25">
      <c r="A144">
        <v>11269104</v>
      </c>
      <c r="B144" t="s">
        <v>576</v>
      </c>
    </row>
    <row r="145" spans="1:2" x14ac:dyDescent="0.25">
      <c r="A145">
        <v>11343103</v>
      </c>
      <c r="B145" t="s">
        <v>580</v>
      </c>
    </row>
    <row r="146" spans="1:2" x14ac:dyDescent="0.25">
      <c r="A146">
        <v>11212833</v>
      </c>
      <c r="B146" t="s">
        <v>578</v>
      </c>
    </row>
    <row r="147" spans="1:2" x14ac:dyDescent="0.25">
      <c r="A147">
        <v>11259578</v>
      </c>
      <c r="B147" t="s">
        <v>576</v>
      </c>
    </row>
    <row r="148" spans="1:2" x14ac:dyDescent="0.25">
      <c r="A148">
        <v>11329820</v>
      </c>
      <c r="B148" t="s">
        <v>575</v>
      </c>
    </row>
    <row r="149" spans="1:2" x14ac:dyDescent="0.25">
      <c r="A149">
        <v>11405869</v>
      </c>
      <c r="B149" t="s">
        <v>576</v>
      </c>
    </row>
    <row r="150" spans="1:2" x14ac:dyDescent="0.25">
      <c r="A150">
        <v>10691773</v>
      </c>
      <c r="B150" t="s">
        <v>578</v>
      </c>
    </row>
    <row r="151" spans="1:2" x14ac:dyDescent="0.25">
      <c r="A151">
        <v>11405760</v>
      </c>
      <c r="B151" t="s">
        <v>576</v>
      </c>
    </row>
    <row r="152" spans="1:2" x14ac:dyDescent="0.25">
      <c r="A152">
        <v>11348251</v>
      </c>
      <c r="B152" t="s">
        <v>576</v>
      </c>
    </row>
    <row r="153" spans="1:2" x14ac:dyDescent="0.25">
      <c r="A153">
        <v>11371519</v>
      </c>
      <c r="B153" t="s">
        <v>576</v>
      </c>
    </row>
    <row r="154" spans="1:2" x14ac:dyDescent="0.25">
      <c r="A154">
        <v>11311851</v>
      </c>
      <c r="B154" t="s">
        <v>578</v>
      </c>
    </row>
    <row r="155" spans="1:2" x14ac:dyDescent="0.25">
      <c r="A155">
        <v>11346192</v>
      </c>
      <c r="B155" t="s">
        <v>580</v>
      </c>
    </row>
    <row r="156" spans="1:2" x14ac:dyDescent="0.25">
      <c r="A156">
        <v>11368730</v>
      </c>
      <c r="B156" t="s">
        <v>579</v>
      </c>
    </row>
    <row r="157" spans="1:2" x14ac:dyDescent="0.25">
      <c r="A157">
        <v>10782702</v>
      </c>
      <c r="B157" t="s">
        <v>575</v>
      </c>
    </row>
    <row r="158" spans="1:2" x14ac:dyDescent="0.25">
      <c r="A158">
        <v>11394466</v>
      </c>
      <c r="B158" t="s">
        <v>575</v>
      </c>
    </row>
    <row r="159" spans="1:2" x14ac:dyDescent="0.25">
      <c r="A159">
        <v>11400710</v>
      </c>
      <c r="B159" t="s">
        <v>580</v>
      </c>
    </row>
    <row r="160" spans="1:2" x14ac:dyDescent="0.25">
      <c r="A160">
        <v>11104749</v>
      </c>
      <c r="B160" t="s">
        <v>575</v>
      </c>
    </row>
    <row r="161" spans="1:2" x14ac:dyDescent="0.25">
      <c r="A161">
        <v>11356166</v>
      </c>
      <c r="B161" t="s">
        <v>575</v>
      </c>
    </row>
    <row r="162" spans="1:2" x14ac:dyDescent="0.25">
      <c r="A162">
        <v>11374891</v>
      </c>
      <c r="B162" t="s">
        <v>575</v>
      </c>
    </row>
    <row r="163" spans="1:2" x14ac:dyDescent="0.25">
      <c r="A163">
        <v>11328772</v>
      </c>
      <c r="B163" t="s">
        <v>575</v>
      </c>
    </row>
    <row r="164" spans="1:2" x14ac:dyDescent="0.25">
      <c r="A164">
        <v>11305170</v>
      </c>
      <c r="B164" t="s">
        <v>578</v>
      </c>
    </row>
    <row r="165" spans="1:2" x14ac:dyDescent="0.25">
      <c r="A165">
        <v>11220990</v>
      </c>
      <c r="B165" t="s">
        <v>575</v>
      </c>
    </row>
    <row r="166" spans="1:2" x14ac:dyDescent="0.25">
      <c r="A166">
        <v>10586869</v>
      </c>
      <c r="B166" t="s">
        <v>579</v>
      </c>
    </row>
    <row r="167" spans="1:2" x14ac:dyDescent="0.25">
      <c r="A167">
        <v>11348239</v>
      </c>
      <c r="B167" t="s">
        <v>580</v>
      </c>
    </row>
    <row r="168" spans="1:2" x14ac:dyDescent="0.25">
      <c r="A168">
        <v>11367824</v>
      </c>
      <c r="B168" t="s">
        <v>580</v>
      </c>
    </row>
    <row r="169" spans="1:2" x14ac:dyDescent="0.25">
      <c r="A169">
        <v>11238880</v>
      </c>
      <c r="B169" t="s">
        <v>576</v>
      </c>
    </row>
    <row r="170" spans="1:2" x14ac:dyDescent="0.25">
      <c r="A170">
        <v>11310421</v>
      </c>
      <c r="B170" t="s">
        <v>578</v>
      </c>
    </row>
    <row r="171" spans="1:2" x14ac:dyDescent="0.25">
      <c r="A171">
        <v>11280178</v>
      </c>
      <c r="B171" t="s">
        <v>580</v>
      </c>
    </row>
    <row r="172" spans="1:2" x14ac:dyDescent="0.25">
      <c r="A172">
        <v>11234339</v>
      </c>
      <c r="B172" t="s">
        <v>580</v>
      </c>
    </row>
    <row r="173" spans="1:2" x14ac:dyDescent="0.25">
      <c r="A173">
        <v>11370493</v>
      </c>
      <c r="B173" t="s">
        <v>580</v>
      </c>
    </row>
    <row r="174" spans="1:2" x14ac:dyDescent="0.25">
      <c r="A174">
        <v>11390437</v>
      </c>
      <c r="B174" t="s">
        <v>580</v>
      </c>
    </row>
    <row r="175" spans="1:2" x14ac:dyDescent="0.25">
      <c r="A175">
        <v>11375164</v>
      </c>
      <c r="B175" t="s">
        <v>578</v>
      </c>
    </row>
    <row r="176" spans="1:2" x14ac:dyDescent="0.25">
      <c r="A176">
        <v>11409688</v>
      </c>
      <c r="B176" t="s">
        <v>578</v>
      </c>
    </row>
    <row r="177" spans="1:2" x14ac:dyDescent="0.25">
      <c r="A177">
        <v>10857822</v>
      </c>
    </row>
    <row r="178" spans="1:2" x14ac:dyDescent="0.25">
      <c r="A178">
        <v>11835112</v>
      </c>
      <c r="B178" t="s">
        <v>576</v>
      </c>
    </row>
    <row r="179" spans="1:2" x14ac:dyDescent="0.25">
      <c r="A179">
        <v>10803683</v>
      </c>
      <c r="B179" t="s">
        <v>575</v>
      </c>
    </row>
    <row r="180" spans="1:2" x14ac:dyDescent="0.25">
      <c r="A180">
        <v>11886254</v>
      </c>
      <c r="B180" t="s">
        <v>578</v>
      </c>
    </row>
    <row r="181" spans="1:2" x14ac:dyDescent="0.25">
      <c r="A181">
        <v>10746597</v>
      </c>
      <c r="B181" t="s">
        <v>580</v>
      </c>
    </row>
    <row r="182" spans="1:2" x14ac:dyDescent="0.25">
      <c r="A182">
        <v>11003387</v>
      </c>
      <c r="B182" t="s">
        <v>580</v>
      </c>
    </row>
    <row r="183" spans="1:2" x14ac:dyDescent="0.25">
      <c r="A183">
        <v>12021752</v>
      </c>
      <c r="B183" t="s">
        <v>575</v>
      </c>
    </row>
    <row r="184" spans="1:2" x14ac:dyDescent="0.25">
      <c r="A184">
        <v>11014776</v>
      </c>
      <c r="B184" t="s">
        <v>577</v>
      </c>
    </row>
    <row r="185" spans="1:2" x14ac:dyDescent="0.25">
      <c r="A185">
        <v>10825345</v>
      </c>
    </row>
    <row r="186" spans="1:2" x14ac:dyDescent="0.25">
      <c r="A186">
        <v>11512393</v>
      </c>
      <c r="B186" t="s">
        <v>580</v>
      </c>
    </row>
    <row r="187" spans="1:2" x14ac:dyDescent="0.25">
      <c r="A187">
        <v>11322644</v>
      </c>
      <c r="B187" t="s">
        <v>575</v>
      </c>
    </row>
    <row r="188" spans="1:2" x14ac:dyDescent="0.25">
      <c r="A188">
        <v>11490805</v>
      </c>
      <c r="B188" t="s">
        <v>580</v>
      </c>
    </row>
    <row r="189" spans="1:2" x14ac:dyDescent="0.25">
      <c r="A189">
        <v>11557554</v>
      </c>
      <c r="B189" t="s">
        <v>580</v>
      </c>
    </row>
    <row r="190" spans="1:2" x14ac:dyDescent="0.25">
      <c r="A190">
        <v>10691175</v>
      </c>
      <c r="B190" t="s">
        <v>577</v>
      </c>
    </row>
    <row r="191" spans="1:2" x14ac:dyDescent="0.25">
      <c r="A191">
        <v>11486805</v>
      </c>
      <c r="B191" t="s">
        <v>575</v>
      </c>
    </row>
    <row r="192" spans="1:2" x14ac:dyDescent="0.25">
      <c r="A192">
        <v>11939640</v>
      </c>
      <c r="B192" t="s">
        <v>578</v>
      </c>
    </row>
    <row r="193" spans="1:2" x14ac:dyDescent="0.25">
      <c r="A193">
        <v>11538815</v>
      </c>
      <c r="B193" t="s">
        <v>575</v>
      </c>
    </row>
    <row r="194" spans="1:2" x14ac:dyDescent="0.25">
      <c r="A194">
        <v>10813486</v>
      </c>
      <c r="B194" t="s">
        <v>576</v>
      </c>
    </row>
    <row r="195" spans="1:2" x14ac:dyDescent="0.25">
      <c r="A195">
        <v>11381487</v>
      </c>
      <c r="B195" t="s">
        <v>578</v>
      </c>
    </row>
    <row r="196" spans="1:2" x14ac:dyDescent="0.25">
      <c r="A196">
        <v>11561964</v>
      </c>
      <c r="B196" t="s">
        <v>580</v>
      </c>
    </row>
    <row r="197" spans="1:2" x14ac:dyDescent="0.25">
      <c r="A197">
        <v>11559160</v>
      </c>
      <c r="B197" t="s">
        <v>576</v>
      </c>
    </row>
    <row r="198" spans="1:2" x14ac:dyDescent="0.25">
      <c r="A198">
        <v>10710980</v>
      </c>
      <c r="B198" t="s">
        <v>579</v>
      </c>
    </row>
    <row r="199" spans="1:2" x14ac:dyDescent="0.25">
      <c r="A199">
        <v>10721997</v>
      </c>
      <c r="B199" t="s">
        <v>580</v>
      </c>
    </row>
    <row r="200" spans="1:2" x14ac:dyDescent="0.25">
      <c r="A200">
        <v>10678108</v>
      </c>
      <c r="B200" t="s">
        <v>578</v>
      </c>
    </row>
    <row r="201" spans="1:2" x14ac:dyDescent="0.25">
      <c r="A201">
        <v>11761727</v>
      </c>
      <c r="B201" t="s">
        <v>575</v>
      </c>
    </row>
    <row r="202" spans="1:2" x14ac:dyDescent="0.25">
      <c r="A202">
        <v>10970965</v>
      </c>
      <c r="B202" t="s">
        <v>580</v>
      </c>
    </row>
    <row r="203" spans="1:2" x14ac:dyDescent="0.25">
      <c r="A203">
        <v>10991466</v>
      </c>
      <c r="B203" t="s">
        <v>578</v>
      </c>
    </row>
    <row r="204" spans="1:2" x14ac:dyDescent="0.25">
      <c r="A204">
        <v>10791168</v>
      </c>
      <c r="B204" t="s">
        <v>579</v>
      </c>
    </row>
    <row r="205" spans="1:2" x14ac:dyDescent="0.25">
      <c r="A205">
        <v>11900959</v>
      </c>
      <c r="B205" t="s">
        <v>577</v>
      </c>
    </row>
    <row r="206" spans="1:2" x14ac:dyDescent="0.25">
      <c r="A206">
        <v>10811525</v>
      </c>
      <c r="B206" t="s">
        <v>579</v>
      </c>
    </row>
    <row r="207" spans="1:2" x14ac:dyDescent="0.25">
      <c r="A207">
        <v>10750040</v>
      </c>
      <c r="B207" t="s">
        <v>580</v>
      </c>
    </row>
    <row r="208" spans="1:2" x14ac:dyDescent="0.25">
      <c r="A208">
        <v>11735716</v>
      </c>
      <c r="B208" t="s">
        <v>578</v>
      </c>
    </row>
    <row r="209" spans="1:2" x14ac:dyDescent="0.25">
      <c r="A209">
        <v>11906760</v>
      </c>
      <c r="B209" t="s">
        <v>575</v>
      </c>
    </row>
    <row r="210" spans="1:2" x14ac:dyDescent="0.25">
      <c r="A210">
        <v>10817431</v>
      </c>
      <c r="B210" t="s">
        <v>575</v>
      </c>
    </row>
    <row r="211" spans="1:2" x14ac:dyDescent="0.25">
      <c r="A211">
        <v>11666943</v>
      </c>
      <c r="B211" t="s">
        <v>578</v>
      </c>
    </row>
    <row r="212" spans="1:2" x14ac:dyDescent="0.25">
      <c r="A212">
        <v>11718022</v>
      </c>
    </row>
    <row r="213" spans="1:2" x14ac:dyDescent="0.25">
      <c r="A213">
        <v>10717713</v>
      </c>
      <c r="B213" t="s">
        <v>575</v>
      </c>
    </row>
    <row r="214" spans="1:2" x14ac:dyDescent="0.25">
      <c r="A214">
        <v>10728544</v>
      </c>
      <c r="B214" t="s">
        <v>578</v>
      </c>
    </row>
    <row r="215" spans="1:2" x14ac:dyDescent="0.25">
      <c r="A215">
        <v>10749046</v>
      </c>
      <c r="B215" t="s">
        <v>575</v>
      </c>
    </row>
    <row r="216" spans="1:2" x14ac:dyDescent="0.25">
      <c r="A216">
        <v>11480163</v>
      </c>
      <c r="B216" t="s">
        <v>575</v>
      </c>
    </row>
    <row r="217" spans="1:2" x14ac:dyDescent="0.25">
      <c r="A217">
        <v>11375179</v>
      </c>
      <c r="B217" t="s">
        <v>575</v>
      </c>
    </row>
    <row r="218" spans="1:2" x14ac:dyDescent="0.25">
      <c r="A218">
        <v>10898295</v>
      </c>
      <c r="B218" t="s">
        <v>575</v>
      </c>
    </row>
    <row r="219" spans="1:2" x14ac:dyDescent="0.25">
      <c r="A219">
        <v>10604691</v>
      </c>
      <c r="B219" t="s">
        <v>575</v>
      </c>
    </row>
    <row r="220" spans="1:2" x14ac:dyDescent="0.25">
      <c r="A220">
        <v>11077871</v>
      </c>
      <c r="B220" t="s">
        <v>576</v>
      </c>
    </row>
    <row r="221" spans="1:2" x14ac:dyDescent="0.25">
      <c r="A221">
        <v>11882520</v>
      </c>
      <c r="B221" t="s">
        <v>579</v>
      </c>
    </row>
    <row r="222" spans="1:2" x14ac:dyDescent="0.25">
      <c r="A222">
        <v>11447298</v>
      </c>
      <c r="B222" t="s">
        <v>575</v>
      </c>
    </row>
    <row r="223" spans="1:2" x14ac:dyDescent="0.25">
      <c r="A223">
        <v>10929491</v>
      </c>
      <c r="B223" t="s">
        <v>579</v>
      </c>
    </row>
    <row r="224" spans="1:2" x14ac:dyDescent="0.25">
      <c r="A224">
        <v>11234085</v>
      </c>
      <c r="B224" t="s">
        <v>575</v>
      </c>
    </row>
    <row r="225" spans="1:2" x14ac:dyDescent="0.25">
      <c r="A225">
        <v>11806730</v>
      </c>
      <c r="B225" t="s">
        <v>575</v>
      </c>
    </row>
    <row r="226" spans="1:2" x14ac:dyDescent="0.25">
      <c r="A226">
        <v>11848124</v>
      </c>
      <c r="B226" t="s">
        <v>579</v>
      </c>
    </row>
    <row r="227" spans="1:2" x14ac:dyDescent="0.25">
      <c r="A227">
        <v>11935099</v>
      </c>
      <c r="B227" t="s">
        <v>578</v>
      </c>
    </row>
    <row r="228" spans="1:2" x14ac:dyDescent="0.25">
      <c r="A228">
        <v>11987935</v>
      </c>
      <c r="B228" t="s">
        <v>578</v>
      </c>
    </row>
    <row r="229" spans="1:2" x14ac:dyDescent="0.25">
      <c r="A229">
        <v>11073787</v>
      </c>
      <c r="B229" t="s">
        <v>580</v>
      </c>
    </row>
    <row r="230" spans="1:2" x14ac:dyDescent="0.25">
      <c r="A230">
        <v>11283975</v>
      </c>
      <c r="B230" t="s">
        <v>575</v>
      </c>
    </row>
    <row r="231" spans="1:2" x14ac:dyDescent="0.25">
      <c r="A231">
        <v>11990546</v>
      </c>
      <c r="B231" t="s">
        <v>575</v>
      </c>
    </row>
    <row r="232" spans="1:2" x14ac:dyDescent="0.25">
      <c r="A232">
        <v>10701133</v>
      </c>
      <c r="B232" t="s">
        <v>578</v>
      </c>
    </row>
    <row r="233" spans="1:2" x14ac:dyDescent="0.25">
      <c r="A233">
        <v>11559670</v>
      </c>
      <c r="B233" t="s">
        <v>575</v>
      </c>
    </row>
    <row r="234" spans="1:2" x14ac:dyDescent="0.25">
      <c r="A234">
        <v>11344552</v>
      </c>
      <c r="B234" t="s">
        <v>576</v>
      </c>
    </row>
    <row r="235" spans="1:2" x14ac:dyDescent="0.25">
      <c r="A235">
        <v>11420587</v>
      </c>
      <c r="B235" t="s">
        <v>575</v>
      </c>
    </row>
    <row r="236" spans="1:2" x14ac:dyDescent="0.25">
      <c r="A236">
        <v>11769401</v>
      </c>
      <c r="B236" t="s">
        <v>575</v>
      </c>
    </row>
    <row r="237" spans="1:2" x14ac:dyDescent="0.25">
      <c r="A237">
        <v>11959243</v>
      </c>
      <c r="B237" t="s">
        <v>579</v>
      </c>
    </row>
    <row r="238" spans="1:2" x14ac:dyDescent="0.25">
      <c r="A238">
        <v>11865927</v>
      </c>
      <c r="B238" t="s">
        <v>580</v>
      </c>
    </row>
    <row r="239" spans="1:2" x14ac:dyDescent="0.25">
      <c r="A239">
        <v>11033824</v>
      </c>
      <c r="B239" t="s">
        <v>578</v>
      </c>
    </row>
    <row r="240" spans="1:2" x14ac:dyDescent="0.25">
      <c r="A240">
        <v>11568457</v>
      </c>
      <c r="B240" t="s">
        <v>576</v>
      </c>
    </row>
    <row r="241" spans="1:2" x14ac:dyDescent="0.25">
      <c r="A241">
        <v>11745835</v>
      </c>
      <c r="B241" t="s">
        <v>575</v>
      </c>
    </row>
    <row r="242" spans="1:2" x14ac:dyDescent="0.25">
      <c r="A242">
        <v>11368232</v>
      </c>
      <c r="B242" t="s">
        <v>580</v>
      </c>
    </row>
    <row r="243" spans="1:2" x14ac:dyDescent="0.25">
      <c r="A243">
        <v>11741144</v>
      </c>
      <c r="B243" t="s">
        <v>575</v>
      </c>
    </row>
    <row r="244" spans="1:2" x14ac:dyDescent="0.25">
      <c r="A244">
        <v>11558233</v>
      </c>
      <c r="B244" t="s">
        <v>575</v>
      </c>
    </row>
    <row r="245" spans="1:2" x14ac:dyDescent="0.25">
      <c r="A245">
        <v>11826657</v>
      </c>
      <c r="B245" t="s">
        <v>578</v>
      </c>
    </row>
    <row r="246" spans="1:2" x14ac:dyDescent="0.25">
      <c r="A246">
        <v>11873425</v>
      </c>
      <c r="B246" t="s">
        <v>575</v>
      </c>
    </row>
    <row r="247" spans="1:2" x14ac:dyDescent="0.25">
      <c r="A247">
        <v>11598371</v>
      </c>
      <c r="B247" t="s">
        <v>575</v>
      </c>
    </row>
    <row r="248" spans="1:2" x14ac:dyDescent="0.25">
      <c r="A248">
        <v>11884177</v>
      </c>
      <c r="B248" t="s">
        <v>579</v>
      </c>
    </row>
    <row r="249" spans="1:2" x14ac:dyDescent="0.25">
      <c r="A249">
        <v>12001071</v>
      </c>
      <c r="B249" t="s">
        <v>580</v>
      </c>
    </row>
    <row r="250" spans="1:2" x14ac:dyDescent="0.25">
      <c r="A250">
        <v>12007688</v>
      </c>
      <c r="B250" t="s">
        <v>578</v>
      </c>
    </row>
    <row r="251" spans="1:2" x14ac:dyDescent="0.25">
      <c r="A251">
        <v>11583377</v>
      </c>
      <c r="B251" t="s">
        <v>579</v>
      </c>
    </row>
    <row r="252" spans="1:2" x14ac:dyDescent="0.25">
      <c r="A252">
        <v>11928126</v>
      </c>
      <c r="B252" t="s">
        <v>578</v>
      </c>
    </row>
    <row r="253" spans="1:2" x14ac:dyDescent="0.25">
      <c r="A253">
        <v>11407842</v>
      </c>
      <c r="B253" t="s">
        <v>575</v>
      </c>
    </row>
    <row r="254" spans="1:2" x14ac:dyDescent="0.25">
      <c r="A254">
        <v>11745625</v>
      </c>
      <c r="B254" t="s">
        <v>575</v>
      </c>
    </row>
    <row r="255" spans="1:2" x14ac:dyDescent="0.25">
      <c r="A255">
        <v>11969099</v>
      </c>
      <c r="B255" t="s">
        <v>576</v>
      </c>
    </row>
    <row r="256" spans="1:2" x14ac:dyDescent="0.25">
      <c r="A256">
        <v>11557524</v>
      </c>
      <c r="B256" t="s">
        <v>575</v>
      </c>
    </row>
    <row r="257" spans="1:2" x14ac:dyDescent="0.25">
      <c r="A257">
        <v>11725724</v>
      </c>
      <c r="B257" t="s">
        <v>580</v>
      </c>
    </row>
    <row r="258" spans="1:2" x14ac:dyDescent="0.25">
      <c r="A258">
        <v>11761662</v>
      </c>
      <c r="B258" t="s">
        <v>578</v>
      </c>
    </row>
    <row r="259" spans="1:2" x14ac:dyDescent="0.25">
      <c r="A259">
        <v>11564415</v>
      </c>
      <c r="B259" t="s">
        <v>577</v>
      </c>
    </row>
    <row r="260" spans="1:2" x14ac:dyDescent="0.25">
      <c r="A260">
        <v>11920359</v>
      </c>
      <c r="B260" t="s">
        <v>575</v>
      </c>
    </row>
    <row r="261" spans="1:2" x14ac:dyDescent="0.25">
      <c r="A261">
        <v>11391217</v>
      </c>
      <c r="B261" t="s">
        <v>578</v>
      </c>
    </row>
    <row r="262" spans="1:2" x14ac:dyDescent="0.25">
      <c r="A262">
        <v>11428491</v>
      </c>
      <c r="B262" t="s">
        <v>576</v>
      </c>
    </row>
    <row r="263" spans="1:2" x14ac:dyDescent="0.25">
      <c r="A263">
        <v>11009362</v>
      </c>
      <c r="B263" t="s">
        <v>575</v>
      </c>
    </row>
    <row r="264" spans="1:2" x14ac:dyDescent="0.25">
      <c r="A264">
        <v>11920631</v>
      </c>
    </row>
    <row r="265" spans="1:2" x14ac:dyDescent="0.25">
      <c r="A265">
        <v>11975237</v>
      </c>
      <c r="B265" t="s">
        <v>578</v>
      </c>
    </row>
    <row r="266" spans="1:2" x14ac:dyDescent="0.25">
      <c r="A266">
        <v>11093405</v>
      </c>
      <c r="B266" t="s">
        <v>580</v>
      </c>
    </row>
    <row r="267" spans="1:2" x14ac:dyDescent="0.25">
      <c r="A267">
        <v>11281325</v>
      </c>
      <c r="B267" t="s">
        <v>577</v>
      </c>
    </row>
    <row r="268" spans="1:2" x14ac:dyDescent="0.25">
      <c r="A268">
        <v>10598364</v>
      </c>
      <c r="B268" t="s">
        <v>580</v>
      </c>
    </row>
    <row r="269" spans="1:2" x14ac:dyDescent="0.25">
      <c r="A269">
        <v>11464886</v>
      </c>
      <c r="B269" t="s">
        <v>579</v>
      </c>
    </row>
    <row r="270" spans="1:2" x14ac:dyDescent="0.25">
      <c r="A270">
        <v>11303526</v>
      </c>
      <c r="B270" t="s">
        <v>575</v>
      </c>
    </row>
    <row r="271" spans="1:2" x14ac:dyDescent="0.25">
      <c r="A271">
        <v>12012715</v>
      </c>
      <c r="B271" t="s">
        <v>579</v>
      </c>
    </row>
    <row r="272" spans="1:2" x14ac:dyDescent="0.25">
      <c r="A272">
        <v>10872965</v>
      </c>
      <c r="B272" t="s">
        <v>578</v>
      </c>
    </row>
    <row r="273" spans="1:2" x14ac:dyDescent="0.25">
      <c r="A273">
        <v>11111140</v>
      </c>
      <c r="B273" t="s">
        <v>575</v>
      </c>
    </row>
    <row r="274" spans="1:2" x14ac:dyDescent="0.25">
      <c r="A274">
        <v>12024483</v>
      </c>
      <c r="B274" t="s">
        <v>578</v>
      </c>
    </row>
    <row r="275" spans="1:2" x14ac:dyDescent="0.25">
      <c r="A275">
        <v>11078220</v>
      </c>
      <c r="B275" t="s">
        <v>576</v>
      </c>
    </row>
    <row r="276" spans="1:2" x14ac:dyDescent="0.25">
      <c r="A276">
        <v>11890851</v>
      </c>
      <c r="B276" t="s">
        <v>578</v>
      </c>
    </row>
    <row r="277" spans="1:2" x14ac:dyDescent="0.25">
      <c r="A277">
        <v>11067899</v>
      </c>
      <c r="B277" t="s">
        <v>578</v>
      </c>
    </row>
    <row r="278" spans="1:2" x14ac:dyDescent="0.25">
      <c r="A278">
        <v>10911396</v>
      </c>
      <c r="B278" t="s">
        <v>575</v>
      </c>
    </row>
    <row r="279" spans="1:2" x14ac:dyDescent="0.25">
      <c r="A279">
        <v>10915618</v>
      </c>
      <c r="B279" t="s">
        <v>575</v>
      </c>
    </row>
    <row r="280" spans="1:2" x14ac:dyDescent="0.25">
      <c r="A280">
        <v>11382329</v>
      </c>
      <c r="B280" t="s">
        <v>576</v>
      </c>
    </row>
    <row r="281" spans="1:2" x14ac:dyDescent="0.25">
      <c r="A281">
        <v>10607404</v>
      </c>
      <c r="B281" t="s">
        <v>575</v>
      </c>
    </row>
    <row r="282" spans="1:2" x14ac:dyDescent="0.25">
      <c r="A282">
        <v>10911301</v>
      </c>
      <c r="B282" t="s">
        <v>577</v>
      </c>
    </row>
    <row r="283" spans="1:2" x14ac:dyDescent="0.25">
      <c r="A283">
        <v>10683100</v>
      </c>
      <c r="B283" t="s">
        <v>575</v>
      </c>
    </row>
    <row r="284" spans="1:2" x14ac:dyDescent="0.25">
      <c r="A284">
        <v>10573985</v>
      </c>
      <c r="B284" t="s">
        <v>576</v>
      </c>
    </row>
    <row r="285" spans="1:2" x14ac:dyDescent="0.25">
      <c r="A285">
        <v>10595396</v>
      </c>
      <c r="B285" t="s">
        <v>575</v>
      </c>
    </row>
    <row r="286" spans="1:2" x14ac:dyDescent="0.25">
      <c r="A286">
        <v>11754585</v>
      </c>
      <c r="B286" t="s">
        <v>579</v>
      </c>
    </row>
    <row r="287" spans="1:2" x14ac:dyDescent="0.25">
      <c r="A287">
        <v>11752990</v>
      </c>
      <c r="B287" t="s">
        <v>575</v>
      </c>
    </row>
    <row r="288" spans="1:2" x14ac:dyDescent="0.25">
      <c r="A288">
        <v>11483392</v>
      </c>
      <c r="B288" t="s">
        <v>575</v>
      </c>
    </row>
    <row r="289" spans="1:2" x14ac:dyDescent="0.25">
      <c r="A289">
        <v>10838880</v>
      </c>
      <c r="B289" t="s">
        <v>575</v>
      </c>
    </row>
    <row r="290" spans="1:2" x14ac:dyDescent="0.25">
      <c r="A290">
        <v>11564721</v>
      </c>
      <c r="B290" t="s">
        <v>576</v>
      </c>
    </row>
    <row r="291" spans="1:2" x14ac:dyDescent="0.25">
      <c r="A291">
        <v>11247875</v>
      </c>
      <c r="B291" t="s">
        <v>575</v>
      </c>
    </row>
    <row r="292" spans="1:2" x14ac:dyDescent="0.25">
      <c r="A292">
        <v>10967363</v>
      </c>
      <c r="B292" t="s">
        <v>576</v>
      </c>
    </row>
    <row r="293" spans="1:2" x14ac:dyDescent="0.25">
      <c r="A293">
        <v>10967363</v>
      </c>
      <c r="B293" t="s">
        <v>576</v>
      </c>
    </row>
    <row r="294" spans="1:2" x14ac:dyDescent="0.25">
      <c r="A294">
        <v>10824534</v>
      </c>
      <c r="B294" t="s">
        <v>575</v>
      </c>
    </row>
    <row r="295" spans="1:2" x14ac:dyDescent="0.25">
      <c r="A295">
        <v>11733670</v>
      </c>
      <c r="B295" t="s">
        <v>579</v>
      </c>
    </row>
    <row r="296" spans="1:2" x14ac:dyDescent="0.25">
      <c r="A296">
        <v>10724788</v>
      </c>
      <c r="B296" t="s">
        <v>575</v>
      </c>
    </row>
    <row r="297" spans="1:2" x14ac:dyDescent="0.25">
      <c r="A297">
        <v>11560398</v>
      </c>
      <c r="B297" t="s">
        <v>577</v>
      </c>
    </row>
    <row r="298" spans="1:2" x14ac:dyDescent="0.25">
      <c r="A298">
        <v>11407595</v>
      </c>
      <c r="B298" t="s">
        <v>577</v>
      </c>
    </row>
    <row r="299" spans="1:2" x14ac:dyDescent="0.25">
      <c r="A299">
        <v>11902302</v>
      </c>
      <c r="B299" t="s">
        <v>576</v>
      </c>
    </row>
    <row r="300" spans="1:2" x14ac:dyDescent="0.25">
      <c r="A300">
        <v>11401562</v>
      </c>
      <c r="B300" t="s">
        <v>579</v>
      </c>
    </row>
    <row r="301" spans="1:2" x14ac:dyDescent="0.25">
      <c r="A301">
        <v>11115488</v>
      </c>
      <c r="B301" t="s">
        <v>577</v>
      </c>
    </row>
    <row r="302" spans="1:2" x14ac:dyDescent="0.25">
      <c r="A302">
        <v>11263911</v>
      </c>
      <c r="B302" t="s">
        <v>579</v>
      </c>
    </row>
    <row r="303" spans="1:2" x14ac:dyDescent="0.25">
      <c r="A303">
        <v>11901215</v>
      </c>
      <c r="B303" t="s">
        <v>579</v>
      </c>
    </row>
    <row r="304" spans="1:2" x14ac:dyDescent="0.25">
      <c r="A304">
        <v>11422021</v>
      </c>
      <c r="B304" t="s">
        <v>580</v>
      </c>
    </row>
    <row r="305" spans="1:2" x14ac:dyDescent="0.25">
      <c r="A305">
        <v>10749590</v>
      </c>
    </row>
    <row r="306" spans="1:2" x14ac:dyDescent="0.25">
      <c r="A306">
        <v>10795816</v>
      </c>
      <c r="B306" t="s">
        <v>576</v>
      </c>
    </row>
    <row r="307" spans="1:2" x14ac:dyDescent="0.25">
      <c r="A307">
        <v>10893294</v>
      </c>
      <c r="B307" t="s">
        <v>578</v>
      </c>
    </row>
    <row r="308" spans="1:2" x14ac:dyDescent="0.25">
      <c r="A308">
        <v>11567791</v>
      </c>
      <c r="B308" t="s">
        <v>580</v>
      </c>
    </row>
    <row r="309" spans="1:2" x14ac:dyDescent="0.25">
      <c r="A309">
        <v>11406873</v>
      </c>
      <c r="B309" t="s">
        <v>575</v>
      </c>
    </row>
    <row r="310" spans="1:2" x14ac:dyDescent="0.25">
      <c r="A310">
        <v>10884738</v>
      </c>
      <c r="B310" t="s">
        <v>580</v>
      </c>
    </row>
    <row r="311" spans="1:2" x14ac:dyDescent="0.25">
      <c r="A311">
        <v>10912551</v>
      </c>
      <c r="B311" t="s">
        <v>579</v>
      </c>
    </row>
    <row r="312" spans="1:2" x14ac:dyDescent="0.25">
      <c r="A312">
        <v>11738816</v>
      </c>
      <c r="B312" t="s">
        <v>575</v>
      </c>
    </row>
    <row r="313" spans="1:2" x14ac:dyDescent="0.25">
      <c r="A313">
        <v>11266644</v>
      </c>
      <c r="B313" t="s">
        <v>578</v>
      </c>
    </row>
    <row r="314" spans="1:2" x14ac:dyDescent="0.25">
      <c r="A314">
        <v>11678652</v>
      </c>
      <c r="B314" t="s">
        <v>575</v>
      </c>
    </row>
    <row r="315" spans="1:2" x14ac:dyDescent="0.25">
      <c r="A315">
        <v>11847945</v>
      </c>
      <c r="B315" t="s">
        <v>575</v>
      </c>
    </row>
    <row r="316" spans="1:2" x14ac:dyDescent="0.25">
      <c r="A316">
        <v>11811803</v>
      </c>
      <c r="B316" t="s">
        <v>576</v>
      </c>
    </row>
    <row r="317" spans="1:2" x14ac:dyDescent="0.25">
      <c r="A317">
        <v>11790136</v>
      </c>
      <c r="B317" t="s">
        <v>575</v>
      </c>
    </row>
    <row r="318" spans="1:2" x14ac:dyDescent="0.25">
      <c r="A318">
        <v>11613619</v>
      </c>
      <c r="B318" t="s">
        <v>575</v>
      </c>
    </row>
    <row r="319" spans="1:2" x14ac:dyDescent="0.25">
      <c r="A319">
        <v>10782343</v>
      </c>
      <c r="B319" t="s">
        <v>575</v>
      </c>
    </row>
    <row r="320" spans="1:2" x14ac:dyDescent="0.25">
      <c r="A320">
        <v>11832932</v>
      </c>
      <c r="B320" t="s">
        <v>575</v>
      </c>
    </row>
    <row r="321" spans="1:2" x14ac:dyDescent="0.25">
      <c r="A321">
        <v>10881687</v>
      </c>
      <c r="B321" t="s">
        <v>575</v>
      </c>
    </row>
    <row r="322" spans="1:2" x14ac:dyDescent="0.25">
      <c r="A322">
        <v>11072481</v>
      </c>
      <c r="B322" t="s">
        <v>576</v>
      </c>
    </row>
    <row r="323" spans="1:2" x14ac:dyDescent="0.25">
      <c r="A323">
        <v>11555809</v>
      </c>
      <c r="B323" t="s">
        <v>575</v>
      </c>
    </row>
    <row r="324" spans="1:2" x14ac:dyDescent="0.25">
      <c r="A324">
        <v>10875489</v>
      </c>
      <c r="B324" t="s">
        <v>575</v>
      </c>
    </row>
    <row r="325" spans="1:2" x14ac:dyDescent="0.25">
      <c r="A325">
        <v>11610396</v>
      </c>
      <c r="B325" t="s">
        <v>575</v>
      </c>
    </row>
    <row r="326" spans="1:2" x14ac:dyDescent="0.25">
      <c r="A326">
        <v>10926403</v>
      </c>
      <c r="B326" t="s">
        <v>575</v>
      </c>
    </row>
    <row r="327" spans="1:2" x14ac:dyDescent="0.25">
      <c r="A327">
        <v>11294899</v>
      </c>
      <c r="B327" t="s">
        <v>576</v>
      </c>
    </row>
    <row r="328" spans="1:2" x14ac:dyDescent="0.25">
      <c r="A328">
        <v>11031338</v>
      </c>
      <c r="B328" t="s">
        <v>575</v>
      </c>
    </row>
    <row r="329" spans="1:2" x14ac:dyDescent="0.25">
      <c r="A329">
        <v>11755391</v>
      </c>
      <c r="B329" t="s">
        <v>575</v>
      </c>
    </row>
    <row r="330" spans="1:2" x14ac:dyDescent="0.25">
      <c r="A330">
        <v>11271376</v>
      </c>
      <c r="B330" t="s">
        <v>575</v>
      </c>
    </row>
    <row r="331" spans="1:2" x14ac:dyDescent="0.25">
      <c r="A331">
        <v>10869062</v>
      </c>
      <c r="B331" t="s">
        <v>575</v>
      </c>
    </row>
    <row r="332" spans="1:2" x14ac:dyDescent="0.25">
      <c r="A332">
        <v>11679182</v>
      </c>
      <c r="B332" t="s">
        <v>575</v>
      </c>
    </row>
    <row r="333" spans="1:2" x14ac:dyDescent="0.25">
      <c r="A333">
        <v>11661528</v>
      </c>
      <c r="B333" t="s">
        <v>575</v>
      </c>
    </row>
    <row r="334" spans="1:2" x14ac:dyDescent="0.25">
      <c r="A334">
        <v>11171593</v>
      </c>
      <c r="B334" t="s">
        <v>575</v>
      </c>
    </row>
    <row r="335" spans="1:2" x14ac:dyDescent="0.25">
      <c r="A335">
        <v>10665780</v>
      </c>
      <c r="B335" t="s">
        <v>578</v>
      </c>
    </row>
    <row r="336" spans="1:2" x14ac:dyDescent="0.25">
      <c r="A336">
        <v>11129279</v>
      </c>
      <c r="B336" t="s">
        <v>575</v>
      </c>
    </row>
    <row r="337" spans="1:2" x14ac:dyDescent="0.25">
      <c r="A337">
        <v>11129279</v>
      </c>
      <c r="B337" t="s">
        <v>575</v>
      </c>
    </row>
    <row r="338" spans="1:2" x14ac:dyDescent="0.25">
      <c r="A338">
        <v>11893994</v>
      </c>
      <c r="B338" t="s">
        <v>579</v>
      </c>
    </row>
    <row r="339" spans="1:2" x14ac:dyDescent="0.25">
      <c r="A339">
        <v>11372318</v>
      </c>
      <c r="B339" t="s">
        <v>576</v>
      </c>
    </row>
    <row r="340" spans="1:2" x14ac:dyDescent="0.25">
      <c r="A340">
        <v>11659772</v>
      </c>
      <c r="B340" t="s">
        <v>578</v>
      </c>
    </row>
    <row r="341" spans="1:2" x14ac:dyDescent="0.25">
      <c r="A341">
        <v>10887561</v>
      </c>
    </row>
    <row r="342" spans="1:2" x14ac:dyDescent="0.25">
      <c r="A342">
        <v>10754956</v>
      </c>
      <c r="B342" t="s">
        <v>578</v>
      </c>
    </row>
    <row r="343" spans="1:2" x14ac:dyDescent="0.25">
      <c r="A343">
        <v>10863129</v>
      </c>
      <c r="B343" t="s">
        <v>578</v>
      </c>
    </row>
    <row r="344" spans="1:2" x14ac:dyDescent="0.25">
      <c r="A344">
        <v>10572026</v>
      </c>
      <c r="B344" t="s">
        <v>580</v>
      </c>
    </row>
    <row r="345" spans="1:2" x14ac:dyDescent="0.25">
      <c r="A345">
        <v>10620735</v>
      </c>
      <c r="B345" t="s">
        <v>575</v>
      </c>
    </row>
    <row r="346" spans="1:2" x14ac:dyDescent="0.25">
      <c r="A346">
        <v>10598070</v>
      </c>
      <c r="B346" t="s">
        <v>578</v>
      </c>
    </row>
    <row r="347" spans="1:2" x14ac:dyDescent="0.25">
      <c r="A347">
        <v>12020098</v>
      </c>
      <c r="B347" t="s">
        <v>575</v>
      </c>
    </row>
    <row r="348" spans="1:2" x14ac:dyDescent="0.25">
      <c r="A348">
        <v>10695016</v>
      </c>
      <c r="B348" t="s">
        <v>575</v>
      </c>
    </row>
    <row r="349" spans="1:2" x14ac:dyDescent="0.25">
      <c r="A349">
        <v>10793315</v>
      </c>
      <c r="B349" t="s">
        <v>575</v>
      </c>
    </row>
    <row r="350" spans="1:2" x14ac:dyDescent="0.25">
      <c r="A350">
        <v>11906727</v>
      </c>
      <c r="B350" t="s">
        <v>575</v>
      </c>
    </row>
    <row r="351" spans="1:2" x14ac:dyDescent="0.25">
      <c r="A351">
        <v>11741364</v>
      </c>
    </row>
    <row r="352" spans="1:2" x14ac:dyDescent="0.25">
      <c r="A352">
        <v>11817612</v>
      </c>
    </row>
    <row r="353" spans="1:1" x14ac:dyDescent="0.25">
      <c r="A353">
        <v>11817238</v>
      </c>
    </row>
    <row r="354" spans="1:1" x14ac:dyDescent="0.25">
      <c r="A354">
        <v>11817265</v>
      </c>
    </row>
    <row r="355" spans="1:1" x14ac:dyDescent="0.25">
      <c r="A355">
        <v>11757043</v>
      </c>
    </row>
    <row r="356" spans="1:1" x14ac:dyDescent="0.25">
      <c r="A356">
        <v>11684341</v>
      </c>
    </row>
    <row r="357" spans="1:1" x14ac:dyDescent="0.25">
      <c r="A357">
        <v>11997607</v>
      </c>
    </row>
    <row r="358" spans="1:1" x14ac:dyDescent="0.25">
      <c r="A358">
        <v>11773554</v>
      </c>
    </row>
    <row r="359" spans="1:1" x14ac:dyDescent="0.25">
      <c r="A359">
        <v>11774286</v>
      </c>
    </row>
    <row r="360" spans="1:1" x14ac:dyDescent="0.25">
      <c r="A360">
        <v>11741116</v>
      </c>
    </row>
    <row r="361" spans="1:1" x14ac:dyDescent="0.25">
      <c r="A361">
        <v>11741396</v>
      </c>
    </row>
    <row r="362" spans="1:1" x14ac:dyDescent="0.25">
      <c r="A362">
        <v>11741433</v>
      </c>
    </row>
    <row r="363" spans="1:1" x14ac:dyDescent="0.25">
      <c r="A363">
        <v>11740914</v>
      </c>
    </row>
    <row r="364" spans="1:1" x14ac:dyDescent="0.25">
      <c r="A364">
        <v>11740967</v>
      </c>
    </row>
    <row r="365" spans="1:1" x14ac:dyDescent="0.25">
      <c r="A365">
        <v>11740982</v>
      </c>
    </row>
    <row r="366" spans="1:1" x14ac:dyDescent="0.25">
      <c r="A366">
        <v>11600344</v>
      </c>
    </row>
    <row r="367" spans="1:1" x14ac:dyDescent="0.25">
      <c r="A367">
        <v>12013373</v>
      </c>
    </row>
    <row r="368" spans="1:1" x14ac:dyDescent="0.25">
      <c r="A368">
        <v>11889570</v>
      </c>
    </row>
    <row r="369" spans="1:1" x14ac:dyDescent="0.25">
      <c r="A369">
        <v>11832504</v>
      </c>
    </row>
    <row r="370" spans="1:1" x14ac:dyDescent="0.25">
      <c r="A370">
        <v>11817312</v>
      </c>
    </row>
    <row r="371" spans="1:1" x14ac:dyDescent="0.25">
      <c r="A371">
        <v>11817562</v>
      </c>
    </row>
    <row r="372" spans="1:1" x14ac:dyDescent="0.25">
      <c r="A372">
        <v>11817754</v>
      </c>
    </row>
    <row r="373" spans="1:1" x14ac:dyDescent="0.25">
      <c r="A373">
        <v>11817815</v>
      </c>
    </row>
    <row r="374" spans="1:1" x14ac:dyDescent="0.25">
      <c r="A374">
        <v>11831953</v>
      </c>
    </row>
    <row r="375" spans="1:1" x14ac:dyDescent="0.25">
      <c r="A375">
        <v>11070133</v>
      </c>
    </row>
    <row r="376" spans="1:1" x14ac:dyDescent="0.25">
      <c r="A376">
        <v>11068445</v>
      </c>
    </row>
    <row r="377" spans="1:1" x14ac:dyDescent="0.25">
      <c r="A377">
        <v>11068460</v>
      </c>
    </row>
    <row r="378" spans="1:1" x14ac:dyDescent="0.25">
      <c r="A378">
        <v>11067285</v>
      </c>
    </row>
    <row r="379" spans="1:1" x14ac:dyDescent="0.25">
      <c r="A379">
        <v>11997653</v>
      </c>
    </row>
    <row r="380" spans="1:1" x14ac:dyDescent="0.25">
      <c r="A380">
        <v>11832424</v>
      </c>
    </row>
    <row r="381" spans="1:1" x14ac:dyDescent="0.25">
      <c r="A381">
        <v>12013087</v>
      </c>
    </row>
    <row r="382" spans="1:1" x14ac:dyDescent="0.25">
      <c r="A382">
        <v>12013225</v>
      </c>
    </row>
    <row r="383" spans="1:1" x14ac:dyDescent="0.25">
      <c r="A383">
        <v>11817176</v>
      </c>
    </row>
    <row r="384" spans="1:1" x14ac:dyDescent="0.25">
      <c r="A384">
        <v>11817209</v>
      </c>
    </row>
    <row r="385" spans="1:1" x14ac:dyDescent="0.25">
      <c r="A385">
        <v>12013244</v>
      </c>
    </row>
    <row r="386" spans="1:1" x14ac:dyDescent="0.25">
      <c r="A386">
        <v>11890649</v>
      </c>
    </row>
    <row r="387" spans="1:1" x14ac:dyDescent="0.25">
      <c r="A387">
        <v>11997578</v>
      </c>
    </row>
    <row r="388" spans="1:1" x14ac:dyDescent="0.25">
      <c r="A388">
        <v>11899637</v>
      </c>
    </row>
    <row r="389" spans="1:1" x14ac:dyDescent="0.25">
      <c r="A389">
        <v>12011806</v>
      </c>
    </row>
    <row r="390" spans="1:1" x14ac:dyDescent="0.25">
      <c r="A390">
        <v>12012359</v>
      </c>
    </row>
    <row r="391" spans="1:1" x14ac:dyDescent="0.25">
      <c r="A391">
        <v>11067204</v>
      </c>
    </row>
    <row r="392" spans="1:1" x14ac:dyDescent="0.25">
      <c r="A392">
        <v>12013259</v>
      </c>
    </row>
    <row r="393" spans="1:1" x14ac:dyDescent="0.25">
      <c r="A393">
        <v>12013280</v>
      </c>
    </row>
    <row r="394" spans="1:1" x14ac:dyDescent="0.25">
      <c r="A394">
        <v>11757420</v>
      </c>
    </row>
    <row r="395" spans="1:1" x14ac:dyDescent="0.25">
      <c r="A395">
        <v>11831938</v>
      </c>
    </row>
    <row r="396" spans="1:1" x14ac:dyDescent="0.25">
      <c r="A396">
        <v>11773509</v>
      </c>
    </row>
    <row r="397" spans="1:1" x14ac:dyDescent="0.25">
      <c r="A397">
        <v>12011842</v>
      </c>
    </row>
    <row r="398" spans="1:1" x14ac:dyDescent="0.25">
      <c r="A398">
        <v>11817106</v>
      </c>
    </row>
    <row r="399" spans="1:1" x14ac:dyDescent="0.25">
      <c r="A399">
        <v>11817284</v>
      </c>
    </row>
    <row r="400" spans="1:1" x14ac:dyDescent="0.25">
      <c r="A400">
        <v>11817507</v>
      </c>
    </row>
    <row r="401" spans="1:2" x14ac:dyDescent="0.25">
      <c r="A401">
        <v>11817540</v>
      </c>
    </row>
    <row r="402" spans="1:2" x14ac:dyDescent="0.25">
      <c r="A402">
        <v>11817728</v>
      </c>
    </row>
    <row r="403" spans="1:2" x14ac:dyDescent="0.25">
      <c r="A403">
        <v>11817779</v>
      </c>
    </row>
    <row r="404" spans="1:2" x14ac:dyDescent="0.25">
      <c r="A404">
        <v>11817943</v>
      </c>
    </row>
    <row r="405" spans="1:2" x14ac:dyDescent="0.25">
      <c r="A405">
        <v>11817970</v>
      </c>
    </row>
    <row r="406" spans="1:2" x14ac:dyDescent="0.25">
      <c r="A406">
        <v>11817857</v>
      </c>
    </row>
    <row r="407" spans="1:2" x14ac:dyDescent="0.25">
      <c r="A407">
        <v>10630317</v>
      </c>
      <c r="B407" t="s">
        <v>576</v>
      </c>
    </row>
    <row r="408" spans="1:2" x14ac:dyDescent="0.25">
      <c r="A408">
        <v>11096675</v>
      </c>
      <c r="B408" t="s">
        <v>580</v>
      </c>
    </row>
    <row r="409" spans="1:2" x14ac:dyDescent="0.25">
      <c r="A409">
        <v>10697418</v>
      </c>
      <c r="B409" t="s">
        <v>575</v>
      </c>
    </row>
    <row r="410" spans="1:2" x14ac:dyDescent="0.25">
      <c r="A410">
        <v>11507173</v>
      </c>
      <c r="B410" t="s">
        <v>575</v>
      </c>
    </row>
    <row r="411" spans="1:2" x14ac:dyDescent="0.25">
      <c r="A411">
        <v>11508459</v>
      </c>
      <c r="B411" t="s">
        <v>575</v>
      </c>
    </row>
    <row r="412" spans="1:2" x14ac:dyDescent="0.25">
      <c r="A412">
        <v>10583824</v>
      </c>
      <c r="B412" t="s">
        <v>579</v>
      </c>
    </row>
    <row r="413" spans="1:2" x14ac:dyDescent="0.25">
      <c r="A413">
        <v>10873644</v>
      </c>
      <c r="B413" t="s">
        <v>578</v>
      </c>
    </row>
    <row r="414" spans="1:2" x14ac:dyDescent="0.25">
      <c r="A414">
        <v>11544104</v>
      </c>
      <c r="B414" t="s">
        <v>580</v>
      </c>
    </row>
    <row r="415" spans="1:2" x14ac:dyDescent="0.25">
      <c r="A415">
        <v>10596858</v>
      </c>
      <c r="B415" t="s">
        <v>575</v>
      </c>
    </row>
    <row r="416" spans="1:2" x14ac:dyDescent="0.25">
      <c r="A416">
        <v>11843144</v>
      </c>
      <c r="B416" t="s">
        <v>576</v>
      </c>
    </row>
    <row r="417" spans="1:2" x14ac:dyDescent="0.25">
      <c r="A417">
        <v>11906028</v>
      </c>
      <c r="B417" t="s">
        <v>575</v>
      </c>
    </row>
    <row r="418" spans="1:2" x14ac:dyDescent="0.25">
      <c r="A418">
        <v>10973405</v>
      </c>
    </row>
    <row r="419" spans="1:2" x14ac:dyDescent="0.25">
      <c r="A419">
        <v>11381359</v>
      </c>
      <c r="B419" t="s">
        <v>575</v>
      </c>
    </row>
    <row r="420" spans="1:2" x14ac:dyDescent="0.25">
      <c r="A420">
        <v>11089424</v>
      </c>
      <c r="B420" t="s">
        <v>579</v>
      </c>
    </row>
    <row r="421" spans="1:2" x14ac:dyDescent="0.25">
      <c r="A421">
        <v>11378172</v>
      </c>
      <c r="B421" t="s">
        <v>577</v>
      </c>
    </row>
    <row r="422" spans="1:2" x14ac:dyDescent="0.25">
      <c r="A422">
        <v>10566317</v>
      </c>
      <c r="B422" t="s">
        <v>575</v>
      </c>
    </row>
    <row r="423" spans="1:2" x14ac:dyDescent="0.25">
      <c r="A423">
        <v>11238517</v>
      </c>
      <c r="B423" t="s">
        <v>577</v>
      </c>
    </row>
    <row r="424" spans="1:2" x14ac:dyDescent="0.25">
      <c r="A424">
        <v>10639628</v>
      </c>
      <c r="B424" t="s">
        <v>578</v>
      </c>
    </row>
    <row r="425" spans="1:2" x14ac:dyDescent="0.25">
      <c r="A425">
        <v>11278708</v>
      </c>
      <c r="B425" t="s">
        <v>576</v>
      </c>
    </row>
    <row r="426" spans="1:2" x14ac:dyDescent="0.25">
      <c r="A426">
        <v>10831945</v>
      </c>
      <c r="B426" t="s">
        <v>575</v>
      </c>
    </row>
    <row r="427" spans="1:2" x14ac:dyDescent="0.25">
      <c r="A427">
        <v>10982578</v>
      </c>
      <c r="B427" t="s">
        <v>579</v>
      </c>
    </row>
    <row r="428" spans="1:2" x14ac:dyDescent="0.25">
      <c r="A428">
        <v>12024523</v>
      </c>
      <c r="B428" t="s">
        <v>575</v>
      </c>
    </row>
    <row r="429" spans="1:2" x14ac:dyDescent="0.25">
      <c r="A429">
        <v>10955140</v>
      </c>
      <c r="B429" t="s">
        <v>579</v>
      </c>
    </row>
    <row r="430" spans="1:2" x14ac:dyDescent="0.25">
      <c r="A430">
        <v>11693180</v>
      </c>
      <c r="B430" t="s">
        <v>579</v>
      </c>
    </row>
    <row r="431" spans="1:2" x14ac:dyDescent="0.25">
      <c r="A431">
        <v>10700751</v>
      </c>
      <c r="B431" t="s">
        <v>580</v>
      </c>
    </row>
    <row r="432" spans="1:2" x14ac:dyDescent="0.25">
      <c r="A432">
        <v>10741561</v>
      </c>
      <c r="B432" t="s">
        <v>578</v>
      </c>
    </row>
    <row r="433" spans="1:2" x14ac:dyDescent="0.25">
      <c r="A433">
        <v>11063476</v>
      </c>
      <c r="B433" t="s">
        <v>578</v>
      </c>
    </row>
    <row r="434" spans="1:2" x14ac:dyDescent="0.25">
      <c r="A434">
        <v>11577253</v>
      </c>
      <c r="B434" t="s">
        <v>576</v>
      </c>
    </row>
    <row r="435" spans="1:2" x14ac:dyDescent="0.25">
      <c r="A435">
        <v>11603854</v>
      </c>
      <c r="B435" t="s">
        <v>579</v>
      </c>
    </row>
    <row r="436" spans="1:2" x14ac:dyDescent="0.25">
      <c r="A436">
        <v>10749012</v>
      </c>
      <c r="B436" t="s">
        <v>580</v>
      </c>
    </row>
    <row r="437" spans="1:2" x14ac:dyDescent="0.25">
      <c r="A437">
        <v>11559327</v>
      </c>
      <c r="B437" t="s">
        <v>580</v>
      </c>
    </row>
    <row r="438" spans="1:2" x14ac:dyDescent="0.25">
      <c r="A438">
        <v>11361839</v>
      </c>
      <c r="B438" t="s">
        <v>575</v>
      </c>
    </row>
    <row r="439" spans="1:2" x14ac:dyDescent="0.25">
      <c r="A439">
        <v>10681703</v>
      </c>
      <c r="B439" t="s">
        <v>576</v>
      </c>
    </row>
    <row r="440" spans="1:2" x14ac:dyDescent="0.25">
      <c r="A440">
        <v>11552018</v>
      </c>
      <c r="B440" t="s">
        <v>580</v>
      </c>
    </row>
    <row r="441" spans="1:2" x14ac:dyDescent="0.25">
      <c r="A441">
        <v>11557819</v>
      </c>
      <c r="B441" t="s">
        <v>576</v>
      </c>
    </row>
    <row r="442" spans="1:2" x14ac:dyDescent="0.25">
      <c r="A442">
        <v>11456879</v>
      </c>
      <c r="B442" t="s">
        <v>575</v>
      </c>
    </row>
    <row r="443" spans="1:2" x14ac:dyDescent="0.25">
      <c r="A443">
        <v>11354531</v>
      </c>
      <c r="B443" t="s">
        <v>576</v>
      </c>
    </row>
    <row r="444" spans="1:2" x14ac:dyDescent="0.25">
      <c r="A444">
        <v>11451537</v>
      </c>
      <c r="B444" t="s">
        <v>578</v>
      </c>
    </row>
    <row r="445" spans="1:2" x14ac:dyDescent="0.25">
      <c r="A445">
        <v>11604211</v>
      </c>
      <c r="B445" t="s">
        <v>580</v>
      </c>
    </row>
    <row r="446" spans="1:2" x14ac:dyDescent="0.25">
      <c r="A446">
        <v>11358865</v>
      </c>
      <c r="B446" t="s">
        <v>580</v>
      </c>
    </row>
    <row r="447" spans="1:2" x14ac:dyDescent="0.25">
      <c r="A447">
        <v>11629274</v>
      </c>
      <c r="B447" t="s">
        <v>579</v>
      </c>
    </row>
    <row r="448" spans="1:2" x14ac:dyDescent="0.25">
      <c r="A448">
        <v>10626886</v>
      </c>
      <c r="B448" t="s">
        <v>580</v>
      </c>
    </row>
    <row r="449" spans="1:2" x14ac:dyDescent="0.25">
      <c r="A449">
        <v>11573016</v>
      </c>
      <c r="B449" t="s">
        <v>577</v>
      </c>
    </row>
    <row r="450" spans="1:2" x14ac:dyDescent="0.25">
      <c r="A450">
        <v>11705265</v>
      </c>
      <c r="B450" t="s">
        <v>579</v>
      </c>
    </row>
    <row r="451" spans="1:2" x14ac:dyDescent="0.25">
      <c r="A451">
        <v>10700341</v>
      </c>
      <c r="B451" t="s">
        <v>576</v>
      </c>
    </row>
    <row r="452" spans="1:2" x14ac:dyDescent="0.25">
      <c r="A452">
        <v>11899897</v>
      </c>
      <c r="B452" t="s">
        <v>577</v>
      </c>
    </row>
    <row r="453" spans="1:2" x14ac:dyDescent="0.25">
      <c r="A453">
        <v>10691985</v>
      </c>
      <c r="B453" t="s">
        <v>575</v>
      </c>
    </row>
    <row r="454" spans="1:2" x14ac:dyDescent="0.25">
      <c r="A454">
        <v>11543442</v>
      </c>
      <c r="B454" t="s">
        <v>580</v>
      </c>
    </row>
    <row r="455" spans="1:2" x14ac:dyDescent="0.25">
      <c r="A455">
        <v>11497559</v>
      </c>
      <c r="B455" t="s">
        <v>575</v>
      </c>
    </row>
    <row r="456" spans="1:2" x14ac:dyDescent="0.25">
      <c r="A456">
        <v>11393874</v>
      </c>
      <c r="B456" t="s">
        <v>575</v>
      </c>
    </row>
    <row r="457" spans="1:2" x14ac:dyDescent="0.25">
      <c r="A457">
        <v>10808173</v>
      </c>
      <c r="B457" t="s">
        <v>575</v>
      </c>
    </row>
    <row r="458" spans="1:2" x14ac:dyDescent="0.25">
      <c r="A458">
        <v>10918335</v>
      </c>
      <c r="B458" t="s">
        <v>576</v>
      </c>
    </row>
    <row r="459" spans="1:2" x14ac:dyDescent="0.25">
      <c r="A459">
        <v>11558932</v>
      </c>
      <c r="B459" t="s">
        <v>578</v>
      </c>
    </row>
    <row r="460" spans="1:2" x14ac:dyDescent="0.25">
      <c r="A460">
        <v>11634655</v>
      </c>
      <c r="B460" t="s">
        <v>578</v>
      </c>
    </row>
    <row r="461" spans="1:2" x14ac:dyDescent="0.25">
      <c r="A461">
        <v>11606409</v>
      </c>
      <c r="B461" t="s">
        <v>578</v>
      </c>
    </row>
    <row r="462" spans="1:2" x14ac:dyDescent="0.25">
      <c r="A462">
        <v>10800533</v>
      </c>
      <c r="B462" t="s">
        <v>580</v>
      </c>
    </row>
    <row r="463" spans="1:2" x14ac:dyDescent="0.25">
      <c r="A463">
        <v>11419977</v>
      </c>
      <c r="B463" t="s">
        <v>576</v>
      </c>
    </row>
    <row r="464" spans="1:2" x14ac:dyDescent="0.25">
      <c r="A464">
        <v>11686300</v>
      </c>
      <c r="B464" t="s">
        <v>580</v>
      </c>
    </row>
    <row r="465" spans="1:2" x14ac:dyDescent="0.25">
      <c r="A465">
        <v>11720665</v>
      </c>
      <c r="B465" t="s">
        <v>576</v>
      </c>
    </row>
    <row r="466" spans="1:2" x14ac:dyDescent="0.25">
      <c r="A466">
        <v>11016916</v>
      </c>
      <c r="B466" t="s">
        <v>580</v>
      </c>
    </row>
    <row r="467" spans="1:2" x14ac:dyDescent="0.25">
      <c r="A467">
        <v>10750150</v>
      </c>
      <c r="B467" t="s">
        <v>578</v>
      </c>
    </row>
    <row r="468" spans="1:2" x14ac:dyDescent="0.25">
      <c r="A468">
        <v>10884778</v>
      </c>
      <c r="B468" t="s">
        <v>575</v>
      </c>
    </row>
    <row r="469" spans="1:2" x14ac:dyDescent="0.25">
      <c r="A469">
        <v>10939883</v>
      </c>
      <c r="B469" t="s">
        <v>578</v>
      </c>
    </row>
    <row r="470" spans="1:2" x14ac:dyDescent="0.25">
      <c r="A470">
        <v>11424189</v>
      </c>
      <c r="B470" t="s">
        <v>575</v>
      </c>
    </row>
    <row r="471" spans="1:2" x14ac:dyDescent="0.25">
      <c r="A471">
        <v>10699973</v>
      </c>
      <c r="B471" t="s">
        <v>575</v>
      </c>
    </row>
    <row r="472" spans="1:2" x14ac:dyDescent="0.25">
      <c r="A472">
        <v>10782637</v>
      </c>
      <c r="B472" t="s">
        <v>575</v>
      </c>
    </row>
    <row r="473" spans="1:2" x14ac:dyDescent="0.25">
      <c r="A473">
        <v>10623536</v>
      </c>
      <c r="B473" t="s">
        <v>576</v>
      </c>
    </row>
    <row r="474" spans="1:2" x14ac:dyDescent="0.25">
      <c r="A474">
        <v>11580101</v>
      </c>
      <c r="B474" t="s">
        <v>576</v>
      </c>
    </row>
    <row r="475" spans="1:2" x14ac:dyDescent="0.25">
      <c r="A475">
        <v>11205931</v>
      </c>
      <c r="B475" t="s">
        <v>576</v>
      </c>
    </row>
    <row r="476" spans="1:2" x14ac:dyDescent="0.25">
      <c r="A476">
        <v>11379021</v>
      </c>
      <c r="B476" t="s">
        <v>575</v>
      </c>
    </row>
    <row r="477" spans="1:2" x14ac:dyDescent="0.25">
      <c r="A477">
        <v>11229198</v>
      </c>
      <c r="B477" t="s">
        <v>576</v>
      </c>
    </row>
    <row r="478" spans="1:2" x14ac:dyDescent="0.25">
      <c r="A478">
        <v>11792213</v>
      </c>
      <c r="B478" t="s">
        <v>577</v>
      </c>
    </row>
    <row r="479" spans="1:2" x14ac:dyDescent="0.25">
      <c r="A479">
        <v>11405987</v>
      </c>
      <c r="B479" t="s">
        <v>576</v>
      </c>
    </row>
    <row r="480" spans="1:2" x14ac:dyDescent="0.25">
      <c r="A480">
        <v>10714472</v>
      </c>
      <c r="B480" t="s">
        <v>580</v>
      </c>
    </row>
    <row r="481" spans="1:2" x14ac:dyDescent="0.25">
      <c r="A481">
        <v>10921075</v>
      </c>
      <c r="B481" t="s">
        <v>578</v>
      </c>
    </row>
    <row r="482" spans="1:2" x14ac:dyDescent="0.25">
      <c r="A482">
        <v>10596750</v>
      </c>
      <c r="B482" t="s">
        <v>576</v>
      </c>
    </row>
    <row r="483" spans="1:2" x14ac:dyDescent="0.25">
      <c r="A483">
        <v>10932494</v>
      </c>
      <c r="B483" t="s">
        <v>578</v>
      </c>
    </row>
    <row r="484" spans="1:2" x14ac:dyDescent="0.25">
      <c r="A484">
        <v>11611681</v>
      </c>
      <c r="B484" t="s">
        <v>576</v>
      </c>
    </row>
    <row r="485" spans="1:2" x14ac:dyDescent="0.25">
      <c r="A485">
        <v>11131503</v>
      </c>
      <c r="B485" t="s">
        <v>580</v>
      </c>
    </row>
    <row r="486" spans="1:2" x14ac:dyDescent="0.25">
      <c r="A486">
        <v>10923434</v>
      </c>
      <c r="B486" t="s">
        <v>575</v>
      </c>
    </row>
    <row r="487" spans="1:2" x14ac:dyDescent="0.25">
      <c r="A487">
        <v>12025086</v>
      </c>
      <c r="B487" t="s">
        <v>579</v>
      </c>
    </row>
    <row r="488" spans="1:2" x14ac:dyDescent="0.25">
      <c r="A488">
        <v>10800572</v>
      </c>
      <c r="B488" t="s">
        <v>575</v>
      </c>
    </row>
    <row r="489" spans="1:2" x14ac:dyDescent="0.25">
      <c r="A489">
        <v>11067209</v>
      </c>
      <c r="B489" t="s">
        <v>575</v>
      </c>
    </row>
    <row r="490" spans="1:2" x14ac:dyDescent="0.25">
      <c r="A490">
        <v>10848984</v>
      </c>
      <c r="B490" t="s">
        <v>575</v>
      </c>
    </row>
    <row r="491" spans="1:2" x14ac:dyDescent="0.25">
      <c r="A491">
        <v>10893550</v>
      </c>
      <c r="B491" t="s">
        <v>575</v>
      </c>
    </row>
    <row r="492" spans="1:2" x14ac:dyDescent="0.25">
      <c r="A492">
        <v>10824528</v>
      </c>
      <c r="B492" t="s">
        <v>575</v>
      </c>
    </row>
    <row r="493" spans="1:2" x14ac:dyDescent="0.25">
      <c r="A493">
        <v>11593009</v>
      </c>
      <c r="B493" t="s">
        <v>577</v>
      </c>
    </row>
    <row r="494" spans="1:2" x14ac:dyDescent="0.25">
      <c r="A494">
        <v>10623079</v>
      </c>
      <c r="B494" t="s">
        <v>576</v>
      </c>
    </row>
    <row r="495" spans="1:2" x14ac:dyDescent="0.25">
      <c r="A495">
        <v>10595345</v>
      </c>
      <c r="B495" t="s">
        <v>580</v>
      </c>
    </row>
    <row r="496" spans="1:2" x14ac:dyDescent="0.25">
      <c r="A496">
        <v>11847311</v>
      </c>
      <c r="B496" t="s">
        <v>575</v>
      </c>
    </row>
    <row r="497" spans="1:2" x14ac:dyDescent="0.25">
      <c r="A497">
        <v>10583012</v>
      </c>
      <c r="B497" t="s">
        <v>575</v>
      </c>
    </row>
    <row r="498" spans="1:2" x14ac:dyDescent="0.25">
      <c r="A498">
        <v>11402457</v>
      </c>
      <c r="B498" t="s">
        <v>577</v>
      </c>
    </row>
    <row r="499" spans="1:2" x14ac:dyDescent="0.25">
      <c r="A499">
        <v>11561180</v>
      </c>
      <c r="B499" t="s">
        <v>575</v>
      </c>
    </row>
    <row r="500" spans="1:2" x14ac:dyDescent="0.25">
      <c r="A500">
        <v>10827980</v>
      </c>
      <c r="B500" t="s">
        <v>580</v>
      </c>
    </row>
    <row r="501" spans="1:2" x14ac:dyDescent="0.25">
      <c r="A501">
        <v>11348270</v>
      </c>
      <c r="B501" t="s">
        <v>575</v>
      </c>
    </row>
    <row r="502" spans="1:2" x14ac:dyDescent="0.25">
      <c r="A502">
        <v>10940809</v>
      </c>
      <c r="B502" t="s">
        <v>575</v>
      </c>
    </row>
    <row r="503" spans="1:2" x14ac:dyDescent="0.25">
      <c r="A503">
        <v>11193291</v>
      </c>
      <c r="B503" t="s">
        <v>575</v>
      </c>
    </row>
    <row r="504" spans="1:2" x14ac:dyDescent="0.25">
      <c r="A504">
        <v>11668093</v>
      </c>
      <c r="B504" t="s">
        <v>579</v>
      </c>
    </row>
    <row r="505" spans="1:2" x14ac:dyDescent="0.25">
      <c r="A505">
        <v>10658821</v>
      </c>
      <c r="B505" t="s">
        <v>579</v>
      </c>
    </row>
    <row r="506" spans="1:2" x14ac:dyDescent="0.25">
      <c r="A506">
        <v>11434027</v>
      </c>
      <c r="B506" t="s">
        <v>578</v>
      </c>
    </row>
    <row r="507" spans="1:2" x14ac:dyDescent="0.25">
      <c r="A507">
        <v>10795841</v>
      </c>
      <c r="B507" t="s">
        <v>580</v>
      </c>
    </row>
    <row r="508" spans="1:2" x14ac:dyDescent="0.25">
      <c r="A508">
        <v>11831921</v>
      </c>
      <c r="B508" t="s">
        <v>577</v>
      </c>
    </row>
    <row r="509" spans="1:2" x14ac:dyDescent="0.25">
      <c r="A509">
        <v>11425056</v>
      </c>
      <c r="B509" t="s">
        <v>579</v>
      </c>
    </row>
    <row r="510" spans="1:2" x14ac:dyDescent="0.25">
      <c r="A510">
        <v>11416829</v>
      </c>
      <c r="B510" t="s">
        <v>577</v>
      </c>
    </row>
    <row r="511" spans="1:2" x14ac:dyDescent="0.25">
      <c r="A511">
        <v>10730410</v>
      </c>
      <c r="B511" t="s">
        <v>578</v>
      </c>
    </row>
    <row r="512" spans="1:2" x14ac:dyDescent="0.25">
      <c r="A512">
        <v>11252877</v>
      </c>
    </row>
    <row r="513" spans="1:2" x14ac:dyDescent="0.25">
      <c r="A513">
        <v>11879790</v>
      </c>
      <c r="B513" t="s">
        <v>575</v>
      </c>
    </row>
    <row r="514" spans="1:2" x14ac:dyDescent="0.25">
      <c r="A514">
        <v>11702139</v>
      </c>
      <c r="B514" t="s">
        <v>578</v>
      </c>
    </row>
    <row r="515" spans="1:2" x14ac:dyDescent="0.25">
      <c r="A515">
        <v>11271339</v>
      </c>
      <c r="B515" t="s">
        <v>575</v>
      </c>
    </row>
    <row r="516" spans="1:2" x14ac:dyDescent="0.25">
      <c r="A516">
        <v>10861677</v>
      </c>
      <c r="B516" t="s">
        <v>580</v>
      </c>
    </row>
    <row r="517" spans="1:2" x14ac:dyDescent="0.25">
      <c r="A517">
        <v>11027461</v>
      </c>
      <c r="B517" t="s">
        <v>576</v>
      </c>
    </row>
    <row r="518" spans="1:2" x14ac:dyDescent="0.25">
      <c r="A518">
        <v>11197293</v>
      </c>
      <c r="B518" t="s">
        <v>575</v>
      </c>
    </row>
    <row r="519" spans="1:2" x14ac:dyDescent="0.25">
      <c r="A519">
        <v>11723155</v>
      </c>
      <c r="B519" t="s">
        <v>575</v>
      </c>
    </row>
    <row r="520" spans="1:2" x14ac:dyDescent="0.25">
      <c r="A520">
        <v>11406903</v>
      </c>
      <c r="B520" t="s">
        <v>576</v>
      </c>
    </row>
    <row r="521" spans="1:2" x14ac:dyDescent="0.25">
      <c r="A521">
        <v>10829028</v>
      </c>
      <c r="B521" t="s">
        <v>575</v>
      </c>
    </row>
    <row r="522" spans="1:2" x14ac:dyDescent="0.25">
      <c r="A522">
        <v>11606762</v>
      </c>
      <c r="B522" t="s">
        <v>580</v>
      </c>
    </row>
    <row r="523" spans="1:2" x14ac:dyDescent="0.25">
      <c r="A523">
        <v>11068661</v>
      </c>
      <c r="B523" t="s">
        <v>578</v>
      </c>
    </row>
    <row r="524" spans="1:2" x14ac:dyDescent="0.25">
      <c r="A524">
        <v>11433631</v>
      </c>
      <c r="B524" t="s">
        <v>575</v>
      </c>
    </row>
    <row r="525" spans="1:2" x14ac:dyDescent="0.25">
      <c r="A525">
        <v>10596002</v>
      </c>
      <c r="B525" t="s">
        <v>577</v>
      </c>
    </row>
    <row r="526" spans="1:2" x14ac:dyDescent="0.25">
      <c r="A526">
        <v>10876950</v>
      </c>
      <c r="B526" t="s">
        <v>580</v>
      </c>
    </row>
    <row r="527" spans="1:2" x14ac:dyDescent="0.25">
      <c r="A527">
        <v>10882580</v>
      </c>
      <c r="B527" t="s">
        <v>580</v>
      </c>
    </row>
    <row r="528" spans="1:2" x14ac:dyDescent="0.25">
      <c r="A528">
        <v>10938307</v>
      </c>
      <c r="B528" t="s">
        <v>575</v>
      </c>
    </row>
    <row r="529" spans="1:2" x14ac:dyDescent="0.25">
      <c r="A529">
        <v>11559384</v>
      </c>
      <c r="B529" t="s">
        <v>576</v>
      </c>
    </row>
    <row r="530" spans="1:2" x14ac:dyDescent="0.25">
      <c r="A530">
        <v>11539094</v>
      </c>
      <c r="B530" t="s">
        <v>576</v>
      </c>
    </row>
    <row r="531" spans="1:2" x14ac:dyDescent="0.25">
      <c r="A531">
        <v>11505536</v>
      </c>
      <c r="B531" t="s">
        <v>575</v>
      </c>
    </row>
    <row r="532" spans="1:2" x14ac:dyDescent="0.25">
      <c r="A532">
        <v>10770176</v>
      </c>
    </row>
    <row r="533" spans="1:2" x14ac:dyDescent="0.25">
      <c r="A533">
        <v>11385847</v>
      </c>
      <c r="B533" t="s">
        <v>580</v>
      </c>
    </row>
    <row r="534" spans="1:2" x14ac:dyDescent="0.25">
      <c r="A534">
        <v>11553893</v>
      </c>
      <c r="B534" t="s">
        <v>575</v>
      </c>
    </row>
    <row r="535" spans="1:2" x14ac:dyDescent="0.25">
      <c r="A535">
        <v>11905344</v>
      </c>
      <c r="B535" t="s">
        <v>576</v>
      </c>
    </row>
    <row r="536" spans="1:2" x14ac:dyDescent="0.25">
      <c r="A536">
        <v>11570421</v>
      </c>
      <c r="B536" t="s">
        <v>580</v>
      </c>
    </row>
    <row r="537" spans="1:2" x14ac:dyDescent="0.25">
      <c r="A537">
        <v>11007572</v>
      </c>
      <c r="B537" t="s">
        <v>576</v>
      </c>
    </row>
    <row r="538" spans="1:2" x14ac:dyDescent="0.25">
      <c r="A538">
        <v>10857291</v>
      </c>
      <c r="B538" t="s">
        <v>578</v>
      </c>
    </row>
    <row r="539" spans="1:2" x14ac:dyDescent="0.25">
      <c r="A539">
        <v>11600361</v>
      </c>
      <c r="B539" t="s">
        <v>576</v>
      </c>
    </row>
    <row r="540" spans="1:2" x14ac:dyDescent="0.25">
      <c r="A540">
        <v>10588433</v>
      </c>
      <c r="B540" t="s">
        <v>578</v>
      </c>
    </row>
    <row r="541" spans="1:2" x14ac:dyDescent="0.25">
      <c r="A541">
        <v>10609110</v>
      </c>
      <c r="B541" t="s">
        <v>578</v>
      </c>
    </row>
    <row r="542" spans="1:2" x14ac:dyDescent="0.25">
      <c r="A542">
        <v>11457922</v>
      </c>
      <c r="B542" t="s">
        <v>576</v>
      </c>
    </row>
    <row r="543" spans="1:2" x14ac:dyDescent="0.25">
      <c r="A543">
        <v>11405888</v>
      </c>
      <c r="B543" t="s">
        <v>578</v>
      </c>
    </row>
    <row r="544" spans="1:2" x14ac:dyDescent="0.25">
      <c r="A544">
        <v>11600276</v>
      </c>
      <c r="B544" t="s">
        <v>580</v>
      </c>
    </row>
    <row r="545" spans="1:2" x14ac:dyDescent="0.25">
      <c r="A545">
        <v>10704692</v>
      </c>
      <c r="B545" t="s">
        <v>576</v>
      </c>
    </row>
    <row r="546" spans="1:2" x14ac:dyDescent="0.25">
      <c r="A546">
        <v>10638715</v>
      </c>
      <c r="B546" t="s">
        <v>575</v>
      </c>
    </row>
    <row r="547" spans="1:2" x14ac:dyDescent="0.25">
      <c r="A547">
        <v>10793286</v>
      </c>
      <c r="B547" t="s">
        <v>578</v>
      </c>
    </row>
    <row r="548" spans="1:2" x14ac:dyDescent="0.25">
      <c r="A548">
        <v>10758645</v>
      </c>
      <c r="B548" t="s">
        <v>576</v>
      </c>
    </row>
    <row r="549" spans="1:2" x14ac:dyDescent="0.25">
      <c r="A549">
        <v>10852088</v>
      </c>
      <c r="B549" t="s">
        <v>580</v>
      </c>
    </row>
    <row r="550" spans="1:2" x14ac:dyDescent="0.25">
      <c r="A550">
        <v>10639119</v>
      </c>
      <c r="B550" t="s">
        <v>575</v>
      </c>
    </row>
    <row r="551" spans="1:2" x14ac:dyDescent="0.25">
      <c r="A551">
        <v>11929300</v>
      </c>
      <c r="B551" t="s">
        <v>579</v>
      </c>
    </row>
    <row r="552" spans="1:2" x14ac:dyDescent="0.25">
      <c r="A552">
        <v>11710981</v>
      </c>
      <c r="B552" t="s">
        <v>575</v>
      </c>
    </row>
    <row r="553" spans="1:2" x14ac:dyDescent="0.25">
      <c r="A553">
        <v>10598370</v>
      </c>
      <c r="B553" t="s">
        <v>580</v>
      </c>
    </row>
    <row r="554" spans="1:2" x14ac:dyDescent="0.25">
      <c r="A554">
        <v>10676625</v>
      </c>
      <c r="B554" t="s">
        <v>579</v>
      </c>
    </row>
    <row r="555" spans="1:2" x14ac:dyDescent="0.25">
      <c r="A555">
        <v>11921737</v>
      </c>
      <c r="B555" t="s">
        <v>578</v>
      </c>
    </row>
    <row r="556" spans="1:2" x14ac:dyDescent="0.25">
      <c r="A556">
        <v>10724498</v>
      </c>
      <c r="B556" t="s">
        <v>580</v>
      </c>
    </row>
    <row r="557" spans="1:2" x14ac:dyDescent="0.25">
      <c r="A557">
        <v>11635289</v>
      </c>
      <c r="B557" t="s">
        <v>575</v>
      </c>
    </row>
    <row r="558" spans="1:2" x14ac:dyDescent="0.25">
      <c r="A558">
        <v>10747347</v>
      </c>
      <c r="B558" t="s">
        <v>580</v>
      </c>
    </row>
    <row r="559" spans="1:2" x14ac:dyDescent="0.25">
      <c r="A559">
        <v>11999381</v>
      </c>
      <c r="B559" t="s">
        <v>580</v>
      </c>
    </row>
    <row r="560" spans="1:2" x14ac:dyDescent="0.25">
      <c r="A560">
        <v>11012233</v>
      </c>
      <c r="B560" t="s">
        <v>575</v>
      </c>
    </row>
    <row r="561" spans="1:2" x14ac:dyDescent="0.25">
      <c r="A561">
        <v>11373937</v>
      </c>
      <c r="B561" t="s">
        <v>578</v>
      </c>
    </row>
    <row r="562" spans="1:2" x14ac:dyDescent="0.25">
      <c r="A562">
        <v>11464860</v>
      </c>
      <c r="B562" t="s">
        <v>575</v>
      </c>
    </row>
    <row r="563" spans="1:2" x14ac:dyDescent="0.25">
      <c r="A563">
        <v>11496214</v>
      </c>
      <c r="B563" t="s">
        <v>575</v>
      </c>
    </row>
    <row r="564" spans="1:2" x14ac:dyDescent="0.25">
      <c r="A564">
        <v>11434554</v>
      </c>
      <c r="B564" t="s">
        <v>578</v>
      </c>
    </row>
    <row r="565" spans="1:2" x14ac:dyDescent="0.25">
      <c r="A565">
        <v>10843920</v>
      </c>
      <c r="B565" t="s">
        <v>578</v>
      </c>
    </row>
    <row r="566" spans="1:2" x14ac:dyDescent="0.25">
      <c r="A566">
        <v>10949862</v>
      </c>
      <c r="B566" t="s">
        <v>575</v>
      </c>
    </row>
    <row r="567" spans="1:2" x14ac:dyDescent="0.25">
      <c r="A567">
        <v>10822228</v>
      </c>
      <c r="B567" t="s">
        <v>575</v>
      </c>
    </row>
    <row r="568" spans="1:2" x14ac:dyDescent="0.25">
      <c r="A568">
        <v>11271605</v>
      </c>
      <c r="B568" t="s">
        <v>575</v>
      </c>
    </row>
    <row r="569" spans="1:2" x14ac:dyDescent="0.25">
      <c r="A569">
        <v>11600830</v>
      </c>
      <c r="B569" t="s">
        <v>576</v>
      </c>
    </row>
    <row r="570" spans="1:2" x14ac:dyDescent="0.25">
      <c r="A570">
        <v>11739087</v>
      </c>
      <c r="B570" t="s">
        <v>576</v>
      </c>
    </row>
    <row r="571" spans="1:2" x14ac:dyDescent="0.25">
      <c r="A571">
        <v>12007587</v>
      </c>
      <c r="B571" t="s">
        <v>575</v>
      </c>
    </row>
    <row r="572" spans="1:2" x14ac:dyDescent="0.25">
      <c r="A572">
        <v>11847721</v>
      </c>
      <c r="B572" t="s">
        <v>576</v>
      </c>
    </row>
    <row r="573" spans="1:2" x14ac:dyDescent="0.25">
      <c r="A573">
        <v>11607864</v>
      </c>
      <c r="B573" t="s">
        <v>576</v>
      </c>
    </row>
    <row r="574" spans="1:2" x14ac:dyDescent="0.25">
      <c r="A574">
        <v>11959280</v>
      </c>
      <c r="B574" t="s">
        <v>578</v>
      </c>
    </row>
    <row r="575" spans="1:2" x14ac:dyDescent="0.25">
      <c r="A575">
        <v>11407630</v>
      </c>
      <c r="B575" t="s">
        <v>576</v>
      </c>
    </row>
    <row r="576" spans="1:2" x14ac:dyDescent="0.25">
      <c r="A576">
        <v>11358751</v>
      </c>
      <c r="B576" t="s">
        <v>576</v>
      </c>
    </row>
    <row r="577" spans="1:2" x14ac:dyDescent="0.25">
      <c r="A577">
        <v>11500961</v>
      </c>
      <c r="B577" t="s">
        <v>580</v>
      </c>
    </row>
    <row r="578" spans="1:2" x14ac:dyDescent="0.25">
      <c r="A578">
        <v>10919837</v>
      </c>
      <c r="B578" t="s">
        <v>576</v>
      </c>
    </row>
    <row r="579" spans="1:2" x14ac:dyDescent="0.25">
      <c r="A579">
        <v>12012615</v>
      </c>
      <c r="B579" t="s">
        <v>575</v>
      </c>
    </row>
    <row r="580" spans="1:2" x14ac:dyDescent="0.25">
      <c r="A580">
        <v>11038970</v>
      </c>
      <c r="B580" t="s">
        <v>578</v>
      </c>
    </row>
    <row r="581" spans="1:2" x14ac:dyDescent="0.25">
      <c r="A581">
        <v>10623857</v>
      </c>
      <c r="B581" t="s">
        <v>575</v>
      </c>
    </row>
    <row r="582" spans="1:2" x14ac:dyDescent="0.25">
      <c r="A582">
        <v>11591999</v>
      </c>
      <c r="B582" t="s">
        <v>576</v>
      </c>
    </row>
    <row r="583" spans="1:2" x14ac:dyDescent="0.25">
      <c r="A583">
        <v>11835273</v>
      </c>
      <c r="B583" t="s">
        <v>578</v>
      </c>
    </row>
    <row r="584" spans="1:2" x14ac:dyDescent="0.25">
      <c r="A584">
        <v>10948125</v>
      </c>
      <c r="B584" t="s">
        <v>580</v>
      </c>
    </row>
    <row r="585" spans="1:2" x14ac:dyDescent="0.25">
      <c r="A585">
        <v>11751347</v>
      </c>
      <c r="B585" t="s">
        <v>578</v>
      </c>
    </row>
    <row r="586" spans="1:2" x14ac:dyDescent="0.25">
      <c r="A586">
        <v>11642856</v>
      </c>
      <c r="B586" t="s">
        <v>575</v>
      </c>
    </row>
    <row r="587" spans="1:2" x14ac:dyDescent="0.25">
      <c r="A587">
        <v>11289716</v>
      </c>
      <c r="B587" t="s">
        <v>575</v>
      </c>
    </row>
    <row r="588" spans="1:2" x14ac:dyDescent="0.25">
      <c r="A588">
        <v>11679220</v>
      </c>
      <c r="B588" t="s">
        <v>575</v>
      </c>
    </row>
    <row r="589" spans="1:2" x14ac:dyDescent="0.25">
      <c r="A589">
        <v>11661499</v>
      </c>
      <c r="B589" t="s">
        <v>576</v>
      </c>
    </row>
    <row r="590" spans="1:2" x14ac:dyDescent="0.25">
      <c r="A590">
        <v>11632169</v>
      </c>
      <c r="B590" t="s">
        <v>577</v>
      </c>
    </row>
    <row r="591" spans="1:2" x14ac:dyDescent="0.25">
      <c r="A591">
        <v>10918693</v>
      </c>
      <c r="B591" t="s">
        <v>576</v>
      </c>
    </row>
    <row r="592" spans="1:2" x14ac:dyDescent="0.25">
      <c r="A592">
        <v>11543130</v>
      </c>
      <c r="B592" t="s">
        <v>580</v>
      </c>
    </row>
    <row r="593" spans="1:2" x14ac:dyDescent="0.25">
      <c r="A593">
        <v>11557905</v>
      </c>
      <c r="B593" t="s">
        <v>579</v>
      </c>
    </row>
    <row r="594" spans="1:2" x14ac:dyDescent="0.25">
      <c r="A594">
        <v>10947732</v>
      </c>
      <c r="B594" t="s">
        <v>577</v>
      </c>
    </row>
    <row r="595" spans="1:2" x14ac:dyDescent="0.25">
      <c r="A595">
        <v>10911709</v>
      </c>
      <c r="B595" t="s">
        <v>575</v>
      </c>
    </row>
    <row r="596" spans="1:2" x14ac:dyDescent="0.25">
      <c r="A596">
        <v>10920068</v>
      </c>
      <c r="B596" t="s">
        <v>580</v>
      </c>
    </row>
    <row r="597" spans="1:2" x14ac:dyDescent="0.25">
      <c r="A597">
        <v>11010194</v>
      </c>
      <c r="B597" t="s">
        <v>579</v>
      </c>
    </row>
    <row r="598" spans="1:2" x14ac:dyDescent="0.25">
      <c r="A598">
        <v>11599311</v>
      </c>
      <c r="B598" t="s">
        <v>576</v>
      </c>
    </row>
    <row r="599" spans="1:2" x14ac:dyDescent="0.25">
      <c r="A599">
        <v>10954335</v>
      </c>
      <c r="B599" t="s">
        <v>577</v>
      </c>
    </row>
    <row r="600" spans="1:2" x14ac:dyDescent="0.25">
      <c r="A600">
        <v>11871153</v>
      </c>
      <c r="B600" t="s">
        <v>577</v>
      </c>
    </row>
    <row r="601" spans="1:2" x14ac:dyDescent="0.25">
      <c r="A601">
        <v>11492454</v>
      </c>
      <c r="B601" t="s">
        <v>576</v>
      </c>
    </row>
    <row r="602" spans="1:2" x14ac:dyDescent="0.25">
      <c r="A602">
        <v>10746239</v>
      </c>
      <c r="B602" t="s">
        <v>577</v>
      </c>
    </row>
    <row r="603" spans="1:2" x14ac:dyDescent="0.25">
      <c r="A603">
        <v>10926762</v>
      </c>
      <c r="B603" t="s">
        <v>578</v>
      </c>
    </row>
    <row r="604" spans="1:2" x14ac:dyDescent="0.25">
      <c r="A604">
        <v>11894363</v>
      </c>
      <c r="B604" t="s">
        <v>580</v>
      </c>
    </row>
    <row r="605" spans="1:2" x14ac:dyDescent="0.25">
      <c r="A605">
        <v>10936804</v>
      </c>
      <c r="B605" t="s">
        <v>576</v>
      </c>
    </row>
    <row r="606" spans="1:2" x14ac:dyDescent="0.25">
      <c r="A606">
        <v>11555571</v>
      </c>
      <c r="B606" t="s">
        <v>575</v>
      </c>
    </row>
    <row r="607" spans="1:2" x14ac:dyDescent="0.25">
      <c r="A607">
        <v>11335242</v>
      </c>
      <c r="B607" t="s">
        <v>580</v>
      </c>
    </row>
    <row r="608" spans="1:2" x14ac:dyDescent="0.25">
      <c r="A608">
        <v>11453940</v>
      </c>
      <c r="B608" t="s">
        <v>575</v>
      </c>
    </row>
    <row r="609" spans="1:2" x14ac:dyDescent="0.25">
      <c r="A609">
        <v>11640596</v>
      </c>
      <c r="B609" t="s">
        <v>577</v>
      </c>
    </row>
    <row r="610" spans="1:2" x14ac:dyDescent="0.25">
      <c r="A610">
        <v>10607463</v>
      </c>
      <c r="B610" t="s">
        <v>580</v>
      </c>
    </row>
    <row r="611" spans="1:2" x14ac:dyDescent="0.25">
      <c r="A611">
        <v>10828526</v>
      </c>
      <c r="B611" t="s">
        <v>575</v>
      </c>
    </row>
    <row r="612" spans="1:2" x14ac:dyDescent="0.25">
      <c r="A612">
        <v>11009193</v>
      </c>
      <c r="B612" t="s">
        <v>575</v>
      </c>
    </row>
    <row r="613" spans="1:2" x14ac:dyDescent="0.25">
      <c r="A613">
        <v>11006523</v>
      </c>
      <c r="B613" t="s">
        <v>576</v>
      </c>
    </row>
    <row r="614" spans="1:2" x14ac:dyDescent="0.25">
      <c r="A614">
        <v>10906597</v>
      </c>
      <c r="B614" t="s">
        <v>576</v>
      </c>
    </row>
    <row r="615" spans="1:2" x14ac:dyDescent="0.25">
      <c r="A615">
        <v>11847124</v>
      </c>
      <c r="B615" t="s">
        <v>575</v>
      </c>
    </row>
    <row r="616" spans="1:2" x14ac:dyDescent="0.25">
      <c r="A616">
        <v>10700405</v>
      </c>
      <c r="B616" t="s">
        <v>579</v>
      </c>
    </row>
    <row r="617" spans="1:2" x14ac:dyDescent="0.25">
      <c r="A617">
        <v>10851617</v>
      </c>
      <c r="B617" t="s">
        <v>577</v>
      </c>
    </row>
    <row r="618" spans="1:2" x14ac:dyDescent="0.25">
      <c r="A618">
        <v>11740157</v>
      </c>
      <c r="B618" t="s">
        <v>579</v>
      </c>
    </row>
    <row r="619" spans="1:2" x14ac:dyDescent="0.25">
      <c r="A619">
        <v>10921822</v>
      </c>
      <c r="B619" t="s">
        <v>577</v>
      </c>
    </row>
    <row r="620" spans="1:2" x14ac:dyDescent="0.25">
      <c r="A620">
        <v>10721256</v>
      </c>
      <c r="B620" t="s">
        <v>580</v>
      </c>
    </row>
    <row r="621" spans="1:2" x14ac:dyDescent="0.25">
      <c r="A621">
        <v>11728881</v>
      </c>
      <c r="B621" t="s">
        <v>579</v>
      </c>
    </row>
    <row r="622" spans="1:2" x14ac:dyDescent="0.25">
      <c r="A622">
        <v>11766700</v>
      </c>
      <c r="B622" t="s">
        <v>575</v>
      </c>
    </row>
    <row r="623" spans="1:2" x14ac:dyDescent="0.25">
      <c r="A623">
        <v>12006715</v>
      </c>
      <c r="B623" t="s">
        <v>580</v>
      </c>
    </row>
    <row r="624" spans="1:2" x14ac:dyDescent="0.25">
      <c r="A624">
        <v>11277382</v>
      </c>
      <c r="B624" t="s">
        <v>580</v>
      </c>
    </row>
    <row r="625" spans="1:2" x14ac:dyDescent="0.25">
      <c r="A625">
        <v>11797023</v>
      </c>
      <c r="B625" t="s">
        <v>580</v>
      </c>
    </row>
    <row r="626" spans="1:2" x14ac:dyDescent="0.25">
      <c r="A626">
        <v>11544223</v>
      </c>
      <c r="B626" t="s">
        <v>580</v>
      </c>
    </row>
    <row r="627" spans="1:2" x14ac:dyDescent="0.25">
      <c r="A627">
        <v>11769610</v>
      </c>
      <c r="B627" t="s">
        <v>577</v>
      </c>
    </row>
    <row r="628" spans="1:2" x14ac:dyDescent="0.25">
      <c r="A628">
        <v>11391397</v>
      </c>
      <c r="B628" t="s">
        <v>576</v>
      </c>
    </row>
    <row r="629" spans="1:2" x14ac:dyDescent="0.25">
      <c r="A629">
        <v>10816792</v>
      </c>
      <c r="B629" t="s">
        <v>575</v>
      </c>
    </row>
    <row r="630" spans="1:2" x14ac:dyDescent="0.25">
      <c r="A630">
        <v>11019482</v>
      </c>
      <c r="B630" t="s">
        <v>578</v>
      </c>
    </row>
    <row r="631" spans="1:2" x14ac:dyDescent="0.25">
      <c r="A631">
        <v>11393126</v>
      </c>
      <c r="B631" t="s">
        <v>575</v>
      </c>
    </row>
    <row r="632" spans="1:2" x14ac:dyDescent="0.25">
      <c r="A632">
        <v>11320857</v>
      </c>
      <c r="B632" t="s">
        <v>578</v>
      </c>
    </row>
    <row r="633" spans="1:2" x14ac:dyDescent="0.25">
      <c r="A633">
        <v>11109123</v>
      </c>
      <c r="B633" t="s">
        <v>575</v>
      </c>
    </row>
    <row r="634" spans="1:2" x14ac:dyDescent="0.25">
      <c r="A634">
        <v>11706299</v>
      </c>
      <c r="B634" t="s">
        <v>578</v>
      </c>
    </row>
    <row r="635" spans="1:2" x14ac:dyDescent="0.25">
      <c r="A635">
        <v>11560860</v>
      </c>
      <c r="B635" t="s">
        <v>575</v>
      </c>
    </row>
    <row r="636" spans="1:2" x14ac:dyDescent="0.25">
      <c r="A636">
        <v>11346491</v>
      </c>
      <c r="B636" t="s">
        <v>578</v>
      </c>
    </row>
    <row r="637" spans="1:2" x14ac:dyDescent="0.25">
      <c r="A637">
        <v>11876761</v>
      </c>
      <c r="B637" t="s">
        <v>576</v>
      </c>
    </row>
    <row r="638" spans="1:2" x14ac:dyDescent="0.25">
      <c r="A638">
        <v>11559467</v>
      </c>
      <c r="B638" t="s">
        <v>580</v>
      </c>
    </row>
    <row r="639" spans="1:2" x14ac:dyDescent="0.25">
      <c r="A639">
        <v>11223364</v>
      </c>
      <c r="B639" t="s">
        <v>577</v>
      </c>
    </row>
    <row r="640" spans="1:2" x14ac:dyDescent="0.25">
      <c r="A640">
        <v>11406027</v>
      </c>
      <c r="B640" t="s">
        <v>576</v>
      </c>
    </row>
    <row r="641" spans="1:2" x14ac:dyDescent="0.25">
      <c r="A641">
        <v>11623862</v>
      </c>
      <c r="B641" t="s">
        <v>580</v>
      </c>
    </row>
    <row r="642" spans="1:2" x14ac:dyDescent="0.25">
      <c r="A642">
        <v>11556796</v>
      </c>
      <c r="B642" t="s">
        <v>578</v>
      </c>
    </row>
    <row r="643" spans="1:2" x14ac:dyDescent="0.25">
      <c r="A643">
        <v>10621630</v>
      </c>
      <c r="B643" t="s">
        <v>578</v>
      </c>
    </row>
    <row r="644" spans="1:2" x14ac:dyDescent="0.25">
      <c r="A644">
        <v>11048291</v>
      </c>
      <c r="B644" t="s">
        <v>577</v>
      </c>
    </row>
    <row r="645" spans="1:2" x14ac:dyDescent="0.25">
      <c r="A645">
        <v>11707617</v>
      </c>
      <c r="B645" t="s">
        <v>575</v>
      </c>
    </row>
    <row r="646" spans="1:2" x14ac:dyDescent="0.25">
      <c r="A646">
        <v>11407763</v>
      </c>
      <c r="B646" t="s">
        <v>576</v>
      </c>
    </row>
    <row r="647" spans="1:2" x14ac:dyDescent="0.25">
      <c r="A647">
        <v>11905196</v>
      </c>
      <c r="B647" t="s">
        <v>577</v>
      </c>
    </row>
    <row r="648" spans="1:2" x14ac:dyDescent="0.25">
      <c r="A648">
        <v>11495335</v>
      </c>
      <c r="B648" t="s">
        <v>577</v>
      </c>
    </row>
    <row r="649" spans="1:2" x14ac:dyDescent="0.25">
      <c r="A649">
        <v>11390038</v>
      </c>
      <c r="B649" t="s">
        <v>578</v>
      </c>
    </row>
    <row r="650" spans="1:2" x14ac:dyDescent="0.25">
      <c r="A650">
        <v>10626499</v>
      </c>
      <c r="B650" t="s">
        <v>578</v>
      </c>
    </row>
    <row r="651" spans="1:2" x14ac:dyDescent="0.25">
      <c r="A651">
        <v>11608445</v>
      </c>
      <c r="B651" t="s">
        <v>577</v>
      </c>
    </row>
    <row r="652" spans="1:2" x14ac:dyDescent="0.25">
      <c r="A652">
        <v>10784228</v>
      </c>
    </row>
    <row r="653" spans="1:2" x14ac:dyDescent="0.25">
      <c r="A653">
        <v>11607959</v>
      </c>
      <c r="B653" t="s">
        <v>580</v>
      </c>
    </row>
    <row r="654" spans="1:2" x14ac:dyDescent="0.25">
      <c r="A654">
        <v>11559552</v>
      </c>
      <c r="B654" t="s">
        <v>575</v>
      </c>
    </row>
    <row r="655" spans="1:2" x14ac:dyDescent="0.25">
      <c r="A655">
        <v>11607907</v>
      </c>
      <c r="B655" t="s">
        <v>580</v>
      </c>
    </row>
    <row r="656" spans="1:2" x14ac:dyDescent="0.25">
      <c r="A656">
        <v>10703869</v>
      </c>
      <c r="B656" t="s">
        <v>575</v>
      </c>
    </row>
    <row r="657" spans="1:2" x14ac:dyDescent="0.25">
      <c r="A657">
        <v>11891250</v>
      </c>
      <c r="B657" t="s">
        <v>578</v>
      </c>
    </row>
    <row r="658" spans="1:2" x14ac:dyDescent="0.25">
      <c r="A658">
        <v>11407295</v>
      </c>
      <c r="B658" t="s">
        <v>580</v>
      </c>
    </row>
    <row r="659" spans="1:2" x14ac:dyDescent="0.25">
      <c r="A659">
        <v>11022861</v>
      </c>
      <c r="B659" t="s">
        <v>575</v>
      </c>
    </row>
    <row r="660" spans="1:2" x14ac:dyDescent="0.25">
      <c r="A660">
        <v>11578188</v>
      </c>
      <c r="B660" t="s">
        <v>576</v>
      </c>
    </row>
    <row r="661" spans="1:2" x14ac:dyDescent="0.25">
      <c r="A661">
        <v>11783911</v>
      </c>
      <c r="B661" t="s">
        <v>575</v>
      </c>
    </row>
    <row r="662" spans="1:2" x14ac:dyDescent="0.25">
      <c r="A662">
        <v>11857166</v>
      </c>
      <c r="B662" t="s">
        <v>576</v>
      </c>
    </row>
    <row r="663" spans="1:2" x14ac:dyDescent="0.25">
      <c r="A663">
        <v>11026499</v>
      </c>
      <c r="B663" t="s">
        <v>580</v>
      </c>
    </row>
    <row r="664" spans="1:2" x14ac:dyDescent="0.25">
      <c r="A664">
        <v>10919744</v>
      </c>
      <c r="B664" t="s">
        <v>576</v>
      </c>
    </row>
    <row r="665" spans="1:2" x14ac:dyDescent="0.25">
      <c r="A665">
        <v>11423882</v>
      </c>
      <c r="B665" t="s">
        <v>575</v>
      </c>
    </row>
    <row r="666" spans="1:2" x14ac:dyDescent="0.25">
      <c r="A666">
        <v>11395337</v>
      </c>
      <c r="B666" t="s">
        <v>580</v>
      </c>
    </row>
    <row r="667" spans="1:2" x14ac:dyDescent="0.25">
      <c r="A667">
        <v>10578004</v>
      </c>
      <c r="B667" t="s">
        <v>575</v>
      </c>
    </row>
    <row r="668" spans="1:2" x14ac:dyDescent="0.25">
      <c r="A668">
        <v>11630545</v>
      </c>
      <c r="B668" t="s">
        <v>576</v>
      </c>
    </row>
    <row r="669" spans="1:2" x14ac:dyDescent="0.25">
      <c r="A669">
        <v>11348409</v>
      </c>
      <c r="B669" t="s">
        <v>578</v>
      </c>
    </row>
    <row r="670" spans="1:2" x14ac:dyDescent="0.25">
      <c r="A670">
        <v>10708462</v>
      </c>
    </row>
    <row r="671" spans="1:2" x14ac:dyDescent="0.25">
      <c r="A671">
        <v>11606454</v>
      </c>
      <c r="B671" t="s">
        <v>580</v>
      </c>
    </row>
    <row r="672" spans="1:2" x14ac:dyDescent="0.25">
      <c r="A672">
        <v>11543100</v>
      </c>
      <c r="B672" t="s">
        <v>578</v>
      </c>
    </row>
    <row r="673" spans="1:2" x14ac:dyDescent="0.25">
      <c r="A673">
        <v>10876945</v>
      </c>
      <c r="B673" t="s">
        <v>580</v>
      </c>
    </row>
    <row r="674" spans="1:2" x14ac:dyDescent="0.25">
      <c r="A674">
        <v>11562526</v>
      </c>
      <c r="B674" t="s">
        <v>579</v>
      </c>
    </row>
    <row r="675" spans="1:2" x14ac:dyDescent="0.25">
      <c r="A675">
        <v>11552141</v>
      </c>
      <c r="B675" t="s">
        <v>576</v>
      </c>
    </row>
    <row r="676" spans="1:2" x14ac:dyDescent="0.25">
      <c r="A676">
        <v>11645999</v>
      </c>
      <c r="B676" t="s">
        <v>575</v>
      </c>
    </row>
    <row r="677" spans="1:2" x14ac:dyDescent="0.25">
      <c r="A677">
        <v>10809501</v>
      </c>
      <c r="B677" t="s">
        <v>575</v>
      </c>
    </row>
    <row r="678" spans="1:2" x14ac:dyDescent="0.25">
      <c r="A678">
        <v>11734676</v>
      </c>
      <c r="B678" t="s">
        <v>580</v>
      </c>
    </row>
    <row r="679" spans="1:2" x14ac:dyDescent="0.25">
      <c r="A679">
        <v>11667217</v>
      </c>
      <c r="B679" t="s">
        <v>580</v>
      </c>
    </row>
    <row r="680" spans="1:2" x14ac:dyDescent="0.25">
      <c r="A680">
        <v>11698452</v>
      </c>
      <c r="B680" t="s">
        <v>578</v>
      </c>
    </row>
    <row r="681" spans="1:2" x14ac:dyDescent="0.25">
      <c r="A681">
        <v>11104423</v>
      </c>
      <c r="B681" t="s">
        <v>576</v>
      </c>
    </row>
    <row r="682" spans="1:2" x14ac:dyDescent="0.25">
      <c r="A682">
        <v>11089774</v>
      </c>
      <c r="B682" t="s">
        <v>580</v>
      </c>
    </row>
    <row r="683" spans="1:2" x14ac:dyDescent="0.25">
      <c r="A683">
        <v>11772727</v>
      </c>
      <c r="B683" t="s">
        <v>576</v>
      </c>
    </row>
    <row r="684" spans="1:2" x14ac:dyDescent="0.25">
      <c r="A684">
        <v>11556630</v>
      </c>
      <c r="B684" t="s">
        <v>576</v>
      </c>
    </row>
    <row r="685" spans="1:2" x14ac:dyDescent="0.25">
      <c r="A685">
        <v>11630006</v>
      </c>
      <c r="B685" t="s">
        <v>578</v>
      </c>
    </row>
    <row r="686" spans="1:2" x14ac:dyDescent="0.25">
      <c r="A686">
        <v>11562403</v>
      </c>
      <c r="B686" t="s">
        <v>576</v>
      </c>
    </row>
    <row r="687" spans="1:2" x14ac:dyDescent="0.25">
      <c r="A687">
        <v>11621115</v>
      </c>
      <c r="B687" t="s">
        <v>575</v>
      </c>
    </row>
    <row r="688" spans="1:2" x14ac:dyDescent="0.25">
      <c r="A688">
        <v>11382055</v>
      </c>
      <c r="B688" t="s">
        <v>575</v>
      </c>
    </row>
    <row r="689" spans="1:2" x14ac:dyDescent="0.25">
      <c r="A689">
        <v>11664768</v>
      </c>
      <c r="B689" t="s">
        <v>577</v>
      </c>
    </row>
    <row r="690" spans="1:2" x14ac:dyDescent="0.25">
      <c r="A690">
        <v>11948685</v>
      </c>
      <c r="B690" t="s">
        <v>575</v>
      </c>
    </row>
    <row r="691" spans="1:2" x14ac:dyDescent="0.25">
      <c r="A691">
        <v>10937639</v>
      </c>
      <c r="B691" t="s">
        <v>578</v>
      </c>
    </row>
    <row r="692" spans="1:2" x14ac:dyDescent="0.25">
      <c r="A692">
        <v>10931004</v>
      </c>
      <c r="B692" t="s">
        <v>578</v>
      </c>
    </row>
    <row r="693" spans="1:2" x14ac:dyDescent="0.25">
      <c r="A693">
        <v>10838230</v>
      </c>
      <c r="B693" t="s">
        <v>580</v>
      </c>
    </row>
    <row r="694" spans="1:2" x14ac:dyDescent="0.25">
      <c r="A694">
        <v>11710571</v>
      </c>
      <c r="B694" t="s">
        <v>575</v>
      </c>
    </row>
    <row r="695" spans="1:2" x14ac:dyDescent="0.25">
      <c r="A695">
        <v>11403261</v>
      </c>
      <c r="B695" t="s">
        <v>575</v>
      </c>
    </row>
    <row r="696" spans="1:2" x14ac:dyDescent="0.25">
      <c r="A696">
        <v>11027262</v>
      </c>
      <c r="B696" t="s">
        <v>577</v>
      </c>
    </row>
    <row r="697" spans="1:2" x14ac:dyDescent="0.25">
      <c r="A697">
        <v>11812580</v>
      </c>
      <c r="B697" t="s">
        <v>576</v>
      </c>
    </row>
    <row r="698" spans="1:2" x14ac:dyDescent="0.25">
      <c r="A698">
        <v>11670357</v>
      </c>
      <c r="B698" t="s">
        <v>580</v>
      </c>
    </row>
    <row r="699" spans="1:2" x14ac:dyDescent="0.25">
      <c r="A699">
        <v>11456770</v>
      </c>
      <c r="B699" t="s">
        <v>579</v>
      </c>
    </row>
    <row r="700" spans="1:2" x14ac:dyDescent="0.25">
      <c r="A700">
        <v>11383213</v>
      </c>
      <c r="B700" t="s">
        <v>578</v>
      </c>
    </row>
    <row r="701" spans="1:2" x14ac:dyDescent="0.25">
      <c r="A701">
        <v>11593583</v>
      </c>
      <c r="B701" t="s">
        <v>578</v>
      </c>
    </row>
    <row r="702" spans="1:2" x14ac:dyDescent="0.25">
      <c r="A702">
        <v>10700664</v>
      </c>
      <c r="B702" t="s">
        <v>579</v>
      </c>
    </row>
    <row r="703" spans="1:2" x14ac:dyDescent="0.25">
      <c r="A703">
        <v>10835291</v>
      </c>
      <c r="B703" t="s">
        <v>579</v>
      </c>
    </row>
    <row r="704" spans="1:2" x14ac:dyDescent="0.25">
      <c r="A704">
        <v>10849171</v>
      </c>
      <c r="B704" t="s">
        <v>575</v>
      </c>
    </row>
    <row r="705" spans="1:2" x14ac:dyDescent="0.25">
      <c r="A705">
        <v>11310938</v>
      </c>
      <c r="B705" t="s">
        <v>575</v>
      </c>
    </row>
    <row r="706" spans="1:2" x14ac:dyDescent="0.25">
      <c r="A706">
        <v>10931540</v>
      </c>
      <c r="B706" t="s">
        <v>575</v>
      </c>
    </row>
    <row r="707" spans="1:2" x14ac:dyDescent="0.25">
      <c r="A707">
        <v>10940586</v>
      </c>
      <c r="B707" t="s">
        <v>576</v>
      </c>
    </row>
    <row r="708" spans="1:2" x14ac:dyDescent="0.25">
      <c r="A708">
        <v>10848765</v>
      </c>
      <c r="B708" t="s">
        <v>579</v>
      </c>
    </row>
    <row r="709" spans="1:2" x14ac:dyDescent="0.25">
      <c r="A709">
        <v>11942913</v>
      </c>
      <c r="B709" t="s">
        <v>578</v>
      </c>
    </row>
    <row r="710" spans="1:2" x14ac:dyDescent="0.25">
      <c r="A710">
        <v>11708412</v>
      </c>
      <c r="B710" t="s">
        <v>577</v>
      </c>
    </row>
    <row r="711" spans="1:2" x14ac:dyDescent="0.25">
      <c r="A711">
        <v>11407359</v>
      </c>
      <c r="B711" t="s">
        <v>575</v>
      </c>
    </row>
    <row r="712" spans="1:2" x14ac:dyDescent="0.25">
      <c r="A712">
        <v>10889329</v>
      </c>
    </row>
    <row r="713" spans="1:2" x14ac:dyDescent="0.25">
      <c r="A713">
        <v>11725316</v>
      </c>
      <c r="B713" t="s">
        <v>577</v>
      </c>
    </row>
    <row r="714" spans="1:2" x14ac:dyDescent="0.25">
      <c r="A714">
        <v>11543633</v>
      </c>
      <c r="B714" t="s">
        <v>580</v>
      </c>
    </row>
    <row r="715" spans="1:2" x14ac:dyDescent="0.25">
      <c r="A715">
        <v>11405918</v>
      </c>
      <c r="B715" t="s">
        <v>580</v>
      </c>
    </row>
    <row r="716" spans="1:2" x14ac:dyDescent="0.25">
      <c r="A716">
        <v>10957865</v>
      </c>
      <c r="B716" t="s">
        <v>580</v>
      </c>
    </row>
    <row r="717" spans="1:2" x14ac:dyDescent="0.25">
      <c r="A717">
        <v>11543871</v>
      </c>
      <c r="B717" t="s">
        <v>575</v>
      </c>
    </row>
    <row r="718" spans="1:2" x14ac:dyDescent="0.25">
      <c r="A718">
        <v>11427456</v>
      </c>
      <c r="B718" t="s">
        <v>578</v>
      </c>
    </row>
    <row r="719" spans="1:2" x14ac:dyDescent="0.25">
      <c r="A719">
        <v>11300428</v>
      </c>
      <c r="B719" t="s">
        <v>578</v>
      </c>
    </row>
    <row r="720" spans="1:2" x14ac:dyDescent="0.25">
      <c r="A720">
        <v>11870485</v>
      </c>
      <c r="B720" t="s">
        <v>576</v>
      </c>
    </row>
    <row r="721" spans="1:2" x14ac:dyDescent="0.25">
      <c r="A721">
        <v>11828805</v>
      </c>
      <c r="B721" t="s">
        <v>576</v>
      </c>
    </row>
    <row r="722" spans="1:2" x14ac:dyDescent="0.25">
      <c r="A722">
        <v>11116799</v>
      </c>
      <c r="B722" t="s">
        <v>577</v>
      </c>
    </row>
    <row r="723" spans="1:2" x14ac:dyDescent="0.25">
      <c r="A723">
        <v>11593129</v>
      </c>
      <c r="B723" t="s">
        <v>576</v>
      </c>
    </row>
    <row r="724" spans="1:2" x14ac:dyDescent="0.25">
      <c r="A724">
        <v>11483746</v>
      </c>
      <c r="B724" t="s">
        <v>575</v>
      </c>
    </row>
    <row r="725" spans="1:2" x14ac:dyDescent="0.25">
      <c r="A725">
        <v>11037020</v>
      </c>
      <c r="B725" t="s">
        <v>576</v>
      </c>
    </row>
    <row r="726" spans="1:2" x14ac:dyDescent="0.25">
      <c r="A726">
        <v>11300155</v>
      </c>
      <c r="B726" t="s">
        <v>577</v>
      </c>
    </row>
    <row r="727" spans="1:2" x14ac:dyDescent="0.25">
      <c r="A727">
        <v>10817894</v>
      </c>
      <c r="B727" t="s">
        <v>575</v>
      </c>
    </row>
    <row r="728" spans="1:2" x14ac:dyDescent="0.25">
      <c r="A728">
        <v>11282287</v>
      </c>
      <c r="B728" t="s">
        <v>577</v>
      </c>
    </row>
    <row r="729" spans="1:2" x14ac:dyDescent="0.25">
      <c r="A729">
        <v>10964370</v>
      </c>
      <c r="B729" t="s">
        <v>578</v>
      </c>
    </row>
    <row r="730" spans="1:2" x14ac:dyDescent="0.25">
      <c r="A730">
        <v>11396005</v>
      </c>
      <c r="B730" t="s">
        <v>577</v>
      </c>
    </row>
    <row r="731" spans="1:2" x14ac:dyDescent="0.25">
      <c r="A731">
        <v>11397580</v>
      </c>
      <c r="B731" t="s">
        <v>576</v>
      </c>
    </row>
    <row r="732" spans="1:2" x14ac:dyDescent="0.25">
      <c r="A732">
        <v>11916493</v>
      </c>
      <c r="B732" t="s">
        <v>576</v>
      </c>
    </row>
    <row r="733" spans="1:2" x14ac:dyDescent="0.25">
      <c r="A733">
        <v>10619822</v>
      </c>
      <c r="B733" t="s">
        <v>575</v>
      </c>
    </row>
    <row r="734" spans="1:2" x14ac:dyDescent="0.25">
      <c r="A734">
        <v>10877427</v>
      </c>
      <c r="B734" t="s">
        <v>575</v>
      </c>
    </row>
    <row r="735" spans="1:2" x14ac:dyDescent="0.25">
      <c r="A735">
        <v>11262017</v>
      </c>
      <c r="B735" t="s">
        <v>580</v>
      </c>
    </row>
    <row r="736" spans="1:2" x14ac:dyDescent="0.25">
      <c r="A736">
        <v>11546153</v>
      </c>
      <c r="B736" t="s">
        <v>577</v>
      </c>
    </row>
    <row r="737" spans="1:2" x14ac:dyDescent="0.25">
      <c r="A737">
        <v>11890620</v>
      </c>
      <c r="B737" t="s">
        <v>580</v>
      </c>
    </row>
    <row r="738" spans="1:2" x14ac:dyDescent="0.25">
      <c r="A738">
        <v>11965527</v>
      </c>
      <c r="B738" t="s">
        <v>576</v>
      </c>
    </row>
    <row r="739" spans="1:2" x14ac:dyDescent="0.25">
      <c r="A739">
        <v>11242878</v>
      </c>
      <c r="B739" t="s">
        <v>575</v>
      </c>
    </row>
    <row r="740" spans="1:2" x14ac:dyDescent="0.25">
      <c r="A740">
        <v>11725616</v>
      </c>
      <c r="B740" t="s">
        <v>577</v>
      </c>
    </row>
    <row r="741" spans="1:2" x14ac:dyDescent="0.25">
      <c r="A741">
        <v>11858224</v>
      </c>
      <c r="B741" t="s">
        <v>576</v>
      </c>
    </row>
    <row r="742" spans="1:2" x14ac:dyDescent="0.25">
      <c r="A742">
        <v>10612933</v>
      </c>
    </row>
    <row r="743" spans="1:2" x14ac:dyDescent="0.25">
      <c r="A743">
        <v>11790438</v>
      </c>
      <c r="B743" t="s">
        <v>578</v>
      </c>
    </row>
    <row r="744" spans="1:2" x14ac:dyDescent="0.25">
      <c r="A744">
        <v>11394935</v>
      </c>
      <c r="B744" t="s">
        <v>575</v>
      </c>
    </row>
    <row r="745" spans="1:2" x14ac:dyDescent="0.25">
      <c r="A745">
        <v>11981766</v>
      </c>
      <c r="B745" t="s">
        <v>576</v>
      </c>
    </row>
    <row r="746" spans="1:2" x14ac:dyDescent="0.25">
      <c r="A746">
        <v>11592970</v>
      </c>
      <c r="B746" t="s">
        <v>580</v>
      </c>
    </row>
    <row r="747" spans="1:2" x14ac:dyDescent="0.25">
      <c r="A747">
        <v>11124836</v>
      </c>
      <c r="B747" t="s">
        <v>575</v>
      </c>
    </row>
    <row r="748" spans="1:2" x14ac:dyDescent="0.25">
      <c r="A748">
        <v>10849481</v>
      </c>
      <c r="B748" t="s">
        <v>575</v>
      </c>
    </row>
    <row r="749" spans="1:2" x14ac:dyDescent="0.25">
      <c r="A749">
        <v>11667512</v>
      </c>
      <c r="B749" t="s">
        <v>576</v>
      </c>
    </row>
    <row r="750" spans="1:2" x14ac:dyDescent="0.25">
      <c r="A750">
        <v>10596772</v>
      </c>
      <c r="B750" t="s">
        <v>579</v>
      </c>
    </row>
    <row r="751" spans="1:2" x14ac:dyDescent="0.25">
      <c r="A751">
        <v>11001963</v>
      </c>
      <c r="B751" t="s">
        <v>575</v>
      </c>
    </row>
    <row r="752" spans="1:2" x14ac:dyDescent="0.25">
      <c r="A752">
        <v>11738374</v>
      </c>
      <c r="B752" t="s">
        <v>580</v>
      </c>
    </row>
    <row r="753" spans="1:2" x14ac:dyDescent="0.25">
      <c r="A753">
        <v>10633197</v>
      </c>
      <c r="B753" t="s">
        <v>578</v>
      </c>
    </row>
    <row r="754" spans="1:2" x14ac:dyDescent="0.25">
      <c r="A754">
        <v>11918945</v>
      </c>
      <c r="B754" t="s">
        <v>575</v>
      </c>
    </row>
    <row r="755" spans="1:2" x14ac:dyDescent="0.25">
      <c r="A755">
        <v>11936527</v>
      </c>
      <c r="B755" t="s">
        <v>579</v>
      </c>
    </row>
    <row r="756" spans="1:2" x14ac:dyDescent="0.25">
      <c r="A756">
        <v>11327939</v>
      </c>
      <c r="B756" t="s">
        <v>575</v>
      </c>
    </row>
    <row r="757" spans="1:2" x14ac:dyDescent="0.25">
      <c r="A757">
        <v>11737167</v>
      </c>
      <c r="B757" t="s">
        <v>576</v>
      </c>
    </row>
    <row r="758" spans="1:2" x14ac:dyDescent="0.25">
      <c r="A758">
        <v>11632926</v>
      </c>
      <c r="B758" t="s">
        <v>580</v>
      </c>
    </row>
    <row r="759" spans="1:2" x14ac:dyDescent="0.25">
      <c r="A759">
        <v>11941801</v>
      </c>
      <c r="B759" t="s">
        <v>580</v>
      </c>
    </row>
    <row r="760" spans="1:2" x14ac:dyDescent="0.25">
      <c r="A760">
        <v>11215699</v>
      </c>
      <c r="B760" t="s">
        <v>579</v>
      </c>
    </row>
    <row r="761" spans="1:2" x14ac:dyDescent="0.25">
      <c r="A761">
        <v>10816822</v>
      </c>
      <c r="B761" t="s">
        <v>575</v>
      </c>
    </row>
    <row r="762" spans="1:2" x14ac:dyDescent="0.25">
      <c r="A762">
        <v>10821010</v>
      </c>
      <c r="B762" t="s">
        <v>575</v>
      </c>
    </row>
    <row r="763" spans="1:2" x14ac:dyDescent="0.25">
      <c r="A763">
        <v>11037348</v>
      </c>
      <c r="B763" t="s">
        <v>580</v>
      </c>
    </row>
    <row r="764" spans="1:2" x14ac:dyDescent="0.25">
      <c r="A764">
        <v>10823699</v>
      </c>
      <c r="B764" t="s">
        <v>576</v>
      </c>
    </row>
    <row r="765" spans="1:2" x14ac:dyDescent="0.25">
      <c r="A765">
        <v>10852630</v>
      </c>
      <c r="B765" t="s">
        <v>578</v>
      </c>
    </row>
    <row r="766" spans="1:2" x14ac:dyDescent="0.25">
      <c r="A766">
        <v>10973177</v>
      </c>
      <c r="B766" t="s">
        <v>578</v>
      </c>
    </row>
    <row r="767" spans="1:2" x14ac:dyDescent="0.25">
      <c r="A767">
        <v>10638310</v>
      </c>
      <c r="B767" t="s">
        <v>575</v>
      </c>
    </row>
    <row r="768" spans="1:2" x14ac:dyDescent="0.25">
      <c r="A768">
        <v>11087312</v>
      </c>
      <c r="B768" t="s">
        <v>576</v>
      </c>
    </row>
    <row r="769" spans="1:2" x14ac:dyDescent="0.25">
      <c r="A769">
        <v>11307145</v>
      </c>
      <c r="B769" t="s">
        <v>575</v>
      </c>
    </row>
    <row r="770" spans="1:2" x14ac:dyDescent="0.25">
      <c r="A770">
        <v>11831700</v>
      </c>
      <c r="B770" t="s">
        <v>580</v>
      </c>
    </row>
    <row r="771" spans="1:2" x14ac:dyDescent="0.25">
      <c r="A771">
        <v>11983924</v>
      </c>
      <c r="B771" t="s">
        <v>580</v>
      </c>
    </row>
    <row r="772" spans="1:2" x14ac:dyDescent="0.25">
      <c r="A772">
        <v>11560028</v>
      </c>
      <c r="B772" t="s">
        <v>580</v>
      </c>
    </row>
    <row r="773" spans="1:2" x14ac:dyDescent="0.25">
      <c r="A773">
        <v>11676977</v>
      </c>
      <c r="B773" t="s">
        <v>580</v>
      </c>
    </row>
    <row r="774" spans="1:2" x14ac:dyDescent="0.25">
      <c r="A774">
        <v>11425569</v>
      </c>
      <c r="B774" t="s">
        <v>577</v>
      </c>
    </row>
    <row r="775" spans="1:2" x14ac:dyDescent="0.25">
      <c r="A775">
        <v>11719955</v>
      </c>
      <c r="B775" t="s">
        <v>580</v>
      </c>
    </row>
    <row r="776" spans="1:2" x14ac:dyDescent="0.25">
      <c r="A776">
        <v>11424802</v>
      </c>
      <c r="B776" t="s">
        <v>580</v>
      </c>
    </row>
    <row r="777" spans="1:2" x14ac:dyDescent="0.25">
      <c r="A777">
        <v>11340180</v>
      </c>
      <c r="B777" t="s">
        <v>579</v>
      </c>
    </row>
    <row r="778" spans="1:2" x14ac:dyDescent="0.25">
      <c r="A778">
        <v>11562993</v>
      </c>
      <c r="B778" t="s">
        <v>580</v>
      </c>
    </row>
    <row r="779" spans="1:2" x14ac:dyDescent="0.25">
      <c r="A779">
        <v>11557518</v>
      </c>
      <c r="B779" t="s">
        <v>580</v>
      </c>
    </row>
    <row r="780" spans="1:2" x14ac:dyDescent="0.25">
      <c r="A780">
        <v>10624287</v>
      </c>
      <c r="B780" t="s">
        <v>576</v>
      </c>
    </row>
    <row r="781" spans="1:2" x14ac:dyDescent="0.25">
      <c r="A781">
        <v>10630515</v>
      </c>
      <c r="B781" t="s">
        <v>575</v>
      </c>
    </row>
    <row r="782" spans="1:2" x14ac:dyDescent="0.25">
      <c r="A782">
        <v>10977553</v>
      </c>
      <c r="B782" t="s">
        <v>576</v>
      </c>
    </row>
    <row r="783" spans="1:2" x14ac:dyDescent="0.25">
      <c r="A783">
        <v>11996368</v>
      </c>
      <c r="B783" t="s">
        <v>579</v>
      </c>
    </row>
    <row r="784" spans="1:2" x14ac:dyDescent="0.25">
      <c r="A784">
        <v>11703261</v>
      </c>
      <c r="B784" t="s">
        <v>579</v>
      </c>
    </row>
    <row r="785" spans="1:2" x14ac:dyDescent="0.25">
      <c r="A785">
        <v>10757007</v>
      </c>
      <c r="B785" t="s">
        <v>578</v>
      </c>
    </row>
    <row r="786" spans="1:2" x14ac:dyDescent="0.25">
      <c r="A786">
        <v>11419493</v>
      </c>
      <c r="B786" t="s">
        <v>579</v>
      </c>
    </row>
    <row r="787" spans="1:2" x14ac:dyDescent="0.25">
      <c r="A787">
        <v>11426562</v>
      </c>
      <c r="B787" t="s">
        <v>580</v>
      </c>
    </row>
    <row r="788" spans="1:2" x14ac:dyDescent="0.25">
      <c r="A788">
        <v>11445400</v>
      </c>
      <c r="B788" t="s">
        <v>579</v>
      </c>
    </row>
    <row r="789" spans="1:2" x14ac:dyDescent="0.25">
      <c r="A789">
        <v>11602153</v>
      </c>
      <c r="B789" t="s">
        <v>576</v>
      </c>
    </row>
    <row r="790" spans="1:2" x14ac:dyDescent="0.25">
      <c r="A790">
        <v>11557701</v>
      </c>
      <c r="B790" t="s">
        <v>577</v>
      </c>
    </row>
    <row r="791" spans="1:2" x14ac:dyDescent="0.25">
      <c r="A791">
        <v>11283789</v>
      </c>
      <c r="B791" t="s">
        <v>576</v>
      </c>
    </row>
    <row r="792" spans="1:2" x14ac:dyDescent="0.25">
      <c r="A792">
        <v>11488783</v>
      </c>
      <c r="B792" t="s">
        <v>578</v>
      </c>
    </row>
    <row r="793" spans="1:2" x14ac:dyDescent="0.25">
      <c r="A793">
        <v>11698506</v>
      </c>
      <c r="B793" t="s">
        <v>576</v>
      </c>
    </row>
    <row r="794" spans="1:2" x14ac:dyDescent="0.25">
      <c r="A794">
        <v>11709366</v>
      </c>
      <c r="B794" t="s">
        <v>577</v>
      </c>
    </row>
    <row r="795" spans="1:2" x14ac:dyDescent="0.25">
      <c r="A795">
        <v>11212439</v>
      </c>
      <c r="B795" t="s">
        <v>576</v>
      </c>
    </row>
    <row r="796" spans="1:2" x14ac:dyDescent="0.25">
      <c r="A796">
        <v>11642661</v>
      </c>
      <c r="B796" t="s">
        <v>575</v>
      </c>
    </row>
    <row r="797" spans="1:2" x14ac:dyDescent="0.25">
      <c r="A797">
        <v>11743421</v>
      </c>
      <c r="B797" t="s">
        <v>578</v>
      </c>
    </row>
    <row r="798" spans="1:2" x14ac:dyDescent="0.25">
      <c r="A798">
        <v>11482056</v>
      </c>
      <c r="B798" t="s">
        <v>576</v>
      </c>
    </row>
    <row r="799" spans="1:2" x14ac:dyDescent="0.25">
      <c r="A799">
        <v>11561488</v>
      </c>
      <c r="B799" t="s">
        <v>579</v>
      </c>
    </row>
    <row r="800" spans="1:2" x14ac:dyDescent="0.25">
      <c r="A800">
        <v>11559549</v>
      </c>
      <c r="B800" t="s">
        <v>580</v>
      </c>
    </row>
    <row r="801" spans="1:2" x14ac:dyDescent="0.25">
      <c r="A801">
        <v>11557319</v>
      </c>
      <c r="B801" t="s">
        <v>578</v>
      </c>
    </row>
    <row r="802" spans="1:2" x14ac:dyDescent="0.25">
      <c r="A802">
        <v>11557408</v>
      </c>
      <c r="B802" t="s">
        <v>580</v>
      </c>
    </row>
    <row r="803" spans="1:2" x14ac:dyDescent="0.25">
      <c r="A803">
        <v>11865530</v>
      </c>
      <c r="B803" t="s">
        <v>580</v>
      </c>
    </row>
    <row r="804" spans="1:2" x14ac:dyDescent="0.25">
      <c r="A804">
        <v>11114472</v>
      </c>
      <c r="B804" t="s">
        <v>575</v>
      </c>
    </row>
    <row r="805" spans="1:2" x14ac:dyDescent="0.25">
      <c r="A805">
        <v>11469928</v>
      </c>
      <c r="B805" t="s">
        <v>580</v>
      </c>
    </row>
    <row r="806" spans="1:2" x14ac:dyDescent="0.25">
      <c r="A806">
        <v>10957709</v>
      </c>
      <c r="B806" t="s">
        <v>577</v>
      </c>
    </row>
    <row r="807" spans="1:2" x14ac:dyDescent="0.25">
      <c r="A807">
        <v>11387888</v>
      </c>
      <c r="B807" t="s">
        <v>580</v>
      </c>
    </row>
    <row r="808" spans="1:2" x14ac:dyDescent="0.25">
      <c r="A808">
        <v>11381518</v>
      </c>
      <c r="B808" t="s">
        <v>577</v>
      </c>
    </row>
    <row r="809" spans="1:2" x14ac:dyDescent="0.25">
      <c r="A809">
        <v>11787596</v>
      </c>
      <c r="B809" t="s">
        <v>579</v>
      </c>
    </row>
    <row r="810" spans="1:2" x14ac:dyDescent="0.25">
      <c r="A810">
        <v>11725595</v>
      </c>
      <c r="B810" t="s">
        <v>580</v>
      </c>
    </row>
    <row r="811" spans="1:2" x14ac:dyDescent="0.25">
      <c r="A811">
        <v>11881003</v>
      </c>
      <c r="B811" t="s">
        <v>576</v>
      </c>
    </row>
    <row r="812" spans="1:2" x14ac:dyDescent="0.25">
      <c r="A812">
        <v>11707025</v>
      </c>
      <c r="B812" t="s">
        <v>579</v>
      </c>
    </row>
    <row r="813" spans="1:2" x14ac:dyDescent="0.25">
      <c r="A813">
        <v>11404639</v>
      </c>
      <c r="B813" t="s">
        <v>576</v>
      </c>
    </row>
    <row r="814" spans="1:2" x14ac:dyDescent="0.25">
      <c r="A814">
        <v>11387718</v>
      </c>
      <c r="B814" t="s">
        <v>580</v>
      </c>
    </row>
    <row r="815" spans="1:2" x14ac:dyDescent="0.25">
      <c r="A815">
        <v>11357327</v>
      </c>
      <c r="B815" t="s">
        <v>577</v>
      </c>
    </row>
    <row r="816" spans="1:2" x14ac:dyDescent="0.25">
      <c r="A816">
        <v>11348504</v>
      </c>
      <c r="B816" t="s">
        <v>579</v>
      </c>
    </row>
    <row r="817" spans="1:2" x14ac:dyDescent="0.25">
      <c r="A817">
        <v>11406856</v>
      </c>
      <c r="B817" t="s">
        <v>576</v>
      </c>
    </row>
    <row r="818" spans="1:2" x14ac:dyDescent="0.25">
      <c r="A818">
        <v>11406089</v>
      </c>
      <c r="B818" t="s">
        <v>580</v>
      </c>
    </row>
    <row r="819" spans="1:2" x14ac:dyDescent="0.25">
      <c r="A819">
        <v>11697953</v>
      </c>
      <c r="B819" t="s">
        <v>575</v>
      </c>
    </row>
    <row r="820" spans="1:2" x14ac:dyDescent="0.25">
      <c r="A820">
        <v>11267627</v>
      </c>
      <c r="B820" t="s">
        <v>575</v>
      </c>
    </row>
    <row r="821" spans="1:2" x14ac:dyDescent="0.25">
      <c r="A821">
        <v>11299805</v>
      </c>
      <c r="B821" t="s">
        <v>579</v>
      </c>
    </row>
    <row r="822" spans="1:2" x14ac:dyDescent="0.25">
      <c r="A822">
        <v>11290394</v>
      </c>
      <c r="B822" t="s">
        <v>576</v>
      </c>
    </row>
    <row r="823" spans="1:2" x14ac:dyDescent="0.25">
      <c r="A823">
        <v>11659177</v>
      </c>
      <c r="B823" t="s">
        <v>575</v>
      </c>
    </row>
    <row r="824" spans="1:2" x14ac:dyDescent="0.25">
      <c r="A824">
        <v>11595858</v>
      </c>
      <c r="B824" t="s">
        <v>579</v>
      </c>
    </row>
    <row r="825" spans="1:2" x14ac:dyDescent="0.25">
      <c r="A825">
        <v>11939374</v>
      </c>
      <c r="B825" t="s">
        <v>580</v>
      </c>
    </row>
    <row r="826" spans="1:2" x14ac:dyDescent="0.25">
      <c r="A826">
        <v>11890180</v>
      </c>
      <c r="B826" t="s">
        <v>577</v>
      </c>
    </row>
    <row r="827" spans="1:2" x14ac:dyDescent="0.25">
      <c r="A827">
        <v>11933244</v>
      </c>
      <c r="B827" t="s">
        <v>576</v>
      </c>
    </row>
    <row r="828" spans="1:2" x14ac:dyDescent="0.25">
      <c r="A828">
        <v>11020867</v>
      </c>
      <c r="B828" t="s">
        <v>580</v>
      </c>
    </row>
    <row r="829" spans="1:2" x14ac:dyDescent="0.25">
      <c r="A829">
        <v>10983811</v>
      </c>
      <c r="B829" t="s">
        <v>576</v>
      </c>
    </row>
    <row r="830" spans="1:2" x14ac:dyDescent="0.25">
      <c r="A830">
        <v>11001895</v>
      </c>
      <c r="B830" t="s">
        <v>580</v>
      </c>
    </row>
    <row r="831" spans="1:2" x14ac:dyDescent="0.25">
      <c r="A831">
        <v>11001917</v>
      </c>
      <c r="B831" t="s">
        <v>580</v>
      </c>
    </row>
    <row r="832" spans="1:2" x14ac:dyDescent="0.25">
      <c r="A832">
        <v>11345811</v>
      </c>
      <c r="B832" t="s">
        <v>580</v>
      </c>
    </row>
    <row r="833" spans="1:2" x14ac:dyDescent="0.25">
      <c r="A833">
        <v>11348445</v>
      </c>
      <c r="B833" t="s">
        <v>580</v>
      </c>
    </row>
    <row r="834" spans="1:2" x14ac:dyDescent="0.25">
      <c r="A834">
        <v>11272040</v>
      </c>
      <c r="B834" t="s">
        <v>575</v>
      </c>
    </row>
    <row r="835" spans="1:2" x14ac:dyDescent="0.25">
      <c r="A835">
        <v>11263319</v>
      </c>
      <c r="B835" t="s">
        <v>578</v>
      </c>
    </row>
    <row r="836" spans="1:2" x14ac:dyDescent="0.25">
      <c r="A836">
        <v>11434164</v>
      </c>
      <c r="B836" t="s">
        <v>579</v>
      </c>
    </row>
    <row r="837" spans="1:2" x14ac:dyDescent="0.25">
      <c r="A837">
        <v>11443744</v>
      </c>
      <c r="B837" t="s">
        <v>576</v>
      </c>
    </row>
    <row r="838" spans="1:2" x14ac:dyDescent="0.25">
      <c r="A838">
        <v>11391560</v>
      </c>
      <c r="B838" t="s">
        <v>577</v>
      </c>
    </row>
    <row r="839" spans="1:2" x14ac:dyDescent="0.25">
      <c r="A839">
        <v>11561463</v>
      </c>
      <c r="B839" t="s">
        <v>580</v>
      </c>
    </row>
    <row r="840" spans="1:2" x14ac:dyDescent="0.25">
      <c r="A840">
        <v>11569316</v>
      </c>
      <c r="B840" t="s">
        <v>580</v>
      </c>
    </row>
    <row r="841" spans="1:2" x14ac:dyDescent="0.25">
      <c r="A841">
        <v>11570077</v>
      </c>
      <c r="B841" t="s">
        <v>576</v>
      </c>
    </row>
    <row r="842" spans="1:2" x14ac:dyDescent="0.25">
      <c r="A842">
        <v>11571867</v>
      </c>
      <c r="B842" t="s">
        <v>580</v>
      </c>
    </row>
    <row r="843" spans="1:2" x14ac:dyDescent="0.25">
      <c r="A843">
        <v>11563069</v>
      </c>
      <c r="B843" t="s">
        <v>579</v>
      </c>
    </row>
    <row r="844" spans="1:2" x14ac:dyDescent="0.25">
      <c r="A844">
        <v>11345572</v>
      </c>
      <c r="B844" t="s">
        <v>575</v>
      </c>
    </row>
    <row r="845" spans="1:2" x14ac:dyDescent="0.25">
      <c r="A845">
        <v>11446953</v>
      </c>
      <c r="B845" t="s">
        <v>576</v>
      </c>
    </row>
    <row r="846" spans="1:2" x14ac:dyDescent="0.25">
      <c r="A846">
        <v>11631896</v>
      </c>
      <c r="B846" t="s">
        <v>578</v>
      </c>
    </row>
    <row r="847" spans="1:2" x14ac:dyDescent="0.25">
      <c r="A847">
        <v>10701390</v>
      </c>
      <c r="B847" t="s">
        <v>579</v>
      </c>
    </row>
    <row r="848" spans="1:2" x14ac:dyDescent="0.25">
      <c r="A848">
        <v>11578041</v>
      </c>
      <c r="B848" t="s">
        <v>576</v>
      </c>
    </row>
    <row r="849" spans="1:2" x14ac:dyDescent="0.25">
      <c r="A849">
        <v>11557827</v>
      </c>
      <c r="B849" t="s">
        <v>576</v>
      </c>
    </row>
    <row r="850" spans="1:2" x14ac:dyDescent="0.25">
      <c r="A850">
        <v>11406061</v>
      </c>
      <c r="B850" t="s">
        <v>576</v>
      </c>
    </row>
    <row r="851" spans="1:2" x14ac:dyDescent="0.25">
      <c r="A851">
        <v>12003726</v>
      </c>
      <c r="B851" t="s">
        <v>579</v>
      </c>
    </row>
    <row r="852" spans="1:2" x14ac:dyDescent="0.25">
      <c r="A852">
        <v>11915277</v>
      </c>
      <c r="B852" t="s">
        <v>575</v>
      </c>
    </row>
    <row r="853" spans="1:2" x14ac:dyDescent="0.25">
      <c r="A853">
        <v>11927936</v>
      </c>
      <c r="B853" t="s">
        <v>579</v>
      </c>
    </row>
    <row r="854" spans="1:2" x14ac:dyDescent="0.25">
      <c r="A854">
        <v>11722345</v>
      </c>
      <c r="B854" t="s">
        <v>579</v>
      </c>
    </row>
    <row r="855" spans="1:2" x14ac:dyDescent="0.25">
      <c r="A855">
        <v>11118407</v>
      </c>
      <c r="B855" t="s">
        <v>575</v>
      </c>
    </row>
    <row r="856" spans="1:2" x14ac:dyDescent="0.25">
      <c r="A856">
        <v>11546605</v>
      </c>
      <c r="B856" t="s">
        <v>575</v>
      </c>
    </row>
    <row r="857" spans="1:2" x14ac:dyDescent="0.25">
      <c r="A857">
        <v>11556974</v>
      </c>
      <c r="B857" t="s">
        <v>580</v>
      </c>
    </row>
    <row r="858" spans="1:2" x14ac:dyDescent="0.25">
      <c r="A858">
        <v>11551951</v>
      </c>
      <c r="B858" t="s">
        <v>575</v>
      </c>
    </row>
    <row r="859" spans="1:2" x14ac:dyDescent="0.25">
      <c r="A859">
        <v>11607906</v>
      </c>
      <c r="B859" t="s">
        <v>580</v>
      </c>
    </row>
    <row r="860" spans="1:2" x14ac:dyDescent="0.25">
      <c r="A860">
        <v>11555511</v>
      </c>
      <c r="B860" t="s">
        <v>576</v>
      </c>
    </row>
    <row r="861" spans="1:2" x14ac:dyDescent="0.25">
      <c r="A861">
        <v>11406696</v>
      </c>
      <c r="B861" t="s">
        <v>576</v>
      </c>
    </row>
    <row r="862" spans="1:2" x14ac:dyDescent="0.25">
      <c r="A862">
        <v>11611688</v>
      </c>
      <c r="B862" t="s">
        <v>580</v>
      </c>
    </row>
    <row r="863" spans="1:2" x14ac:dyDescent="0.25">
      <c r="A863">
        <v>10803906</v>
      </c>
      <c r="B863" t="s">
        <v>578</v>
      </c>
    </row>
    <row r="864" spans="1:2" x14ac:dyDescent="0.25">
      <c r="A864">
        <v>11578096</v>
      </c>
      <c r="B864" t="s">
        <v>578</v>
      </c>
    </row>
    <row r="865" spans="1:2" x14ac:dyDescent="0.25">
      <c r="A865">
        <v>11397768</v>
      </c>
      <c r="B865" t="s">
        <v>580</v>
      </c>
    </row>
    <row r="866" spans="1:2" x14ac:dyDescent="0.25">
      <c r="A866">
        <v>11577519</v>
      </c>
      <c r="B866" t="s">
        <v>576</v>
      </c>
    </row>
    <row r="867" spans="1:2" x14ac:dyDescent="0.25">
      <c r="A867">
        <v>11543483</v>
      </c>
      <c r="B867" t="s">
        <v>580</v>
      </c>
    </row>
    <row r="868" spans="1:2" x14ac:dyDescent="0.25">
      <c r="A868">
        <v>11543243</v>
      </c>
      <c r="B868" t="s">
        <v>580</v>
      </c>
    </row>
    <row r="869" spans="1:2" x14ac:dyDescent="0.25">
      <c r="A869">
        <v>11410871</v>
      </c>
      <c r="B869" t="s">
        <v>577</v>
      </c>
    </row>
    <row r="870" spans="1:2" x14ac:dyDescent="0.25">
      <c r="A870">
        <v>11438527</v>
      </c>
      <c r="B870" t="s">
        <v>575</v>
      </c>
    </row>
    <row r="871" spans="1:2" x14ac:dyDescent="0.25">
      <c r="A871">
        <v>11912313</v>
      </c>
      <c r="B871" t="s">
        <v>575</v>
      </c>
    </row>
    <row r="872" spans="1:2" x14ac:dyDescent="0.25">
      <c r="A872">
        <v>11450954</v>
      </c>
      <c r="B872" t="s">
        <v>575</v>
      </c>
    </row>
    <row r="873" spans="1:2" x14ac:dyDescent="0.25">
      <c r="A873">
        <v>11983393</v>
      </c>
      <c r="B873" t="s">
        <v>578</v>
      </c>
    </row>
    <row r="874" spans="1:2" x14ac:dyDescent="0.25">
      <c r="A874">
        <v>10848825</v>
      </c>
      <c r="B874" t="s">
        <v>576</v>
      </c>
    </row>
    <row r="875" spans="1:2" x14ac:dyDescent="0.25">
      <c r="A875">
        <v>10945780</v>
      </c>
      <c r="B875" t="s">
        <v>575</v>
      </c>
    </row>
    <row r="876" spans="1:2" x14ac:dyDescent="0.25">
      <c r="A876">
        <v>11557930</v>
      </c>
      <c r="B876" t="s">
        <v>580</v>
      </c>
    </row>
    <row r="877" spans="1:2" x14ac:dyDescent="0.25">
      <c r="A877">
        <v>11537969</v>
      </c>
      <c r="B877" t="s">
        <v>576</v>
      </c>
    </row>
    <row r="878" spans="1:2" x14ac:dyDescent="0.25">
      <c r="A878">
        <v>11363349</v>
      </c>
      <c r="B878" t="s">
        <v>580</v>
      </c>
    </row>
    <row r="879" spans="1:2" x14ac:dyDescent="0.25">
      <c r="A879">
        <v>11266152</v>
      </c>
      <c r="B879" t="s">
        <v>578</v>
      </c>
    </row>
    <row r="880" spans="1:2" x14ac:dyDescent="0.25">
      <c r="A880">
        <v>11299097</v>
      </c>
      <c r="B880" t="s">
        <v>580</v>
      </c>
    </row>
    <row r="881" spans="1:2" x14ac:dyDescent="0.25">
      <c r="A881">
        <v>10965606</v>
      </c>
      <c r="B881" t="s">
        <v>578</v>
      </c>
    </row>
    <row r="882" spans="1:2" x14ac:dyDescent="0.25">
      <c r="A882">
        <v>10923624</v>
      </c>
      <c r="B882" t="s">
        <v>577</v>
      </c>
    </row>
    <row r="883" spans="1:2" x14ac:dyDescent="0.25">
      <c r="A883">
        <v>10935352</v>
      </c>
      <c r="B883" t="s">
        <v>578</v>
      </c>
    </row>
    <row r="884" spans="1:2" x14ac:dyDescent="0.25">
      <c r="A884">
        <v>10948184</v>
      </c>
      <c r="B884" t="s">
        <v>578</v>
      </c>
    </row>
    <row r="885" spans="1:2" x14ac:dyDescent="0.25">
      <c r="A885">
        <v>10724396</v>
      </c>
      <c r="B885" t="s">
        <v>577</v>
      </c>
    </row>
    <row r="886" spans="1:2" x14ac:dyDescent="0.25">
      <c r="A886">
        <v>10748632</v>
      </c>
      <c r="B886" t="s">
        <v>577</v>
      </c>
    </row>
    <row r="887" spans="1:2" x14ac:dyDescent="0.25">
      <c r="A887">
        <v>10892112</v>
      </c>
      <c r="B887" t="s">
        <v>577</v>
      </c>
    </row>
    <row r="888" spans="1:2" x14ac:dyDescent="0.25">
      <c r="A888">
        <v>10878619</v>
      </c>
      <c r="B888" t="s">
        <v>577</v>
      </c>
    </row>
    <row r="889" spans="1:2" x14ac:dyDescent="0.25">
      <c r="A889">
        <v>10804208</v>
      </c>
      <c r="B889" t="s">
        <v>579</v>
      </c>
    </row>
    <row r="890" spans="1:2" x14ac:dyDescent="0.25">
      <c r="A890">
        <v>10818064</v>
      </c>
      <c r="B890" t="s">
        <v>577</v>
      </c>
    </row>
    <row r="891" spans="1:2" x14ac:dyDescent="0.25">
      <c r="A891">
        <v>10835424</v>
      </c>
      <c r="B891" t="s">
        <v>577</v>
      </c>
    </row>
    <row r="892" spans="1:2" x14ac:dyDescent="0.25">
      <c r="A892">
        <v>10731532</v>
      </c>
      <c r="B892" t="s">
        <v>578</v>
      </c>
    </row>
    <row r="893" spans="1:2" x14ac:dyDescent="0.25">
      <c r="A893">
        <v>11890015</v>
      </c>
      <c r="B893" t="s">
        <v>580</v>
      </c>
    </row>
    <row r="894" spans="1:2" x14ac:dyDescent="0.25">
      <c r="A894">
        <v>11715288</v>
      </c>
      <c r="B894" t="s">
        <v>576</v>
      </c>
    </row>
    <row r="895" spans="1:2" x14ac:dyDescent="0.25">
      <c r="A895">
        <v>11723147</v>
      </c>
      <c r="B895" t="s">
        <v>577</v>
      </c>
    </row>
    <row r="896" spans="1:2" x14ac:dyDescent="0.25">
      <c r="A896">
        <v>11711387</v>
      </c>
      <c r="B896" t="s">
        <v>578</v>
      </c>
    </row>
    <row r="897" spans="1:2" x14ac:dyDescent="0.25">
      <c r="A897">
        <v>11611514</v>
      </c>
      <c r="B897" t="s">
        <v>575</v>
      </c>
    </row>
    <row r="898" spans="1:2" x14ac:dyDescent="0.25">
      <c r="A898">
        <v>11508898</v>
      </c>
      <c r="B898" t="s">
        <v>579</v>
      </c>
    </row>
    <row r="899" spans="1:2" x14ac:dyDescent="0.25">
      <c r="A899">
        <v>11274543</v>
      </c>
      <c r="B899" t="s">
        <v>580</v>
      </c>
    </row>
    <row r="900" spans="1:2" x14ac:dyDescent="0.25">
      <c r="A900">
        <v>11298995</v>
      </c>
      <c r="B900" t="s">
        <v>580</v>
      </c>
    </row>
    <row r="901" spans="1:2" x14ac:dyDescent="0.25">
      <c r="A901">
        <v>11325600</v>
      </c>
      <c r="B901" t="s">
        <v>575</v>
      </c>
    </row>
    <row r="902" spans="1:2" x14ac:dyDescent="0.25">
      <c r="A902">
        <v>11008042</v>
      </c>
      <c r="B902" t="s">
        <v>578</v>
      </c>
    </row>
    <row r="903" spans="1:2" x14ac:dyDescent="0.25">
      <c r="A903">
        <v>11035343</v>
      </c>
      <c r="B903" t="s">
        <v>577</v>
      </c>
    </row>
    <row r="904" spans="1:2" x14ac:dyDescent="0.25">
      <c r="A904">
        <v>11036625</v>
      </c>
      <c r="B904" t="s">
        <v>576</v>
      </c>
    </row>
    <row r="905" spans="1:2" x14ac:dyDescent="0.25">
      <c r="A905">
        <v>10802698</v>
      </c>
      <c r="B905" t="s">
        <v>580</v>
      </c>
    </row>
    <row r="906" spans="1:2" x14ac:dyDescent="0.25">
      <c r="A906">
        <v>10763288</v>
      </c>
      <c r="B906" t="s">
        <v>580</v>
      </c>
    </row>
    <row r="907" spans="1:2" x14ac:dyDescent="0.25">
      <c r="A907">
        <v>10767538</v>
      </c>
      <c r="B907" t="s">
        <v>580</v>
      </c>
    </row>
    <row r="908" spans="1:2" x14ac:dyDescent="0.25">
      <c r="A908">
        <v>11591609</v>
      </c>
      <c r="B908" t="s">
        <v>575</v>
      </c>
    </row>
    <row r="909" spans="1:2" x14ac:dyDescent="0.25">
      <c r="A909">
        <v>11348297</v>
      </c>
      <c r="B909" t="s">
        <v>577</v>
      </c>
    </row>
    <row r="910" spans="1:2" x14ac:dyDescent="0.25">
      <c r="A910">
        <v>11944614</v>
      </c>
      <c r="B910" t="s">
        <v>575</v>
      </c>
    </row>
    <row r="911" spans="1:2" x14ac:dyDescent="0.25">
      <c r="A911">
        <v>11711379</v>
      </c>
      <c r="B911" t="s">
        <v>575</v>
      </c>
    </row>
    <row r="912" spans="1:2" x14ac:dyDescent="0.25">
      <c r="A912">
        <v>10955275</v>
      </c>
      <c r="B912" t="s">
        <v>576</v>
      </c>
    </row>
    <row r="913" spans="1:2" x14ac:dyDescent="0.25">
      <c r="A913">
        <v>11712731</v>
      </c>
      <c r="B913" t="s">
        <v>579</v>
      </c>
    </row>
    <row r="914" spans="1:2" x14ac:dyDescent="0.25">
      <c r="A914">
        <v>11590342</v>
      </c>
      <c r="B914" t="s">
        <v>580</v>
      </c>
    </row>
    <row r="915" spans="1:2" x14ac:dyDescent="0.25">
      <c r="A915">
        <v>11348238</v>
      </c>
      <c r="B915" t="s">
        <v>576</v>
      </c>
    </row>
    <row r="916" spans="1:2" x14ac:dyDescent="0.25">
      <c r="A916">
        <v>11622938</v>
      </c>
      <c r="B916" t="s">
        <v>576</v>
      </c>
    </row>
    <row r="917" spans="1:2" x14ac:dyDescent="0.25">
      <c r="A917">
        <v>10573098</v>
      </c>
      <c r="B917" t="s">
        <v>575</v>
      </c>
    </row>
    <row r="918" spans="1:2" x14ac:dyDescent="0.25">
      <c r="A918">
        <v>10698755</v>
      </c>
      <c r="B918" t="s">
        <v>580</v>
      </c>
    </row>
    <row r="919" spans="1:2" x14ac:dyDescent="0.25">
      <c r="A919">
        <v>10737181</v>
      </c>
      <c r="B919" t="s">
        <v>575</v>
      </c>
    </row>
    <row r="920" spans="1:2" x14ac:dyDescent="0.25">
      <c r="A920">
        <v>11600848</v>
      </c>
      <c r="B920" t="s">
        <v>575</v>
      </c>
    </row>
    <row r="921" spans="1:2" x14ac:dyDescent="0.25">
      <c r="A921">
        <v>10572729</v>
      </c>
      <c r="B921" t="s">
        <v>577</v>
      </c>
    </row>
    <row r="922" spans="1:2" x14ac:dyDescent="0.25">
      <c r="A922">
        <v>11654968</v>
      </c>
      <c r="B922" t="s">
        <v>576</v>
      </c>
    </row>
    <row r="923" spans="1:2" x14ac:dyDescent="0.25">
      <c r="A923">
        <v>11634952</v>
      </c>
      <c r="B923" t="s">
        <v>575</v>
      </c>
    </row>
    <row r="924" spans="1:2" x14ac:dyDescent="0.25">
      <c r="A924">
        <v>10620187</v>
      </c>
      <c r="B924" t="s">
        <v>575</v>
      </c>
    </row>
    <row r="925" spans="1:2" x14ac:dyDescent="0.25">
      <c r="A925">
        <v>11345506</v>
      </c>
      <c r="B925" t="s">
        <v>577</v>
      </c>
    </row>
    <row r="926" spans="1:2" x14ac:dyDescent="0.25">
      <c r="A926">
        <v>11498317</v>
      </c>
      <c r="B926" t="s">
        <v>575</v>
      </c>
    </row>
    <row r="927" spans="1:2" x14ac:dyDescent="0.25">
      <c r="A927">
        <v>11021786</v>
      </c>
      <c r="B927" t="s">
        <v>575</v>
      </c>
    </row>
    <row r="928" spans="1:2" x14ac:dyDescent="0.25">
      <c r="A928">
        <v>11690662</v>
      </c>
      <c r="B928" t="s">
        <v>575</v>
      </c>
    </row>
    <row r="929" spans="1:2" x14ac:dyDescent="0.25">
      <c r="A929">
        <v>10956450</v>
      </c>
      <c r="B929" t="s">
        <v>580</v>
      </c>
    </row>
    <row r="930" spans="1:2" x14ac:dyDescent="0.25">
      <c r="A930">
        <v>11041689</v>
      </c>
      <c r="B930" t="s">
        <v>576</v>
      </c>
    </row>
    <row r="931" spans="1:2" x14ac:dyDescent="0.25">
      <c r="A931">
        <v>12005155</v>
      </c>
      <c r="B931" t="s">
        <v>578</v>
      </c>
    </row>
    <row r="932" spans="1:2" x14ac:dyDescent="0.25">
      <c r="A932">
        <v>11593000</v>
      </c>
      <c r="B932" t="s">
        <v>576</v>
      </c>
    </row>
    <row r="933" spans="1:2" x14ac:dyDescent="0.25">
      <c r="A933">
        <v>11381522</v>
      </c>
      <c r="B933" t="s">
        <v>577</v>
      </c>
    </row>
    <row r="934" spans="1:2" x14ac:dyDescent="0.25">
      <c r="A934">
        <v>10677014</v>
      </c>
      <c r="B934" t="s">
        <v>578</v>
      </c>
    </row>
    <row r="935" spans="1:2" x14ac:dyDescent="0.25">
      <c r="A935">
        <v>11028387</v>
      </c>
      <c r="B935" t="s">
        <v>579</v>
      </c>
    </row>
    <row r="936" spans="1:2" x14ac:dyDescent="0.25">
      <c r="A936">
        <v>11042212</v>
      </c>
      <c r="B936" t="s">
        <v>575</v>
      </c>
    </row>
    <row r="937" spans="1:2" x14ac:dyDescent="0.25">
      <c r="A937">
        <v>10704999</v>
      </c>
      <c r="B937" t="s">
        <v>576</v>
      </c>
    </row>
    <row r="938" spans="1:2" x14ac:dyDescent="0.25">
      <c r="A938">
        <v>11253841</v>
      </c>
      <c r="B938" t="s">
        <v>576</v>
      </c>
    </row>
    <row r="939" spans="1:2" x14ac:dyDescent="0.25">
      <c r="A939">
        <v>11294430</v>
      </c>
      <c r="B939" t="s">
        <v>578</v>
      </c>
    </row>
    <row r="940" spans="1:2" x14ac:dyDescent="0.25">
      <c r="A940">
        <v>11122779</v>
      </c>
      <c r="B940" t="s">
        <v>575</v>
      </c>
    </row>
    <row r="941" spans="1:2" x14ac:dyDescent="0.25">
      <c r="A941">
        <v>11093398</v>
      </c>
      <c r="B941" t="s">
        <v>576</v>
      </c>
    </row>
    <row r="942" spans="1:2" x14ac:dyDescent="0.25">
      <c r="A942">
        <v>11617289</v>
      </c>
      <c r="B942" t="s">
        <v>575</v>
      </c>
    </row>
    <row r="943" spans="1:2" x14ac:dyDescent="0.25">
      <c r="A943">
        <v>11591977</v>
      </c>
      <c r="B943" t="s">
        <v>578</v>
      </c>
    </row>
    <row r="944" spans="1:2" x14ac:dyDescent="0.25">
      <c r="A944">
        <v>11592484</v>
      </c>
      <c r="B944" t="s">
        <v>579</v>
      </c>
    </row>
    <row r="945" spans="1:2" x14ac:dyDescent="0.25">
      <c r="A945">
        <v>11370765</v>
      </c>
      <c r="B945" t="s">
        <v>575</v>
      </c>
    </row>
    <row r="946" spans="1:2" x14ac:dyDescent="0.25">
      <c r="A946">
        <v>11391578</v>
      </c>
      <c r="B946" t="s">
        <v>580</v>
      </c>
    </row>
    <row r="947" spans="1:2" x14ac:dyDescent="0.25">
      <c r="A947">
        <v>11557377</v>
      </c>
      <c r="B947" t="s">
        <v>576</v>
      </c>
    </row>
    <row r="948" spans="1:2" x14ac:dyDescent="0.25">
      <c r="A948">
        <v>11448244</v>
      </c>
      <c r="B948" t="s">
        <v>576</v>
      </c>
    </row>
    <row r="949" spans="1:2" x14ac:dyDescent="0.25">
      <c r="A949">
        <v>11449441</v>
      </c>
      <c r="B949" t="s">
        <v>576</v>
      </c>
    </row>
    <row r="950" spans="1:2" x14ac:dyDescent="0.25">
      <c r="A950">
        <v>11450712</v>
      </c>
      <c r="B950" t="s">
        <v>576</v>
      </c>
    </row>
    <row r="951" spans="1:2" x14ac:dyDescent="0.25">
      <c r="A951">
        <v>11854161</v>
      </c>
      <c r="B951" t="s">
        <v>575</v>
      </c>
    </row>
    <row r="952" spans="1:2" x14ac:dyDescent="0.25">
      <c r="A952">
        <v>11754482</v>
      </c>
      <c r="B952" t="s">
        <v>578</v>
      </c>
    </row>
    <row r="953" spans="1:2" x14ac:dyDescent="0.25">
      <c r="A953">
        <v>11433582</v>
      </c>
      <c r="B953" t="s">
        <v>577</v>
      </c>
    </row>
    <row r="954" spans="1:2" x14ac:dyDescent="0.25">
      <c r="A954">
        <v>11284013</v>
      </c>
      <c r="B954" t="s">
        <v>576</v>
      </c>
    </row>
    <row r="955" spans="1:2" x14ac:dyDescent="0.25">
      <c r="A955">
        <v>11117786</v>
      </c>
      <c r="B955" t="s">
        <v>579</v>
      </c>
    </row>
    <row r="956" spans="1:2" x14ac:dyDescent="0.25">
      <c r="A956">
        <v>11498068</v>
      </c>
      <c r="B956" t="s">
        <v>577</v>
      </c>
    </row>
    <row r="957" spans="1:2" x14ac:dyDescent="0.25">
      <c r="A957">
        <v>11630930</v>
      </c>
      <c r="B957" t="s">
        <v>577</v>
      </c>
    </row>
    <row r="958" spans="1:2" x14ac:dyDescent="0.25">
      <c r="A958">
        <v>11633028</v>
      </c>
      <c r="B958" t="s">
        <v>580</v>
      </c>
    </row>
    <row r="959" spans="1:2" x14ac:dyDescent="0.25">
      <c r="A959">
        <v>11481392</v>
      </c>
      <c r="B959" t="s">
        <v>577</v>
      </c>
    </row>
    <row r="960" spans="1:2" x14ac:dyDescent="0.25">
      <c r="A960">
        <v>11425987</v>
      </c>
      <c r="B960" t="s">
        <v>577</v>
      </c>
    </row>
    <row r="961" spans="1:2" x14ac:dyDescent="0.25">
      <c r="A961">
        <v>11406835</v>
      </c>
      <c r="B961" t="s">
        <v>577</v>
      </c>
    </row>
    <row r="962" spans="1:2" x14ac:dyDescent="0.25">
      <c r="A962">
        <v>11306154</v>
      </c>
      <c r="B962" t="s">
        <v>577</v>
      </c>
    </row>
    <row r="963" spans="1:2" x14ac:dyDescent="0.25">
      <c r="A963">
        <v>12003787</v>
      </c>
      <c r="B963" t="s">
        <v>578</v>
      </c>
    </row>
    <row r="964" spans="1:2" x14ac:dyDescent="0.25">
      <c r="A964">
        <v>11344789</v>
      </c>
      <c r="B964" t="s">
        <v>575</v>
      </c>
    </row>
    <row r="965" spans="1:2" x14ac:dyDescent="0.25">
      <c r="A965">
        <v>11787134</v>
      </c>
      <c r="B965" t="s">
        <v>575</v>
      </c>
    </row>
    <row r="966" spans="1:2" x14ac:dyDescent="0.25">
      <c r="A966">
        <v>11347884</v>
      </c>
      <c r="B966" t="s">
        <v>577</v>
      </c>
    </row>
    <row r="967" spans="1:2" x14ac:dyDescent="0.25">
      <c r="A967">
        <v>11405326</v>
      </c>
      <c r="B967" t="s">
        <v>577</v>
      </c>
    </row>
    <row r="968" spans="1:2" x14ac:dyDescent="0.25">
      <c r="A968">
        <v>11409096</v>
      </c>
      <c r="B968" t="s">
        <v>575</v>
      </c>
    </row>
    <row r="969" spans="1:2" x14ac:dyDescent="0.25">
      <c r="A969">
        <v>11409166</v>
      </c>
      <c r="B969" t="s">
        <v>576</v>
      </c>
    </row>
    <row r="970" spans="1:2" x14ac:dyDescent="0.25">
      <c r="A970">
        <v>11409459</v>
      </c>
      <c r="B970" t="s">
        <v>578</v>
      </c>
    </row>
    <row r="971" spans="1:2" x14ac:dyDescent="0.25">
      <c r="A971">
        <v>11410921</v>
      </c>
      <c r="B971" t="s">
        <v>577</v>
      </c>
    </row>
    <row r="972" spans="1:2" x14ac:dyDescent="0.25">
      <c r="A972">
        <v>11624828</v>
      </c>
      <c r="B972" t="s">
        <v>580</v>
      </c>
    </row>
    <row r="973" spans="1:2" x14ac:dyDescent="0.25">
      <c r="A973">
        <v>11640357</v>
      </c>
      <c r="B973" t="s">
        <v>578</v>
      </c>
    </row>
    <row r="974" spans="1:2" x14ac:dyDescent="0.25">
      <c r="A974">
        <v>12018248</v>
      </c>
      <c r="B974" t="s">
        <v>577</v>
      </c>
    </row>
    <row r="975" spans="1:2" x14ac:dyDescent="0.25">
      <c r="A975">
        <v>11664759</v>
      </c>
      <c r="B975" t="s">
        <v>576</v>
      </c>
    </row>
    <row r="976" spans="1:2" x14ac:dyDescent="0.25">
      <c r="A976">
        <v>11633138</v>
      </c>
      <c r="B976" t="s">
        <v>575</v>
      </c>
    </row>
    <row r="977" spans="1:2" x14ac:dyDescent="0.25">
      <c r="A977">
        <v>11425589</v>
      </c>
      <c r="B977" t="s">
        <v>575</v>
      </c>
    </row>
    <row r="978" spans="1:2" x14ac:dyDescent="0.25">
      <c r="A978">
        <v>11110876</v>
      </c>
      <c r="B978" t="s">
        <v>577</v>
      </c>
    </row>
    <row r="979" spans="1:2" x14ac:dyDescent="0.25">
      <c r="A979">
        <v>11416642</v>
      </c>
      <c r="B979" t="s">
        <v>577</v>
      </c>
    </row>
    <row r="980" spans="1:2" x14ac:dyDescent="0.25">
      <c r="A980">
        <v>11416887</v>
      </c>
      <c r="B980" t="s">
        <v>576</v>
      </c>
    </row>
    <row r="981" spans="1:2" x14ac:dyDescent="0.25">
      <c r="A981">
        <v>11707246</v>
      </c>
      <c r="B981" t="s">
        <v>575</v>
      </c>
    </row>
    <row r="982" spans="1:2" x14ac:dyDescent="0.25">
      <c r="A982">
        <v>11290835</v>
      </c>
      <c r="B982" t="s">
        <v>576</v>
      </c>
    </row>
    <row r="983" spans="1:2" x14ac:dyDescent="0.25">
      <c r="A983">
        <v>11348116</v>
      </c>
      <c r="B983" t="s">
        <v>575</v>
      </c>
    </row>
    <row r="984" spans="1:2" x14ac:dyDescent="0.25">
      <c r="A984">
        <v>11876309</v>
      </c>
      <c r="B984" t="s">
        <v>578</v>
      </c>
    </row>
    <row r="985" spans="1:2" x14ac:dyDescent="0.25">
      <c r="A985">
        <v>11362338</v>
      </c>
      <c r="B985" t="s">
        <v>577</v>
      </c>
    </row>
    <row r="986" spans="1:2" x14ac:dyDescent="0.25">
      <c r="A986">
        <v>11362514</v>
      </c>
      <c r="B986" t="s">
        <v>575</v>
      </c>
    </row>
    <row r="987" spans="1:2" x14ac:dyDescent="0.25">
      <c r="A987">
        <v>11387699</v>
      </c>
      <c r="B987" t="s">
        <v>577</v>
      </c>
    </row>
    <row r="988" spans="1:2" x14ac:dyDescent="0.25">
      <c r="A988">
        <v>11371674</v>
      </c>
      <c r="B988" t="s">
        <v>576</v>
      </c>
    </row>
    <row r="989" spans="1:2" x14ac:dyDescent="0.25">
      <c r="A989">
        <v>11376681</v>
      </c>
      <c r="B989" t="s">
        <v>578</v>
      </c>
    </row>
    <row r="990" spans="1:2" x14ac:dyDescent="0.25">
      <c r="A990">
        <v>11400629</v>
      </c>
      <c r="B990" t="s">
        <v>575</v>
      </c>
    </row>
    <row r="991" spans="1:2" x14ac:dyDescent="0.25">
      <c r="A991">
        <v>11442364</v>
      </c>
      <c r="B991" t="s">
        <v>575</v>
      </c>
    </row>
    <row r="992" spans="1:2" x14ac:dyDescent="0.25">
      <c r="A992">
        <v>11440195</v>
      </c>
      <c r="B992" t="s">
        <v>577</v>
      </c>
    </row>
    <row r="993" spans="1:2" x14ac:dyDescent="0.25">
      <c r="A993">
        <v>11435335</v>
      </c>
      <c r="B993" t="s">
        <v>576</v>
      </c>
    </row>
    <row r="994" spans="1:2" x14ac:dyDescent="0.25">
      <c r="A994">
        <v>11407907</v>
      </c>
      <c r="B994" t="s">
        <v>576</v>
      </c>
    </row>
    <row r="995" spans="1:2" x14ac:dyDescent="0.25">
      <c r="A995">
        <v>11409021</v>
      </c>
      <c r="B995" t="s">
        <v>579</v>
      </c>
    </row>
    <row r="996" spans="1:2" x14ac:dyDescent="0.25">
      <c r="A996">
        <v>11407130</v>
      </c>
      <c r="B996" t="s">
        <v>575</v>
      </c>
    </row>
    <row r="997" spans="1:2" x14ac:dyDescent="0.25">
      <c r="A997">
        <v>11559065</v>
      </c>
      <c r="B997" t="s">
        <v>576</v>
      </c>
    </row>
    <row r="998" spans="1:2" x14ac:dyDescent="0.25">
      <c r="A998">
        <v>11558061</v>
      </c>
      <c r="B998" t="s">
        <v>580</v>
      </c>
    </row>
    <row r="999" spans="1:2" x14ac:dyDescent="0.25">
      <c r="A999">
        <v>11639160</v>
      </c>
    </row>
    <row r="1000" spans="1:2" x14ac:dyDescent="0.25">
      <c r="A1000">
        <v>11834524</v>
      </c>
      <c r="B1000" t="s">
        <v>578</v>
      </c>
    </row>
    <row r="1001" spans="1:2" x14ac:dyDescent="0.25">
      <c r="A1001">
        <v>11028847</v>
      </c>
      <c r="B1001" t="s">
        <v>575</v>
      </c>
    </row>
    <row r="1002" spans="1:2" x14ac:dyDescent="0.25">
      <c r="A1002">
        <v>11454466</v>
      </c>
      <c r="B1002" t="s">
        <v>577</v>
      </c>
    </row>
    <row r="1003" spans="1:2" x14ac:dyDescent="0.25">
      <c r="A1003">
        <v>11552000</v>
      </c>
      <c r="B1003" t="s">
        <v>578</v>
      </c>
    </row>
    <row r="1004" spans="1:2" x14ac:dyDescent="0.25">
      <c r="A1004">
        <v>11557557</v>
      </c>
      <c r="B1004" t="s">
        <v>580</v>
      </c>
    </row>
    <row r="1005" spans="1:2" x14ac:dyDescent="0.25">
      <c r="A1005">
        <v>11559883</v>
      </c>
      <c r="B1005" t="s">
        <v>580</v>
      </c>
    </row>
    <row r="1006" spans="1:2" x14ac:dyDescent="0.25">
      <c r="A1006">
        <v>11559976</v>
      </c>
      <c r="B1006" t="s">
        <v>580</v>
      </c>
    </row>
    <row r="1007" spans="1:2" x14ac:dyDescent="0.25">
      <c r="A1007">
        <v>11561221</v>
      </c>
      <c r="B1007" t="s">
        <v>580</v>
      </c>
    </row>
    <row r="1008" spans="1:2" x14ac:dyDescent="0.25">
      <c r="A1008">
        <v>11561234</v>
      </c>
      <c r="B1008" t="s">
        <v>580</v>
      </c>
    </row>
    <row r="1009" spans="1:2" x14ac:dyDescent="0.25">
      <c r="A1009">
        <v>11597889</v>
      </c>
      <c r="B1009" t="s">
        <v>579</v>
      </c>
    </row>
    <row r="1010" spans="1:2" x14ac:dyDescent="0.25">
      <c r="A1010">
        <v>11559130</v>
      </c>
      <c r="B1010" t="s">
        <v>580</v>
      </c>
    </row>
    <row r="1011" spans="1:2" x14ac:dyDescent="0.25">
      <c r="A1011">
        <v>11562133</v>
      </c>
      <c r="B1011" t="s">
        <v>580</v>
      </c>
    </row>
    <row r="1012" spans="1:2" x14ac:dyDescent="0.25">
      <c r="A1012">
        <v>11561833</v>
      </c>
      <c r="B1012" t="s">
        <v>576</v>
      </c>
    </row>
    <row r="1013" spans="1:2" x14ac:dyDescent="0.25">
      <c r="A1013">
        <v>11561470</v>
      </c>
      <c r="B1013" t="s">
        <v>576</v>
      </c>
    </row>
    <row r="1014" spans="1:2" x14ac:dyDescent="0.25">
      <c r="A1014">
        <v>11561520</v>
      </c>
      <c r="B1014" t="s">
        <v>576</v>
      </c>
    </row>
    <row r="1015" spans="1:2" x14ac:dyDescent="0.25">
      <c r="A1015">
        <v>11562604</v>
      </c>
      <c r="B1015" t="s">
        <v>575</v>
      </c>
    </row>
    <row r="1016" spans="1:2" x14ac:dyDescent="0.25">
      <c r="A1016">
        <v>11574977</v>
      </c>
      <c r="B1016" t="s">
        <v>580</v>
      </c>
    </row>
    <row r="1017" spans="1:2" x14ac:dyDescent="0.25">
      <c r="A1017">
        <v>11577189</v>
      </c>
      <c r="B1017" t="s">
        <v>576</v>
      </c>
    </row>
    <row r="1018" spans="1:2" x14ac:dyDescent="0.25">
      <c r="A1018">
        <v>11585905</v>
      </c>
      <c r="B1018" t="s">
        <v>577</v>
      </c>
    </row>
    <row r="1019" spans="1:2" x14ac:dyDescent="0.25">
      <c r="A1019">
        <v>11592409</v>
      </c>
      <c r="B1019" t="s">
        <v>580</v>
      </c>
    </row>
    <row r="1020" spans="1:2" x14ac:dyDescent="0.25">
      <c r="A1020">
        <v>11592602</v>
      </c>
      <c r="B1020" t="s">
        <v>577</v>
      </c>
    </row>
    <row r="1021" spans="1:2" x14ac:dyDescent="0.25">
      <c r="A1021">
        <v>11591321</v>
      </c>
      <c r="B1021" t="s">
        <v>580</v>
      </c>
    </row>
    <row r="1022" spans="1:2" x14ac:dyDescent="0.25">
      <c r="A1022">
        <v>11346354</v>
      </c>
      <c r="B1022" t="s">
        <v>578</v>
      </c>
    </row>
    <row r="1023" spans="1:2" x14ac:dyDescent="0.25">
      <c r="A1023">
        <v>10808428</v>
      </c>
      <c r="B1023" t="s">
        <v>577</v>
      </c>
    </row>
    <row r="1024" spans="1:2" x14ac:dyDescent="0.25">
      <c r="A1024">
        <v>11445403</v>
      </c>
      <c r="B1024" t="s">
        <v>580</v>
      </c>
    </row>
    <row r="1025" spans="1:2" x14ac:dyDescent="0.25">
      <c r="A1025">
        <v>11484593</v>
      </c>
      <c r="B1025" t="s">
        <v>575</v>
      </c>
    </row>
    <row r="1026" spans="1:2" x14ac:dyDescent="0.25">
      <c r="A1026">
        <v>11483930</v>
      </c>
      <c r="B1026" t="s">
        <v>576</v>
      </c>
    </row>
    <row r="1027" spans="1:2" x14ac:dyDescent="0.25">
      <c r="A1027">
        <v>11350395</v>
      </c>
      <c r="B1027" t="s">
        <v>578</v>
      </c>
    </row>
    <row r="1028" spans="1:2" x14ac:dyDescent="0.25">
      <c r="A1028">
        <v>11627287</v>
      </c>
      <c r="B1028" t="s">
        <v>577</v>
      </c>
    </row>
    <row r="1029" spans="1:2" x14ac:dyDescent="0.25">
      <c r="A1029">
        <v>11616011</v>
      </c>
      <c r="B1029" t="s">
        <v>576</v>
      </c>
    </row>
    <row r="1030" spans="1:2" x14ac:dyDescent="0.25">
      <c r="A1030">
        <v>11616419</v>
      </c>
      <c r="B1030" t="s">
        <v>577</v>
      </c>
    </row>
    <row r="1031" spans="1:2" x14ac:dyDescent="0.25">
      <c r="A1031">
        <v>11543242</v>
      </c>
      <c r="B1031" t="s">
        <v>575</v>
      </c>
    </row>
    <row r="1032" spans="1:2" x14ac:dyDescent="0.25">
      <c r="A1032">
        <v>11632226</v>
      </c>
      <c r="B1032" t="s">
        <v>577</v>
      </c>
    </row>
    <row r="1033" spans="1:2" x14ac:dyDescent="0.25">
      <c r="A1033">
        <v>11556016</v>
      </c>
      <c r="B1033" t="s">
        <v>576</v>
      </c>
    </row>
    <row r="1034" spans="1:2" x14ac:dyDescent="0.25">
      <c r="A1034">
        <v>11557330</v>
      </c>
      <c r="B1034" t="s">
        <v>580</v>
      </c>
    </row>
    <row r="1035" spans="1:2" x14ac:dyDescent="0.25">
      <c r="A1035">
        <v>11543702</v>
      </c>
      <c r="B1035" t="s">
        <v>578</v>
      </c>
    </row>
    <row r="1036" spans="1:2" x14ac:dyDescent="0.25">
      <c r="A1036">
        <v>11583680</v>
      </c>
      <c r="B1036" t="s">
        <v>575</v>
      </c>
    </row>
    <row r="1037" spans="1:2" x14ac:dyDescent="0.25">
      <c r="A1037">
        <v>11599721</v>
      </c>
      <c r="B1037" t="s">
        <v>575</v>
      </c>
    </row>
    <row r="1038" spans="1:2" x14ac:dyDescent="0.25">
      <c r="A1038">
        <v>11644585</v>
      </c>
      <c r="B1038" t="s">
        <v>576</v>
      </c>
    </row>
    <row r="1039" spans="1:2" x14ac:dyDescent="0.25">
      <c r="A1039">
        <v>11877247</v>
      </c>
      <c r="B1039" t="s">
        <v>579</v>
      </c>
    </row>
    <row r="1040" spans="1:2" x14ac:dyDescent="0.25">
      <c r="A1040">
        <v>11817113</v>
      </c>
      <c r="B1040" t="s">
        <v>578</v>
      </c>
    </row>
    <row r="1041" spans="1:2" x14ac:dyDescent="0.25">
      <c r="A1041">
        <v>11837963</v>
      </c>
      <c r="B1041" t="s">
        <v>579</v>
      </c>
    </row>
    <row r="1042" spans="1:2" x14ac:dyDescent="0.25">
      <c r="A1042">
        <v>11709596</v>
      </c>
      <c r="B1042" t="s">
        <v>580</v>
      </c>
    </row>
    <row r="1043" spans="1:2" x14ac:dyDescent="0.25">
      <c r="A1043">
        <v>11856720</v>
      </c>
      <c r="B1043" t="s">
        <v>578</v>
      </c>
    </row>
    <row r="1044" spans="1:2" x14ac:dyDescent="0.25">
      <c r="A1044">
        <v>11857826</v>
      </c>
      <c r="B1044" t="s">
        <v>580</v>
      </c>
    </row>
    <row r="1045" spans="1:2" x14ac:dyDescent="0.25">
      <c r="A1045">
        <v>11592678</v>
      </c>
      <c r="B1045" t="s">
        <v>576</v>
      </c>
    </row>
    <row r="1046" spans="1:2" x14ac:dyDescent="0.25">
      <c r="A1046">
        <v>11454080</v>
      </c>
      <c r="B1046" t="s">
        <v>579</v>
      </c>
    </row>
    <row r="1047" spans="1:2" x14ac:dyDescent="0.25">
      <c r="A1047">
        <v>11376455</v>
      </c>
      <c r="B1047" t="s">
        <v>580</v>
      </c>
    </row>
    <row r="1048" spans="1:2" x14ac:dyDescent="0.25">
      <c r="A1048">
        <v>11347934</v>
      </c>
      <c r="B1048" t="s">
        <v>580</v>
      </c>
    </row>
    <row r="1049" spans="1:2" x14ac:dyDescent="0.25">
      <c r="A1049">
        <v>11358173</v>
      </c>
      <c r="B1049" t="s">
        <v>580</v>
      </c>
    </row>
    <row r="1050" spans="1:2" x14ac:dyDescent="0.25">
      <c r="A1050">
        <v>11358673</v>
      </c>
      <c r="B1050" t="s">
        <v>576</v>
      </c>
    </row>
    <row r="1051" spans="1:2" x14ac:dyDescent="0.25">
      <c r="A1051">
        <v>11706401</v>
      </c>
      <c r="B1051" t="s">
        <v>576</v>
      </c>
    </row>
    <row r="1052" spans="1:2" x14ac:dyDescent="0.25">
      <c r="A1052">
        <v>11707666</v>
      </c>
      <c r="B1052" t="s">
        <v>576</v>
      </c>
    </row>
    <row r="1053" spans="1:2" x14ac:dyDescent="0.25">
      <c r="A1053">
        <v>11790219</v>
      </c>
      <c r="B1053" t="s">
        <v>575</v>
      </c>
    </row>
    <row r="1054" spans="1:2" x14ac:dyDescent="0.25">
      <c r="A1054">
        <v>11918613</v>
      </c>
      <c r="B1054" t="s">
        <v>577</v>
      </c>
    </row>
    <row r="1055" spans="1:2" x14ac:dyDescent="0.25">
      <c r="A1055">
        <v>11863526</v>
      </c>
      <c r="B1055" t="s">
        <v>575</v>
      </c>
    </row>
    <row r="1056" spans="1:2" x14ac:dyDescent="0.25">
      <c r="A1056">
        <v>12020465</v>
      </c>
      <c r="B1056" t="s">
        <v>578</v>
      </c>
    </row>
    <row r="1057" spans="1:2" x14ac:dyDescent="0.25">
      <c r="A1057">
        <v>11980456</v>
      </c>
      <c r="B1057" t="s">
        <v>575</v>
      </c>
    </row>
    <row r="1058" spans="1:2" x14ac:dyDescent="0.25">
      <c r="A1058">
        <v>11895664</v>
      </c>
      <c r="B1058" t="s">
        <v>579</v>
      </c>
    </row>
    <row r="1059" spans="1:2" x14ac:dyDescent="0.25">
      <c r="A1059">
        <v>11839986</v>
      </c>
      <c r="B1059" t="s">
        <v>575</v>
      </c>
    </row>
    <row r="1060" spans="1:2" x14ac:dyDescent="0.25">
      <c r="A1060">
        <v>11927472</v>
      </c>
      <c r="B1060" t="s">
        <v>575</v>
      </c>
    </row>
    <row r="1061" spans="1:2" x14ac:dyDescent="0.25">
      <c r="A1061">
        <v>10704646</v>
      </c>
      <c r="B1061" t="s">
        <v>580</v>
      </c>
    </row>
    <row r="1062" spans="1:2" x14ac:dyDescent="0.25">
      <c r="A1062">
        <v>11663060</v>
      </c>
      <c r="B1062" t="s">
        <v>576</v>
      </c>
    </row>
    <row r="1063" spans="1:2" x14ac:dyDescent="0.25">
      <c r="A1063">
        <v>11048284</v>
      </c>
      <c r="B1063" t="s">
        <v>576</v>
      </c>
    </row>
    <row r="1064" spans="1:2" x14ac:dyDescent="0.25">
      <c r="A1064">
        <v>10814399</v>
      </c>
      <c r="B1064" t="s">
        <v>575</v>
      </c>
    </row>
    <row r="1065" spans="1:2" x14ac:dyDescent="0.25">
      <c r="A1065">
        <v>10825536</v>
      </c>
      <c r="B1065" t="s">
        <v>577</v>
      </c>
    </row>
    <row r="1066" spans="1:2" x14ac:dyDescent="0.25">
      <c r="A1066">
        <v>10737786</v>
      </c>
      <c r="B1066" t="s">
        <v>578</v>
      </c>
    </row>
    <row r="1067" spans="1:2" x14ac:dyDescent="0.25">
      <c r="A1067">
        <v>10760531</v>
      </c>
      <c r="B1067" t="s">
        <v>575</v>
      </c>
    </row>
    <row r="1068" spans="1:2" x14ac:dyDescent="0.25">
      <c r="A1068">
        <v>11346460</v>
      </c>
      <c r="B1068" t="s">
        <v>575</v>
      </c>
    </row>
    <row r="1069" spans="1:2" x14ac:dyDescent="0.25">
      <c r="A1069">
        <v>11607950</v>
      </c>
      <c r="B1069" t="s">
        <v>580</v>
      </c>
    </row>
    <row r="1070" spans="1:2" x14ac:dyDescent="0.25">
      <c r="A1070">
        <v>11607171</v>
      </c>
      <c r="B1070" t="s">
        <v>577</v>
      </c>
    </row>
    <row r="1071" spans="1:2" x14ac:dyDescent="0.25">
      <c r="A1071">
        <v>11543099</v>
      </c>
      <c r="B1071" t="s">
        <v>576</v>
      </c>
    </row>
    <row r="1072" spans="1:2" x14ac:dyDescent="0.25">
      <c r="A1072">
        <v>11543202</v>
      </c>
      <c r="B1072" t="s">
        <v>576</v>
      </c>
    </row>
    <row r="1073" spans="1:2" x14ac:dyDescent="0.25">
      <c r="A1073">
        <v>11543494</v>
      </c>
      <c r="B1073" t="s">
        <v>580</v>
      </c>
    </row>
    <row r="1074" spans="1:2" x14ac:dyDescent="0.25">
      <c r="A1074">
        <v>11543421</v>
      </c>
      <c r="B1074" t="s">
        <v>580</v>
      </c>
    </row>
    <row r="1075" spans="1:2" x14ac:dyDescent="0.25">
      <c r="A1075">
        <v>11886550</v>
      </c>
      <c r="B1075" t="s">
        <v>579</v>
      </c>
    </row>
    <row r="1076" spans="1:2" x14ac:dyDescent="0.25">
      <c r="A1076">
        <v>11369194</v>
      </c>
      <c r="B1076" t="s">
        <v>576</v>
      </c>
    </row>
    <row r="1077" spans="1:2" x14ac:dyDescent="0.25">
      <c r="A1077">
        <v>11559466</v>
      </c>
      <c r="B1077" t="s">
        <v>576</v>
      </c>
    </row>
    <row r="1078" spans="1:2" x14ac:dyDescent="0.25">
      <c r="A1078">
        <v>11419700</v>
      </c>
      <c r="B1078" t="s">
        <v>575</v>
      </c>
    </row>
    <row r="1079" spans="1:2" x14ac:dyDescent="0.25">
      <c r="A1079">
        <v>11598318</v>
      </c>
      <c r="B1079" t="s">
        <v>575</v>
      </c>
    </row>
    <row r="1080" spans="1:2" x14ac:dyDescent="0.25">
      <c r="A1080">
        <v>11585147</v>
      </c>
      <c r="B1080" t="s">
        <v>576</v>
      </c>
    </row>
    <row r="1081" spans="1:2" x14ac:dyDescent="0.25">
      <c r="A1081">
        <v>11063460</v>
      </c>
      <c r="B1081" t="s">
        <v>579</v>
      </c>
    </row>
    <row r="1082" spans="1:2" x14ac:dyDescent="0.25">
      <c r="A1082">
        <v>11068571</v>
      </c>
      <c r="B1082" t="s">
        <v>575</v>
      </c>
    </row>
    <row r="1083" spans="1:2" x14ac:dyDescent="0.25">
      <c r="A1083">
        <v>10911551</v>
      </c>
      <c r="B1083" t="s">
        <v>578</v>
      </c>
    </row>
    <row r="1084" spans="1:2" x14ac:dyDescent="0.25">
      <c r="A1084">
        <v>10703809</v>
      </c>
      <c r="B1084" t="s">
        <v>577</v>
      </c>
    </row>
    <row r="1085" spans="1:2" x14ac:dyDescent="0.25">
      <c r="A1085">
        <v>11386976</v>
      </c>
      <c r="B1085" t="s">
        <v>577</v>
      </c>
    </row>
    <row r="1086" spans="1:2" x14ac:dyDescent="0.25">
      <c r="A1086">
        <v>11418511</v>
      </c>
      <c r="B1086" t="s">
        <v>576</v>
      </c>
    </row>
    <row r="1087" spans="1:2" x14ac:dyDescent="0.25">
      <c r="A1087">
        <v>11419237</v>
      </c>
      <c r="B1087" t="s">
        <v>579</v>
      </c>
    </row>
    <row r="1088" spans="1:2" x14ac:dyDescent="0.25">
      <c r="A1088">
        <v>11427900</v>
      </c>
      <c r="B1088" t="s">
        <v>575</v>
      </c>
    </row>
    <row r="1089" spans="1:2" x14ac:dyDescent="0.25">
      <c r="A1089">
        <v>11374073</v>
      </c>
      <c r="B1089" t="s">
        <v>578</v>
      </c>
    </row>
    <row r="1090" spans="1:2" x14ac:dyDescent="0.25">
      <c r="A1090">
        <v>11814984</v>
      </c>
      <c r="B1090" t="s">
        <v>576</v>
      </c>
    </row>
    <row r="1091" spans="1:2" x14ac:dyDescent="0.25">
      <c r="A1091">
        <v>11451801</v>
      </c>
      <c r="B1091" t="s">
        <v>575</v>
      </c>
    </row>
    <row r="1092" spans="1:2" x14ac:dyDescent="0.25">
      <c r="A1092">
        <v>11462993</v>
      </c>
      <c r="B1092" t="s">
        <v>575</v>
      </c>
    </row>
    <row r="1093" spans="1:2" x14ac:dyDescent="0.25">
      <c r="A1093">
        <v>11332040</v>
      </c>
      <c r="B1093" t="s">
        <v>580</v>
      </c>
    </row>
    <row r="1094" spans="1:2" x14ac:dyDescent="0.25">
      <c r="A1094">
        <v>11346358</v>
      </c>
      <c r="B1094" t="s">
        <v>580</v>
      </c>
    </row>
    <row r="1095" spans="1:2" x14ac:dyDescent="0.25">
      <c r="A1095">
        <v>11344207</v>
      </c>
      <c r="B1095" t="s">
        <v>580</v>
      </c>
    </row>
    <row r="1096" spans="1:2" x14ac:dyDescent="0.25">
      <c r="A1096">
        <v>11344215</v>
      </c>
      <c r="B1096" t="s">
        <v>580</v>
      </c>
    </row>
    <row r="1097" spans="1:2" x14ac:dyDescent="0.25">
      <c r="A1097">
        <v>11586072</v>
      </c>
      <c r="B1097" t="s">
        <v>580</v>
      </c>
    </row>
    <row r="1098" spans="1:2" x14ac:dyDescent="0.25">
      <c r="A1098">
        <v>11577508</v>
      </c>
      <c r="B1098" t="s">
        <v>580</v>
      </c>
    </row>
    <row r="1099" spans="1:2" x14ac:dyDescent="0.25">
      <c r="A1099">
        <v>11581437</v>
      </c>
      <c r="B1099" t="s">
        <v>575</v>
      </c>
    </row>
    <row r="1100" spans="1:2" x14ac:dyDescent="0.25">
      <c r="A1100">
        <v>11577831</v>
      </c>
      <c r="B1100" t="s">
        <v>580</v>
      </c>
    </row>
    <row r="1101" spans="1:2" x14ac:dyDescent="0.25">
      <c r="A1101">
        <v>11566267</v>
      </c>
      <c r="B1101" t="s">
        <v>576</v>
      </c>
    </row>
    <row r="1102" spans="1:2" x14ac:dyDescent="0.25">
      <c r="A1102">
        <v>11561652</v>
      </c>
      <c r="B1102" t="s">
        <v>580</v>
      </c>
    </row>
    <row r="1103" spans="1:2" x14ac:dyDescent="0.25">
      <c r="A1103">
        <v>11561430</v>
      </c>
      <c r="B1103" t="s">
        <v>580</v>
      </c>
    </row>
    <row r="1104" spans="1:2" x14ac:dyDescent="0.25">
      <c r="A1104">
        <v>11561436</v>
      </c>
      <c r="B1104" t="s">
        <v>580</v>
      </c>
    </row>
    <row r="1105" spans="1:2" x14ac:dyDescent="0.25">
      <c r="A1105">
        <v>11560014</v>
      </c>
      <c r="B1105" t="s">
        <v>576</v>
      </c>
    </row>
    <row r="1106" spans="1:2" x14ac:dyDescent="0.25">
      <c r="A1106">
        <v>11560375</v>
      </c>
      <c r="B1106" t="s">
        <v>580</v>
      </c>
    </row>
    <row r="1107" spans="1:2" x14ac:dyDescent="0.25">
      <c r="A1107">
        <v>11560431</v>
      </c>
      <c r="B1107" t="s">
        <v>580</v>
      </c>
    </row>
    <row r="1108" spans="1:2" x14ac:dyDescent="0.25">
      <c r="A1108">
        <v>11560540</v>
      </c>
      <c r="B1108" t="s">
        <v>580</v>
      </c>
    </row>
    <row r="1109" spans="1:2" x14ac:dyDescent="0.25">
      <c r="A1109">
        <v>11560855</v>
      </c>
      <c r="B1109" t="s">
        <v>580</v>
      </c>
    </row>
    <row r="1110" spans="1:2" x14ac:dyDescent="0.25">
      <c r="A1110">
        <v>11560887</v>
      </c>
      <c r="B1110" t="s">
        <v>580</v>
      </c>
    </row>
    <row r="1111" spans="1:2" x14ac:dyDescent="0.25">
      <c r="A1111">
        <v>11560948</v>
      </c>
      <c r="B1111" t="s">
        <v>580</v>
      </c>
    </row>
    <row r="1112" spans="1:2" x14ac:dyDescent="0.25">
      <c r="A1112">
        <v>11558264</v>
      </c>
      <c r="B1112" t="s">
        <v>576</v>
      </c>
    </row>
    <row r="1113" spans="1:2" x14ac:dyDescent="0.25">
      <c r="A1113">
        <v>11803128</v>
      </c>
    </row>
    <row r="1114" spans="1:2" x14ac:dyDescent="0.25">
      <c r="A1114">
        <v>11593092</v>
      </c>
      <c r="B1114" t="s">
        <v>576</v>
      </c>
    </row>
    <row r="1115" spans="1:2" x14ac:dyDescent="0.25">
      <c r="A1115">
        <v>11632263</v>
      </c>
      <c r="B1115" t="s">
        <v>575</v>
      </c>
    </row>
    <row r="1116" spans="1:2" x14ac:dyDescent="0.25">
      <c r="A1116">
        <v>11866255</v>
      </c>
      <c r="B1116" t="s">
        <v>578</v>
      </c>
    </row>
    <row r="1117" spans="1:2" x14ac:dyDescent="0.25">
      <c r="A1117">
        <v>11839645</v>
      </c>
      <c r="B1117" t="s">
        <v>576</v>
      </c>
    </row>
    <row r="1118" spans="1:2" x14ac:dyDescent="0.25">
      <c r="A1118">
        <v>11842675</v>
      </c>
      <c r="B1118" t="s">
        <v>577</v>
      </c>
    </row>
    <row r="1119" spans="1:2" x14ac:dyDescent="0.25">
      <c r="A1119">
        <v>10870803</v>
      </c>
      <c r="B1119" t="s">
        <v>580</v>
      </c>
    </row>
    <row r="1120" spans="1:2" x14ac:dyDescent="0.25">
      <c r="A1120">
        <v>10866771</v>
      </c>
      <c r="B1120" t="s">
        <v>580</v>
      </c>
    </row>
    <row r="1121" spans="1:2" x14ac:dyDescent="0.25">
      <c r="A1121">
        <v>10902298</v>
      </c>
      <c r="B1121" t="s">
        <v>576</v>
      </c>
    </row>
    <row r="1122" spans="1:2" x14ac:dyDescent="0.25">
      <c r="A1122">
        <v>10892640</v>
      </c>
      <c r="B1122" t="s">
        <v>580</v>
      </c>
    </row>
    <row r="1123" spans="1:2" x14ac:dyDescent="0.25">
      <c r="A1123">
        <v>10808074</v>
      </c>
      <c r="B1123" t="s">
        <v>580</v>
      </c>
    </row>
    <row r="1124" spans="1:2" x14ac:dyDescent="0.25">
      <c r="A1124">
        <v>11038369</v>
      </c>
      <c r="B1124" t="s">
        <v>576</v>
      </c>
    </row>
    <row r="1125" spans="1:2" x14ac:dyDescent="0.25">
      <c r="A1125">
        <v>10714452</v>
      </c>
      <c r="B1125" t="s">
        <v>580</v>
      </c>
    </row>
    <row r="1126" spans="1:2" x14ac:dyDescent="0.25">
      <c r="A1126">
        <v>10674677</v>
      </c>
      <c r="B1126" t="s">
        <v>578</v>
      </c>
    </row>
    <row r="1127" spans="1:2" x14ac:dyDescent="0.25">
      <c r="A1127">
        <v>11063443</v>
      </c>
      <c r="B1127" t="s">
        <v>579</v>
      </c>
    </row>
    <row r="1128" spans="1:2" x14ac:dyDescent="0.25">
      <c r="A1128">
        <v>11589508</v>
      </c>
      <c r="B1128" t="s">
        <v>578</v>
      </c>
    </row>
    <row r="1129" spans="1:2" x14ac:dyDescent="0.25">
      <c r="A1129">
        <v>11714379</v>
      </c>
      <c r="B1129" t="s">
        <v>579</v>
      </c>
    </row>
    <row r="1130" spans="1:2" x14ac:dyDescent="0.25">
      <c r="A1130">
        <v>11055708</v>
      </c>
      <c r="B1130" t="s">
        <v>578</v>
      </c>
    </row>
    <row r="1131" spans="1:2" x14ac:dyDescent="0.25">
      <c r="A1131">
        <v>10980020</v>
      </c>
      <c r="B1131" t="s">
        <v>580</v>
      </c>
    </row>
    <row r="1132" spans="1:2" x14ac:dyDescent="0.25">
      <c r="A1132">
        <v>11423451</v>
      </c>
      <c r="B1132" t="s">
        <v>578</v>
      </c>
    </row>
    <row r="1133" spans="1:2" x14ac:dyDescent="0.25">
      <c r="A1133">
        <v>11407769</v>
      </c>
      <c r="B1133" t="s">
        <v>575</v>
      </c>
    </row>
    <row r="1134" spans="1:2" x14ac:dyDescent="0.25">
      <c r="A1134">
        <v>11397158</v>
      </c>
    </row>
    <row r="1135" spans="1:2" x14ac:dyDescent="0.25">
      <c r="A1135">
        <v>11380905</v>
      </c>
      <c r="B1135" t="s">
        <v>579</v>
      </c>
    </row>
    <row r="1136" spans="1:2" x14ac:dyDescent="0.25">
      <c r="A1136">
        <v>11317324</v>
      </c>
      <c r="B1136" t="s">
        <v>576</v>
      </c>
    </row>
    <row r="1137" spans="1:2" x14ac:dyDescent="0.25">
      <c r="A1137">
        <v>11548967</v>
      </c>
      <c r="B1137" t="s">
        <v>575</v>
      </c>
    </row>
    <row r="1138" spans="1:2" x14ac:dyDescent="0.25">
      <c r="A1138">
        <v>10919516</v>
      </c>
      <c r="B1138" t="s">
        <v>577</v>
      </c>
    </row>
    <row r="1139" spans="1:2" x14ac:dyDescent="0.25">
      <c r="A1139">
        <v>11406938</v>
      </c>
      <c r="B1139" t="s">
        <v>576</v>
      </c>
    </row>
    <row r="1140" spans="1:2" x14ac:dyDescent="0.25">
      <c r="A1140">
        <v>10666026</v>
      </c>
      <c r="B1140" t="s">
        <v>576</v>
      </c>
    </row>
    <row r="1141" spans="1:2" x14ac:dyDescent="0.25">
      <c r="A1141">
        <v>10666094</v>
      </c>
      <c r="B1141" t="s">
        <v>580</v>
      </c>
    </row>
    <row r="1142" spans="1:2" x14ac:dyDescent="0.25">
      <c r="A1142">
        <v>10761673</v>
      </c>
      <c r="B1142" t="s">
        <v>580</v>
      </c>
    </row>
    <row r="1143" spans="1:2" x14ac:dyDescent="0.25">
      <c r="A1143">
        <v>11370962</v>
      </c>
      <c r="B1143" t="s">
        <v>580</v>
      </c>
    </row>
    <row r="1144" spans="1:2" x14ac:dyDescent="0.25">
      <c r="A1144">
        <v>11364557</v>
      </c>
      <c r="B1144" t="s">
        <v>580</v>
      </c>
    </row>
    <row r="1145" spans="1:2" x14ac:dyDescent="0.25">
      <c r="A1145">
        <v>11365608</v>
      </c>
      <c r="B1145" t="s">
        <v>580</v>
      </c>
    </row>
    <row r="1146" spans="1:2" x14ac:dyDescent="0.25">
      <c r="A1146">
        <v>11372285</v>
      </c>
      <c r="B1146" t="s">
        <v>580</v>
      </c>
    </row>
    <row r="1147" spans="1:2" x14ac:dyDescent="0.25">
      <c r="A1147">
        <v>11966001</v>
      </c>
      <c r="B1147" t="s">
        <v>575</v>
      </c>
    </row>
    <row r="1148" spans="1:2" x14ac:dyDescent="0.25">
      <c r="A1148">
        <v>11602385</v>
      </c>
      <c r="B1148" t="s">
        <v>575</v>
      </c>
    </row>
    <row r="1149" spans="1:2" x14ac:dyDescent="0.25">
      <c r="A1149">
        <v>11631665</v>
      </c>
      <c r="B1149" t="s">
        <v>576</v>
      </c>
    </row>
    <row r="1150" spans="1:2" x14ac:dyDescent="0.25">
      <c r="A1150">
        <v>11634432</v>
      </c>
      <c r="B1150" t="s">
        <v>575</v>
      </c>
    </row>
    <row r="1151" spans="1:2" x14ac:dyDescent="0.25">
      <c r="A1151">
        <v>11584967</v>
      </c>
      <c r="B1151" t="s">
        <v>577</v>
      </c>
    </row>
    <row r="1152" spans="1:2" x14ac:dyDescent="0.25">
      <c r="A1152">
        <v>11532929</v>
      </c>
      <c r="B1152" t="s">
        <v>575</v>
      </c>
    </row>
    <row r="1153" spans="1:2" x14ac:dyDescent="0.25">
      <c r="A1153">
        <v>11371194</v>
      </c>
      <c r="B1153" t="s">
        <v>580</v>
      </c>
    </row>
    <row r="1154" spans="1:2" x14ac:dyDescent="0.25">
      <c r="A1154">
        <v>11374054</v>
      </c>
      <c r="B1154" t="s">
        <v>577</v>
      </c>
    </row>
    <row r="1155" spans="1:2" x14ac:dyDescent="0.25">
      <c r="A1155">
        <v>11280510</v>
      </c>
      <c r="B1155" t="s">
        <v>577</v>
      </c>
    </row>
    <row r="1156" spans="1:2" x14ac:dyDescent="0.25">
      <c r="A1156">
        <v>11266691</v>
      </c>
      <c r="B1156" t="s">
        <v>576</v>
      </c>
    </row>
    <row r="1157" spans="1:2" x14ac:dyDescent="0.25">
      <c r="A1157">
        <v>10781923</v>
      </c>
      <c r="B1157" t="s">
        <v>577</v>
      </c>
    </row>
    <row r="1158" spans="1:2" x14ac:dyDescent="0.25">
      <c r="A1158">
        <v>10802554</v>
      </c>
      <c r="B1158" t="s">
        <v>576</v>
      </c>
    </row>
    <row r="1159" spans="1:2" x14ac:dyDescent="0.25">
      <c r="A1159">
        <v>10860208</v>
      </c>
      <c r="B1159" t="s">
        <v>580</v>
      </c>
    </row>
    <row r="1160" spans="1:2" x14ac:dyDescent="0.25">
      <c r="A1160">
        <v>10868752</v>
      </c>
      <c r="B1160" t="s">
        <v>577</v>
      </c>
    </row>
    <row r="1161" spans="1:2" x14ac:dyDescent="0.25">
      <c r="A1161">
        <v>10929665</v>
      </c>
      <c r="B1161" t="s">
        <v>580</v>
      </c>
    </row>
    <row r="1162" spans="1:2" x14ac:dyDescent="0.25">
      <c r="A1162">
        <v>10714150</v>
      </c>
      <c r="B1162" t="s">
        <v>578</v>
      </c>
    </row>
    <row r="1163" spans="1:2" x14ac:dyDescent="0.25">
      <c r="A1163">
        <v>10680002</v>
      </c>
      <c r="B1163" t="s">
        <v>575</v>
      </c>
    </row>
    <row r="1164" spans="1:2" x14ac:dyDescent="0.25">
      <c r="A1164">
        <v>10680115</v>
      </c>
      <c r="B1164" t="s">
        <v>575</v>
      </c>
    </row>
    <row r="1165" spans="1:2" x14ac:dyDescent="0.25">
      <c r="A1165">
        <v>11863999</v>
      </c>
      <c r="B1165" t="s">
        <v>577</v>
      </c>
    </row>
    <row r="1166" spans="1:2" x14ac:dyDescent="0.25">
      <c r="A1166">
        <v>11876754</v>
      </c>
      <c r="B1166" t="s">
        <v>578</v>
      </c>
    </row>
    <row r="1167" spans="1:2" x14ac:dyDescent="0.25">
      <c r="A1167">
        <v>11386795</v>
      </c>
      <c r="B1167" t="s">
        <v>576</v>
      </c>
    </row>
    <row r="1168" spans="1:2" x14ac:dyDescent="0.25">
      <c r="A1168">
        <v>11523849</v>
      </c>
      <c r="B1168" t="s">
        <v>577</v>
      </c>
    </row>
    <row r="1169" spans="1:2" x14ac:dyDescent="0.25">
      <c r="A1169">
        <v>11450806</v>
      </c>
      <c r="B1169" t="s">
        <v>576</v>
      </c>
    </row>
    <row r="1170" spans="1:2" x14ac:dyDescent="0.25">
      <c r="A1170">
        <v>11001197</v>
      </c>
      <c r="B1170" t="s">
        <v>578</v>
      </c>
    </row>
    <row r="1171" spans="1:2" x14ac:dyDescent="0.25">
      <c r="A1171">
        <v>11213616</v>
      </c>
      <c r="B1171" t="s">
        <v>576</v>
      </c>
    </row>
    <row r="1172" spans="1:2" x14ac:dyDescent="0.25">
      <c r="A1172">
        <v>10853754</v>
      </c>
      <c r="B1172" t="s">
        <v>579</v>
      </c>
    </row>
    <row r="1173" spans="1:2" x14ac:dyDescent="0.25">
      <c r="A1173">
        <v>10794410</v>
      </c>
      <c r="B1173" t="s">
        <v>575</v>
      </c>
    </row>
    <row r="1174" spans="1:2" x14ac:dyDescent="0.25">
      <c r="A1174">
        <v>10777788</v>
      </c>
      <c r="B1174" t="s">
        <v>577</v>
      </c>
    </row>
    <row r="1175" spans="1:2" x14ac:dyDescent="0.25">
      <c r="A1175">
        <v>11746277</v>
      </c>
      <c r="B1175" t="s">
        <v>580</v>
      </c>
    </row>
    <row r="1176" spans="1:2" x14ac:dyDescent="0.25">
      <c r="A1176">
        <v>11746703</v>
      </c>
      <c r="B1176" t="s">
        <v>575</v>
      </c>
    </row>
    <row r="1177" spans="1:2" x14ac:dyDescent="0.25">
      <c r="A1177">
        <v>11708222</v>
      </c>
      <c r="B1177" t="s">
        <v>575</v>
      </c>
    </row>
    <row r="1178" spans="1:2" x14ac:dyDescent="0.25">
      <c r="A1178">
        <v>11823878</v>
      </c>
      <c r="B1178" t="s">
        <v>575</v>
      </c>
    </row>
    <row r="1179" spans="1:2" x14ac:dyDescent="0.25">
      <c r="A1179">
        <v>11825217</v>
      </c>
      <c r="B1179" t="s">
        <v>578</v>
      </c>
    </row>
    <row r="1180" spans="1:2" x14ac:dyDescent="0.25">
      <c r="A1180">
        <v>11644925</v>
      </c>
      <c r="B1180" t="s">
        <v>579</v>
      </c>
    </row>
    <row r="1181" spans="1:2" x14ac:dyDescent="0.25">
      <c r="A1181">
        <v>11658815</v>
      </c>
      <c r="B1181" t="s">
        <v>580</v>
      </c>
    </row>
    <row r="1182" spans="1:2" x14ac:dyDescent="0.25">
      <c r="A1182">
        <v>11516321</v>
      </c>
      <c r="B1182" t="s">
        <v>580</v>
      </c>
    </row>
    <row r="1183" spans="1:2" x14ac:dyDescent="0.25">
      <c r="A1183">
        <v>11948603</v>
      </c>
      <c r="B1183" t="s">
        <v>579</v>
      </c>
    </row>
    <row r="1184" spans="1:2" x14ac:dyDescent="0.25">
      <c r="A1184">
        <v>11953784</v>
      </c>
      <c r="B1184" t="s">
        <v>579</v>
      </c>
    </row>
    <row r="1185" spans="1:2" x14ac:dyDescent="0.25">
      <c r="A1185">
        <v>11772314</v>
      </c>
      <c r="B1185" t="s">
        <v>575</v>
      </c>
    </row>
    <row r="1186" spans="1:2" x14ac:dyDescent="0.25">
      <c r="A1186">
        <v>11742873</v>
      </c>
      <c r="B1186" t="s">
        <v>578</v>
      </c>
    </row>
    <row r="1187" spans="1:2" x14ac:dyDescent="0.25">
      <c r="A1187">
        <v>11700307</v>
      </c>
      <c r="B1187" t="s">
        <v>580</v>
      </c>
    </row>
    <row r="1188" spans="1:2" x14ac:dyDescent="0.25">
      <c r="A1188">
        <v>11709120</v>
      </c>
      <c r="B1188" t="s">
        <v>575</v>
      </c>
    </row>
    <row r="1189" spans="1:2" x14ac:dyDescent="0.25">
      <c r="A1189">
        <v>11709795</v>
      </c>
      <c r="B1189" t="s">
        <v>575</v>
      </c>
    </row>
    <row r="1190" spans="1:2" x14ac:dyDescent="0.25">
      <c r="A1190">
        <v>11395137</v>
      </c>
      <c r="B1190" t="s">
        <v>580</v>
      </c>
    </row>
    <row r="1191" spans="1:2" x14ac:dyDescent="0.25">
      <c r="A1191">
        <v>11395185</v>
      </c>
      <c r="B1191" t="s">
        <v>577</v>
      </c>
    </row>
    <row r="1192" spans="1:2" x14ac:dyDescent="0.25">
      <c r="A1192">
        <v>11398767</v>
      </c>
      <c r="B1192" t="s">
        <v>580</v>
      </c>
    </row>
    <row r="1193" spans="1:2" x14ac:dyDescent="0.25">
      <c r="A1193">
        <v>11399132</v>
      </c>
      <c r="B1193" t="s">
        <v>580</v>
      </c>
    </row>
    <row r="1194" spans="1:2" x14ac:dyDescent="0.25">
      <c r="A1194">
        <v>11396122</v>
      </c>
      <c r="B1194" t="s">
        <v>576</v>
      </c>
    </row>
    <row r="1195" spans="1:2" x14ac:dyDescent="0.25">
      <c r="A1195">
        <v>11394238</v>
      </c>
      <c r="B1195" t="s">
        <v>576</v>
      </c>
    </row>
    <row r="1196" spans="1:2" x14ac:dyDescent="0.25">
      <c r="A1196">
        <v>11382898</v>
      </c>
      <c r="B1196" t="s">
        <v>577</v>
      </c>
    </row>
    <row r="1197" spans="1:2" x14ac:dyDescent="0.25">
      <c r="A1197">
        <v>11382846</v>
      </c>
      <c r="B1197" t="s">
        <v>580</v>
      </c>
    </row>
    <row r="1198" spans="1:2" x14ac:dyDescent="0.25">
      <c r="A1198">
        <v>11378858</v>
      </c>
      <c r="B1198" t="s">
        <v>575</v>
      </c>
    </row>
    <row r="1199" spans="1:2" x14ac:dyDescent="0.25">
      <c r="A1199">
        <v>11382113</v>
      </c>
      <c r="B1199" t="s">
        <v>580</v>
      </c>
    </row>
    <row r="1200" spans="1:2" x14ac:dyDescent="0.25">
      <c r="A1200">
        <v>11382242</v>
      </c>
      <c r="B1200" t="s">
        <v>576</v>
      </c>
    </row>
    <row r="1201" spans="1:2" x14ac:dyDescent="0.25">
      <c r="A1201">
        <v>11359909</v>
      </c>
      <c r="B1201" t="s">
        <v>576</v>
      </c>
    </row>
    <row r="1202" spans="1:2" x14ac:dyDescent="0.25">
      <c r="A1202">
        <v>11358113</v>
      </c>
      <c r="B1202" t="s">
        <v>579</v>
      </c>
    </row>
    <row r="1203" spans="1:2" x14ac:dyDescent="0.25">
      <c r="A1203">
        <v>11347949</v>
      </c>
      <c r="B1203" t="s">
        <v>576</v>
      </c>
    </row>
    <row r="1204" spans="1:2" x14ac:dyDescent="0.25">
      <c r="A1204">
        <v>11348439</v>
      </c>
      <c r="B1204" t="s">
        <v>576</v>
      </c>
    </row>
    <row r="1205" spans="1:2" x14ac:dyDescent="0.25">
      <c r="A1205">
        <v>11375162</v>
      </c>
      <c r="B1205" t="s">
        <v>577</v>
      </c>
    </row>
    <row r="1206" spans="1:2" x14ac:dyDescent="0.25">
      <c r="A1206">
        <v>11371200</v>
      </c>
      <c r="B1206" t="s">
        <v>576</v>
      </c>
    </row>
    <row r="1207" spans="1:2" x14ac:dyDescent="0.25">
      <c r="A1207">
        <v>11371220</v>
      </c>
      <c r="B1207" t="s">
        <v>577</v>
      </c>
    </row>
    <row r="1208" spans="1:2" x14ac:dyDescent="0.25">
      <c r="A1208">
        <v>11371133</v>
      </c>
      <c r="B1208" t="s">
        <v>576</v>
      </c>
    </row>
    <row r="1209" spans="1:2" x14ac:dyDescent="0.25">
      <c r="A1209">
        <v>11370871</v>
      </c>
      <c r="B1209" t="s">
        <v>575</v>
      </c>
    </row>
    <row r="1210" spans="1:2" x14ac:dyDescent="0.25">
      <c r="A1210">
        <v>11941024</v>
      </c>
      <c r="B1210" t="s">
        <v>577</v>
      </c>
    </row>
    <row r="1211" spans="1:2" x14ac:dyDescent="0.25">
      <c r="A1211">
        <v>11577236</v>
      </c>
      <c r="B1211" t="s">
        <v>577</v>
      </c>
    </row>
    <row r="1212" spans="1:2" x14ac:dyDescent="0.25">
      <c r="A1212">
        <v>11578205</v>
      </c>
      <c r="B1212" t="s">
        <v>576</v>
      </c>
    </row>
    <row r="1213" spans="1:2" x14ac:dyDescent="0.25">
      <c r="A1213">
        <v>11657292</v>
      </c>
      <c r="B1213" t="s">
        <v>577</v>
      </c>
    </row>
    <row r="1214" spans="1:2" x14ac:dyDescent="0.25">
      <c r="A1214">
        <v>11826426</v>
      </c>
      <c r="B1214" t="s">
        <v>575</v>
      </c>
    </row>
    <row r="1215" spans="1:2" x14ac:dyDescent="0.25">
      <c r="A1215">
        <v>11543455</v>
      </c>
      <c r="B1215" t="s">
        <v>577</v>
      </c>
    </row>
    <row r="1216" spans="1:2" x14ac:dyDescent="0.25">
      <c r="A1216">
        <v>11407479</v>
      </c>
      <c r="B1216" t="s">
        <v>580</v>
      </c>
    </row>
    <row r="1217" spans="1:2" x14ac:dyDescent="0.25">
      <c r="A1217">
        <v>11550494</v>
      </c>
      <c r="B1217" t="s">
        <v>578</v>
      </c>
    </row>
    <row r="1218" spans="1:2" x14ac:dyDescent="0.25">
      <c r="A1218">
        <v>11544084</v>
      </c>
      <c r="B1218" t="s">
        <v>580</v>
      </c>
    </row>
    <row r="1219" spans="1:2" x14ac:dyDescent="0.25">
      <c r="A1219">
        <v>11982710</v>
      </c>
      <c r="B1219" t="s">
        <v>578</v>
      </c>
    </row>
    <row r="1220" spans="1:2" x14ac:dyDescent="0.25">
      <c r="A1220">
        <v>11976488</v>
      </c>
      <c r="B1220" t="s">
        <v>580</v>
      </c>
    </row>
    <row r="1221" spans="1:2" x14ac:dyDescent="0.25">
      <c r="A1221">
        <v>11931087</v>
      </c>
      <c r="B1221" t="s">
        <v>575</v>
      </c>
    </row>
    <row r="1222" spans="1:2" x14ac:dyDescent="0.25">
      <c r="A1222">
        <v>12004346</v>
      </c>
      <c r="B1222" t="s">
        <v>577</v>
      </c>
    </row>
    <row r="1223" spans="1:2" x14ac:dyDescent="0.25">
      <c r="A1223">
        <v>12018137</v>
      </c>
      <c r="B1223" t="s">
        <v>578</v>
      </c>
    </row>
    <row r="1224" spans="1:2" x14ac:dyDescent="0.25">
      <c r="A1224">
        <v>12018983</v>
      </c>
      <c r="B1224" t="s">
        <v>576</v>
      </c>
    </row>
    <row r="1225" spans="1:2" x14ac:dyDescent="0.25">
      <c r="A1225">
        <v>12020431</v>
      </c>
      <c r="B1225" t="s">
        <v>576</v>
      </c>
    </row>
    <row r="1226" spans="1:2" x14ac:dyDescent="0.25">
      <c r="A1226">
        <v>11881041</v>
      </c>
      <c r="B1226" t="s">
        <v>576</v>
      </c>
    </row>
    <row r="1227" spans="1:2" x14ac:dyDescent="0.25">
      <c r="A1227">
        <v>11871687</v>
      </c>
      <c r="B1227" t="s">
        <v>577</v>
      </c>
    </row>
    <row r="1228" spans="1:2" x14ac:dyDescent="0.25">
      <c r="A1228">
        <v>11875334</v>
      </c>
      <c r="B1228" t="s">
        <v>578</v>
      </c>
    </row>
    <row r="1229" spans="1:2" x14ac:dyDescent="0.25">
      <c r="A1229">
        <v>11867063</v>
      </c>
      <c r="B1229" t="s">
        <v>575</v>
      </c>
    </row>
    <row r="1230" spans="1:2" x14ac:dyDescent="0.25">
      <c r="A1230">
        <v>11856564</v>
      </c>
      <c r="B1230" t="s">
        <v>578</v>
      </c>
    </row>
    <row r="1231" spans="1:2" x14ac:dyDescent="0.25">
      <c r="A1231">
        <v>11854163</v>
      </c>
      <c r="B1231" t="s">
        <v>580</v>
      </c>
    </row>
    <row r="1232" spans="1:2" x14ac:dyDescent="0.25">
      <c r="A1232">
        <v>11855844</v>
      </c>
      <c r="B1232" t="s">
        <v>578</v>
      </c>
    </row>
    <row r="1233" spans="1:2" x14ac:dyDescent="0.25">
      <c r="A1233">
        <v>11847974</v>
      </c>
      <c r="B1233" t="s">
        <v>575</v>
      </c>
    </row>
    <row r="1234" spans="1:2" x14ac:dyDescent="0.25">
      <c r="A1234">
        <v>11858379</v>
      </c>
      <c r="B1234" t="s">
        <v>580</v>
      </c>
    </row>
    <row r="1235" spans="1:2" x14ac:dyDescent="0.25">
      <c r="A1235">
        <v>11859733</v>
      </c>
      <c r="B1235" t="s">
        <v>575</v>
      </c>
    </row>
    <row r="1236" spans="1:2" x14ac:dyDescent="0.25">
      <c r="A1236">
        <v>11860061</v>
      </c>
      <c r="B1236" t="s">
        <v>577</v>
      </c>
    </row>
    <row r="1237" spans="1:2" x14ac:dyDescent="0.25">
      <c r="A1237">
        <v>11940984</v>
      </c>
      <c r="B1237" t="s">
        <v>578</v>
      </c>
    </row>
    <row r="1238" spans="1:2" x14ac:dyDescent="0.25">
      <c r="A1238">
        <v>11969014</v>
      </c>
      <c r="B1238" t="s">
        <v>578</v>
      </c>
    </row>
    <row r="1239" spans="1:2" x14ac:dyDescent="0.25">
      <c r="A1239">
        <v>11935021</v>
      </c>
      <c r="B1239" t="s">
        <v>575</v>
      </c>
    </row>
    <row r="1240" spans="1:2" x14ac:dyDescent="0.25">
      <c r="A1240">
        <v>11890485</v>
      </c>
      <c r="B1240" t="s">
        <v>576</v>
      </c>
    </row>
    <row r="1241" spans="1:2" x14ac:dyDescent="0.25">
      <c r="A1241">
        <v>11896728</v>
      </c>
      <c r="B1241" t="s">
        <v>578</v>
      </c>
    </row>
    <row r="1242" spans="1:2" x14ac:dyDescent="0.25">
      <c r="A1242">
        <v>10622111</v>
      </c>
      <c r="B1242" t="s">
        <v>575</v>
      </c>
    </row>
    <row r="1243" spans="1:2" x14ac:dyDescent="0.25">
      <c r="A1243">
        <v>10622978</v>
      </c>
      <c r="B1243" t="s">
        <v>576</v>
      </c>
    </row>
    <row r="1244" spans="1:2" x14ac:dyDescent="0.25">
      <c r="A1244">
        <v>11278889</v>
      </c>
      <c r="B1244" t="s">
        <v>575</v>
      </c>
    </row>
    <row r="1245" spans="1:2" x14ac:dyDescent="0.25">
      <c r="A1245">
        <v>10624293</v>
      </c>
      <c r="B1245" t="s">
        <v>577</v>
      </c>
    </row>
    <row r="1246" spans="1:2" x14ac:dyDescent="0.25">
      <c r="A1246">
        <v>10784165</v>
      </c>
      <c r="B1246" t="s">
        <v>578</v>
      </c>
    </row>
    <row r="1247" spans="1:2" x14ac:dyDescent="0.25">
      <c r="A1247">
        <v>10826344</v>
      </c>
      <c r="B1247" t="s">
        <v>575</v>
      </c>
    </row>
    <row r="1248" spans="1:2" x14ac:dyDescent="0.25">
      <c r="A1248">
        <v>10891671</v>
      </c>
      <c r="B1248" t="s">
        <v>575</v>
      </c>
    </row>
    <row r="1249" spans="1:2" x14ac:dyDescent="0.25">
      <c r="A1249">
        <v>10771717</v>
      </c>
      <c r="B1249" t="s">
        <v>575</v>
      </c>
    </row>
    <row r="1250" spans="1:2" x14ac:dyDescent="0.25">
      <c r="A1250">
        <v>10856961</v>
      </c>
      <c r="B1250" t="s">
        <v>575</v>
      </c>
    </row>
    <row r="1251" spans="1:2" x14ac:dyDescent="0.25">
      <c r="A1251">
        <v>10809399</v>
      </c>
      <c r="B1251" t="s">
        <v>575</v>
      </c>
    </row>
    <row r="1252" spans="1:2" x14ac:dyDescent="0.25">
      <c r="A1252">
        <v>10930570</v>
      </c>
    </row>
    <row r="1253" spans="1:2" x14ac:dyDescent="0.25">
      <c r="A1253">
        <v>11330058</v>
      </c>
      <c r="B1253" t="s">
        <v>575</v>
      </c>
    </row>
    <row r="1254" spans="1:2" x14ac:dyDescent="0.25">
      <c r="A1254">
        <v>11335476</v>
      </c>
      <c r="B1254" t="s">
        <v>575</v>
      </c>
    </row>
    <row r="1255" spans="1:2" x14ac:dyDescent="0.25">
      <c r="A1255">
        <v>10858064</v>
      </c>
      <c r="B1255" t="s">
        <v>578</v>
      </c>
    </row>
    <row r="1256" spans="1:2" x14ac:dyDescent="0.25">
      <c r="A1256">
        <v>10589068</v>
      </c>
      <c r="B1256" t="s">
        <v>577</v>
      </c>
    </row>
    <row r="1257" spans="1:2" x14ac:dyDescent="0.25">
      <c r="A1257">
        <v>10911101</v>
      </c>
      <c r="B1257" t="s">
        <v>580</v>
      </c>
    </row>
    <row r="1258" spans="1:2" x14ac:dyDescent="0.25">
      <c r="A1258">
        <v>10580104</v>
      </c>
      <c r="B1258" t="s">
        <v>577</v>
      </c>
    </row>
    <row r="1259" spans="1:2" x14ac:dyDescent="0.25">
      <c r="A1259">
        <v>10814812</v>
      </c>
      <c r="B1259" t="s">
        <v>577</v>
      </c>
    </row>
    <row r="1260" spans="1:2" x14ac:dyDescent="0.25">
      <c r="A1260">
        <v>11574752</v>
      </c>
      <c r="B1260" t="s">
        <v>578</v>
      </c>
    </row>
    <row r="1261" spans="1:2" x14ac:dyDescent="0.25">
      <c r="A1261">
        <v>11559500</v>
      </c>
      <c r="B1261" t="s">
        <v>580</v>
      </c>
    </row>
    <row r="1262" spans="1:2" x14ac:dyDescent="0.25">
      <c r="A1262">
        <v>10751276</v>
      </c>
      <c r="B1262" t="s">
        <v>577</v>
      </c>
    </row>
    <row r="1263" spans="1:2" x14ac:dyDescent="0.25">
      <c r="A1263">
        <v>10752917</v>
      </c>
      <c r="B1263" t="s">
        <v>579</v>
      </c>
    </row>
    <row r="1264" spans="1:2" x14ac:dyDescent="0.25">
      <c r="A1264">
        <v>10757947</v>
      </c>
      <c r="B1264" t="s">
        <v>578</v>
      </c>
    </row>
    <row r="1265" spans="1:2" x14ac:dyDescent="0.25">
      <c r="A1265">
        <v>10781274</v>
      </c>
      <c r="B1265" t="s">
        <v>575</v>
      </c>
    </row>
    <row r="1266" spans="1:2" x14ac:dyDescent="0.25">
      <c r="A1266">
        <v>10781643</v>
      </c>
      <c r="B1266" t="s">
        <v>577</v>
      </c>
    </row>
    <row r="1267" spans="1:2" x14ac:dyDescent="0.25">
      <c r="A1267">
        <v>10782861</v>
      </c>
      <c r="B1267" t="s">
        <v>577</v>
      </c>
    </row>
    <row r="1268" spans="1:2" x14ac:dyDescent="0.25">
      <c r="A1268">
        <v>10786926</v>
      </c>
      <c r="B1268" t="s">
        <v>575</v>
      </c>
    </row>
    <row r="1269" spans="1:2" x14ac:dyDescent="0.25">
      <c r="A1269">
        <v>10722252</v>
      </c>
      <c r="B1269" t="s">
        <v>577</v>
      </c>
    </row>
    <row r="1270" spans="1:2" x14ac:dyDescent="0.25">
      <c r="A1270">
        <v>10723815</v>
      </c>
      <c r="B1270" t="s">
        <v>577</v>
      </c>
    </row>
    <row r="1271" spans="1:2" x14ac:dyDescent="0.25">
      <c r="A1271">
        <v>10719809</v>
      </c>
      <c r="B1271" t="s">
        <v>575</v>
      </c>
    </row>
    <row r="1272" spans="1:2" x14ac:dyDescent="0.25">
      <c r="A1272">
        <v>12019900</v>
      </c>
      <c r="B1272" t="s">
        <v>575</v>
      </c>
    </row>
    <row r="1273" spans="1:2" x14ac:dyDescent="0.25">
      <c r="A1273">
        <v>11960138</v>
      </c>
      <c r="B1273" t="s">
        <v>578</v>
      </c>
    </row>
    <row r="1274" spans="1:2" x14ac:dyDescent="0.25">
      <c r="A1274">
        <v>10732335</v>
      </c>
      <c r="B1274" t="s">
        <v>575</v>
      </c>
    </row>
    <row r="1275" spans="1:2" x14ac:dyDescent="0.25">
      <c r="A1275">
        <v>10737764</v>
      </c>
      <c r="B1275" t="s">
        <v>577</v>
      </c>
    </row>
    <row r="1276" spans="1:2" x14ac:dyDescent="0.25">
      <c r="A1276">
        <v>10676307</v>
      </c>
      <c r="B1276" t="s">
        <v>575</v>
      </c>
    </row>
    <row r="1277" spans="1:2" x14ac:dyDescent="0.25">
      <c r="A1277">
        <v>10695587</v>
      </c>
      <c r="B1277" t="s">
        <v>575</v>
      </c>
    </row>
    <row r="1278" spans="1:2" x14ac:dyDescent="0.25">
      <c r="A1278">
        <v>10700912</v>
      </c>
      <c r="B1278" t="s">
        <v>577</v>
      </c>
    </row>
    <row r="1279" spans="1:2" x14ac:dyDescent="0.25">
      <c r="A1279">
        <v>10676861</v>
      </c>
      <c r="B1279" t="s">
        <v>575</v>
      </c>
    </row>
    <row r="1280" spans="1:2" x14ac:dyDescent="0.25">
      <c r="A1280">
        <v>10847743</v>
      </c>
      <c r="B1280" t="s">
        <v>575</v>
      </c>
    </row>
    <row r="1281" spans="1:2" x14ac:dyDescent="0.25">
      <c r="A1281">
        <v>10853573</v>
      </c>
      <c r="B1281" t="s">
        <v>577</v>
      </c>
    </row>
    <row r="1282" spans="1:2" x14ac:dyDescent="0.25">
      <c r="A1282">
        <v>10875908</v>
      </c>
      <c r="B1282" t="s">
        <v>575</v>
      </c>
    </row>
    <row r="1283" spans="1:2" x14ac:dyDescent="0.25">
      <c r="A1283">
        <v>10869984</v>
      </c>
      <c r="B1283" t="s">
        <v>575</v>
      </c>
    </row>
    <row r="1284" spans="1:2" x14ac:dyDescent="0.25">
      <c r="A1284">
        <v>10867135</v>
      </c>
      <c r="B1284" t="s">
        <v>579</v>
      </c>
    </row>
    <row r="1285" spans="1:2" x14ac:dyDescent="0.25">
      <c r="A1285">
        <v>10869376</v>
      </c>
      <c r="B1285" t="s">
        <v>577</v>
      </c>
    </row>
    <row r="1286" spans="1:2" x14ac:dyDescent="0.25">
      <c r="A1286">
        <v>10900229</v>
      </c>
      <c r="B1286" t="s">
        <v>577</v>
      </c>
    </row>
    <row r="1287" spans="1:2" x14ac:dyDescent="0.25">
      <c r="A1287">
        <v>10902238</v>
      </c>
      <c r="B1287" t="s">
        <v>575</v>
      </c>
    </row>
    <row r="1288" spans="1:2" x14ac:dyDescent="0.25">
      <c r="A1288">
        <v>10919312</v>
      </c>
      <c r="B1288" t="s">
        <v>577</v>
      </c>
    </row>
    <row r="1289" spans="1:2" x14ac:dyDescent="0.25">
      <c r="A1289">
        <v>10919700</v>
      </c>
      <c r="B1289" t="s">
        <v>576</v>
      </c>
    </row>
    <row r="1290" spans="1:2" x14ac:dyDescent="0.25">
      <c r="A1290">
        <v>10904393</v>
      </c>
      <c r="B1290" t="s">
        <v>575</v>
      </c>
    </row>
    <row r="1291" spans="1:2" x14ac:dyDescent="0.25">
      <c r="A1291">
        <v>10906514</v>
      </c>
      <c r="B1291" t="s">
        <v>577</v>
      </c>
    </row>
    <row r="1292" spans="1:2" x14ac:dyDescent="0.25">
      <c r="A1292">
        <v>10907124</v>
      </c>
      <c r="B1292" t="s">
        <v>578</v>
      </c>
    </row>
    <row r="1293" spans="1:2" x14ac:dyDescent="0.25">
      <c r="A1293">
        <v>10892348</v>
      </c>
    </row>
    <row r="1294" spans="1:2" x14ac:dyDescent="0.25">
      <c r="A1294">
        <v>10881125</v>
      </c>
      <c r="B1294" t="s">
        <v>575</v>
      </c>
    </row>
    <row r="1295" spans="1:2" x14ac:dyDescent="0.25">
      <c r="A1295">
        <v>10881272</v>
      </c>
      <c r="B1295" t="s">
        <v>579</v>
      </c>
    </row>
    <row r="1296" spans="1:2" x14ac:dyDescent="0.25">
      <c r="A1296">
        <v>10881477</v>
      </c>
      <c r="B1296" t="s">
        <v>575</v>
      </c>
    </row>
    <row r="1297" spans="1:2" x14ac:dyDescent="0.25">
      <c r="A1297">
        <v>10890788</v>
      </c>
      <c r="B1297" t="s">
        <v>577</v>
      </c>
    </row>
    <row r="1298" spans="1:2" x14ac:dyDescent="0.25">
      <c r="A1298">
        <v>10891217</v>
      </c>
      <c r="B1298" t="s">
        <v>577</v>
      </c>
    </row>
    <row r="1299" spans="1:2" x14ac:dyDescent="0.25">
      <c r="A1299">
        <v>10818889</v>
      </c>
      <c r="B1299" t="s">
        <v>579</v>
      </c>
    </row>
    <row r="1300" spans="1:2" x14ac:dyDescent="0.25">
      <c r="A1300">
        <v>10819264</v>
      </c>
      <c r="B1300" t="s">
        <v>577</v>
      </c>
    </row>
    <row r="1301" spans="1:2" x14ac:dyDescent="0.25">
      <c r="A1301">
        <v>10835018</v>
      </c>
      <c r="B1301" t="s">
        <v>579</v>
      </c>
    </row>
    <row r="1302" spans="1:2" x14ac:dyDescent="0.25">
      <c r="A1302">
        <v>10835272</v>
      </c>
      <c r="B1302" t="s">
        <v>575</v>
      </c>
    </row>
    <row r="1303" spans="1:2" x14ac:dyDescent="0.25">
      <c r="A1303">
        <v>10843941</v>
      </c>
      <c r="B1303" t="s">
        <v>577</v>
      </c>
    </row>
    <row r="1304" spans="1:2" x14ac:dyDescent="0.25">
      <c r="A1304">
        <v>10804250</v>
      </c>
      <c r="B1304" t="s">
        <v>576</v>
      </c>
    </row>
    <row r="1305" spans="1:2" x14ac:dyDescent="0.25">
      <c r="A1305">
        <v>11277930</v>
      </c>
    </row>
    <row r="1306" spans="1:2" x14ac:dyDescent="0.25">
      <c r="A1306">
        <v>11363733</v>
      </c>
      <c r="B1306" t="s">
        <v>575</v>
      </c>
    </row>
    <row r="1307" spans="1:2" x14ac:dyDescent="0.25">
      <c r="A1307">
        <v>11378708</v>
      </c>
      <c r="B1307" t="s">
        <v>579</v>
      </c>
    </row>
    <row r="1308" spans="1:2" x14ac:dyDescent="0.25">
      <c r="A1308">
        <v>11381737</v>
      </c>
      <c r="B1308" t="s">
        <v>576</v>
      </c>
    </row>
    <row r="1309" spans="1:2" x14ac:dyDescent="0.25">
      <c r="A1309">
        <v>11386198</v>
      </c>
      <c r="B1309" t="s">
        <v>575</v>
      </c>
    </row>
    <row r="1310" spans="1:2" x14ac:dyDescent="0.25">
      <c r="A1310">
        <v>11386957</v>
      </c>
      <c r="B1310" t="s">
        <v>576</v>
      </c>
    </row>
    <row r="1311" spans="1:2" x14ac:dyDescent="0.25">
      <c r="A1311">
        <v>11393433</v>
      </c>
      <c r="B1311" t="s">
        <v>575</v>
      </c>
    </row>
    <row r="1312" spans="1:2" x14ac:dyDescent="0.25">
      <c r="A1312">
        <v>11394670</v>
      </c>
      <c r="B1312" t="s">
        <v>576</v>
      </c>
    </row>
    <row r="1313" spans="1:2" x14ac:dyDescent="0.25">
      <c r="A1313">
        <v>11707158</v>
      </c>
      <c r="B1313" t="s">
        <v>575</v>
      </c>
    </row>
    <row r="1314" spans="1:2" x14ac:dyDescent="0.25">
      <c r="A1314">
        <v>11774152</v>
      </c>
      <c r="B1314" t="s">
        <v>575</v>
      </c>
    </row>
    <row r="1315" spans="1:2" x14ac:dyDescent="0.25">
      <c r="A1315">
        <v>11782560</v>
      </c>
      <c r="B1315" t="s">
        <v>575</v>
      </c>
    </row>
    <row r="1316" spans="1:2" x14ac:dyDescent="0.25">
      <c r="A1316">
        <v>11743832</v>
      </c>
      <c r="B1316" t="s">
        <v>580</v>
      </c>
    </row>
    <row r="1317" spans="1:2" x14ac:dyDescent="0.25">
      <c r="A1317">
        <v>11769641</v>
      </c>
      <c r="B1317" t="s">
        <v>577</v>
      </c>
    </row>
    <row r="1318" spans="1:2" x14ac:dyDescent="0.25">
      <c r="A1318">
        <v>11751698</v>
      </c>
      <c r="B1318" t="s">
        <v>578</v>
      </c>
    </row>
    <row r="1319" spans="1:2" x14ac:dyDescent="0.25">
      <c r="A1319">
        <v>11790582</v>
      </c>
      <c r="B1319" t="s">
        <v>575</v>
      </c>
    </row>
    <row r="1320" spans="1:2" x14ac:dyDescent="0.25">
      <c r="A1320">
        <v>11791566</v>
      </c>
      <c r="B1320" t="s">
        <v>576</v>
      </c>
    </row>
    <row r="1321" spans="1:2" x14ac:dyDescent="0.25">
      <c r="A1321">
        <v>11808710</v>
      </c>
      <c r="B1321" t="s">
        <v>575</v>
      </c>
    </row>
    <row r="1322" spans="1:2" x14ac:dyDescent="0.25">
      <c r="A1322">
        <v>11724691</v>
      </c>
      <c r="B1322" t="s">
        <v>576</v>
      </c>
    </row>
    <row r="1323" spans="1:2" x14ac:dyDescent="0.25">
      <c r="A1323">
        <v>11731181</v>
      </c>
      <c r="B1323" t="s">
        <v>580</v>
      </c>
    </row>
    <row r="1324" spans="1:2" x14ac:dyDescent="0.25">
      <c r="A1324">
        <v>11733769</v>
      </c>
      <c r="B1324" t="s">
        <v>577</v>
      </c>
    </row>
    <row r="1325" spans="1:2" x14ac:dyDescent="0.25">
      <c r="A1325">
        <v>11891688</v>
      </c>
      <c r="B1325" t="s">
        <v>575</v>
      </c>
    </row>
    <row r="1326" spans="1:2" x14ac:dyDescent="0.25">
      <c r="A1326">
        <v>11595124</v>
      </c>
      <c r="B1326" t="s">
        <v>580</v>
      </c>
    </row>
    <row r="1327" spans="1:2" x14ac:dyDescent="0.25">
      <c r="A1327">
        <v>11591965</v>
      </c>
      <c r="B1327" t="s">
        <v>575</v>
      </c>
    </row>
    <row r="1328" spans="1:2" x14ac:dyDescent="0.25">
      <c r="A1328">
        <v>11709317</v>
      </c>
      <c r="B1328" t="s">
        <v>575</v>
      </c>
    </row>
    <row r="1329" spans="1:2" x14ac:dyDescent="0.25">
      <c r="A1329">
        <v>11679154</v>
      </c>
      <c r="B1329" t="s">
        <v>576</v>
      </c>
    </row>
    <row r="1330" spans="1:2" x14ac:dyDescent="0.25">
      <c r="A1330">
        <v>11846530</v>
      </c>
      <c r="B1330" t="s">
        <v>576</v>
      </c>
    </row>
    <row r="1331" spans="1:2" x14ac:dyDescent="0.25">
      <c r="A1331">
        <v>11897685</v>
      </c>
      <c r="B1331" t="s">
        <v>575</v>
      </c>
    </row>
    <row r="1332" spans="1:2" x14ac:dyDescent="0.25">
      <c r="A1332">
        <v>11902488</v>
      </c>
      <c r="B1332" t="s">
        <v>575</v>
      </c>
    </row>
    <row r="1333" spans="1:2" x14ac:dyDescent="0.25">
      <c r="A1333">
        <v>11927761</v>
      </c>
      <c r="B1333" t="s">
        <v>577</v>
      </c>
    </row>
    <row r="1334" spans="1:2" x14ac:dyDescent="0.25">
      <c r="A1334">
        <v>11925799</v>
      </c>
      <c r="B1334" t="s">
        <v>575</v>
      </c>
    </row>
    <row r="1335" spans="1:2" x14ac:dyDescent="0.25">
      <c r="A1335">
        <v>11600105</v>
      </c>
      <c r="B1335" t="s">
        <v>577</v>
      </c>
    </row>
    <row r="1336" spans="1:2" x14ac:dyDescent="0.25">
      <c r="A1336">
        <v>11600363</v>
      </c>
      <c r="B1336" t="s">
        <v>576</v>
      </c>
    </row>
    <row r="1337" spans="1:2" x14ac:dyDescent="0.25">
      <c r="A1337">
        <v>11593118</v>
      </c>
      <c r="B1337" t="s">
        <v>575</v>
      </c>
    </row>
    <row r="1338" spans="1:2" x14ac:dyDescent="0.25">
      <c r="A1338">
        <v>11543721</v>
      </c>
      <c r="B1338" t="s">
        <v>576</v>
      </c>
    </row>
    <row r="1339" spans="1:2" x14ac:dyDescent="0.25">
      <c r="A1339">
        <v>11543815</v>
      </c>
      <c r="B1339" t="s">
        <v>580</v>
      </c>
    </row>
    <row r="1340" spans="1:2" x14ac:dyDescent="0.25">
      <c r="A1340">
        <v>11543517</v>
      </c>
      <c r="B1340" t="s">
        <v>576</v>
      </c>
    </row>
    <row r="1341" spans="1:2" x14ac:dyDescent="0.25">
      <c r="A1341">
        <v>11543679</v>
      </c>
      <c r="B1341" t="s">
        <v>576</v>
      </c>
    </row>
    <row r="1342" spans="1:2" x14ac:dyDescent="0.25">
      <c r="A1342">
        <v>11548811</v>
      </c>
      <c r="B1342" t="s">
        <v>576</v>
      </c>
    </row>
    <row r="1343" spans="1:2" x14ac:dyDescent="0.25">
      <c r="A1343">
        <v>11551054</v>
      </c>
      <c r="B1343" t="s">
        <v>576</v>
      </c>
    </row>
    <row r="1344" spans="1:2" x14ac:dyDescent="0.25">
      <c r="A1344">
        <v>11554257</v>
      </c>
      <c r="B1344" t="s">
        <v>576</v>
      </c>
    </row>
    <row r="1345" spans="1:2" x14ac:dyDescent="0.25">
      <c r="A1345">
        <v>11555555</v>
      </c>
      <c r="B1345" t="s">
        <v>576</v>
      </c>
    </row>
    <row r="1346" spans="1:2" x14ac:dyDescent="0.25">
      <c r="A1346">
        <v>11556695</v>
      </c>
      <c r="B1346" t="s">
        <v>580</v>
      </c>
    </row>
    <row r="1347" spans="1:2" x14ac:dyDescent="0.25">
      <c r="A1347">
        <v>11557008</v>
      </c>
      <c r="B1347" t="s">
        <v>575</v>
      </c>
    </row>
    <row r="1348" spans="1:2" x14ac:dyDescent="0.25">
      <c r="A1348">
        <v>11612198</v>
      </c>
      <c r="B1348" t="s">
        <v>577</v>
      </c>
    </row>
    <row r="1349" spans="1:2" x14ac:dyDescent="0.25">
      <c r="A1349">
        <v>11613069</v>
      </c>
      <c r="B1349" t="s">
        <v>577</v>
      </c>
    </row>
    <row r="1350" spans="1:2" x14ac:dyDescent="0.25">
      <c r="A1350">
        <v>11616837</v>
      </c>
      <c r="B1350" t="s">
        <v>576</v>
      </c>
    </row>
    <row r="1351" spans="1:2" x14ac:dyDescent="0.25">
      <c r="A1351">
        <v>11616890</v>
      </c>
      <c r="B1351" t="s">
        <v>576</v>
      </c>
    </row>
    <row r="1352" spans="1:2" x14ac:dyDescent="0.25">
      <c r="A1352">
        <v>11622611</v>
      </c>
      <c r="B1352" t="s">
        <v>576</v>
      </c>
    </row>
    <row r="1353" spans="1:2" x14ac:dyDescent="0.25">
      <c r="A1353">
        <v>11627170</v>
      </c>
      <c r="B1353" t="s">
        <v>580</v>
      </c>
    </row>
    <row r="1354" spans="1:2" x14ac:dyDescent="0.25">
      <c r="A1354">
        <v>11630049</v>
      </c>
      <c r="B1354" t="s">
        <v>578</v>
      </c>
    </row>
    <row r="1355" spans="1:2" x14ac:dyDescent="0.25">
      <c r="A1355">
        <v>11631525</v>
      </c>
      <c r="B1355" t="s">
        <v>575</v>
      </c>
    </row>
    <row r="1356" spans="1:2" x14ac:dyDescent="0.25">
      <c r="A1356">
        <v>11681229</v>
      </c>
      <c r="B1356" t="s">
        <v>575</v>
      </c>
    </row>
    <row r="1357" spans="1:2" x14ac:dyDescent="0.25">
      <c r="A1357">
        <v>11683887</v>
      </c>
      <c r="B1357" t="s">
        <v>577</v>
      </c>
    </row>
    <row r="1358" spans="1:2" x14ac:dyDescent="0.25">
      <c r="A1358">
        <v>11967038</v>
      </c>
      <c r="B1358" t="s">
        <v>575</v>
      </c>
    </row>
    <row r="1359" spans="1:2" x14ac:dyDescent="0.25">
      <c r="A1359">
        <v>11891246</v>
      </c>
      <c r="B1359" t="s">
        <v>577</v>
      </c>
    </row>
    <row r="1360" spans="1:2" x14ac:dyDescent="0.25">
      <c r="A1360">
        <v>11218881</v>
      </c>
      <c r="B1360" t="s">
        <v>575</v>
      </c>
    </row>
    <row r="1361" spans="1:2" x14ac:dyDescent="0.25">
      <c r="A1361">
        <v>11048263</v>
      </c>
      <c r="B1361" t="s">
        <v>576</v>
      </c>
    </row>
    <row r="1362" spans="1:2" x14ac:dyDescent="0.25">
      <c r="A1362">
        <v>11047039</v>
      </c>
      <c r="B1362" t="s">
        <v>578</v>
      </c>
    </row>
    <row r="1363" spans="1:2" x14ac:dyDescent="0.25">
      <c r="A1363">
        <v>11406886</v>
      </c>
      <c r="B1363" t="s">
        <v>575</v>
      </c>
    </row>
    <row r="1364" spans="1:2" x14ac:dyDescent="0.25">
      <c r="A1364">
        <v>10667200</v>
      </c>
      <c r="B1364" t="s">
        <v>580</v>
      </c>
    </row>
    <row r="1365" spans="1:2" x14ac:dyDescent="0.25">
      <c r="A1365">
        <v>11911048</v>
      </c>
      <c r="B1365" t="s">
        <v>580</v>
      </c>
    </row>
    <row r="1366" spans="1:2" x14ac:dyDescent="0.25">
      <c r="A1366">
        <v>11853229</v>
      </c>
      <c r="B1366" t="s">
        <v>575</v>
      </c>
    </row>
    <row r="1367" spans="1:2" x14ac:dyDescent="0.25">
      <c r="A1367">
        <v>11856405</v>
      </c>
      <c r="B1367" t="s">
        <v>578</v>
      </c>
    </row>
    <row r="1368" spans="1:2" x14ac:dyDescent="0.25">
      <c r="A1368">
        <v>11858399</v>
      </c>
      <c r="B1368" t="s">
        <v>575</v>
      </c>
    </row>
    <row r="1369" spans="1:2" x14ac:dyDescent="0.25">
      <c r="A1369">
        <v>11858400</v>
      </c>
      <c r="B1369" t="s">
        <v>575</v>
      </c>
    </row>
    <row r="1370" spans="1:2" x14ac:dyDescent="0.25">
      <c r="A1370">
        <v>11858510</v>
      </c>
      <c r="B1370" t="s">
        <v>575</v>
      </c>
    </row>
    <row r="1371" spans="1:2" x14ac:dyDescent="0.25">
      <c r="A1371">
        <v>11858333</v>
      </c>
      <c r="B1371" t="s">
        <v>575</v>
      </c>
    </row>
    <row r="1372" spans="1:2" x14ac:dyDescent="0.25">
      <c r="A1372">
        <v>11860891</v>
      </c>
      <c r="B1372" t="s">
        <v>575</v>
      </c>
    </row>
    <row r="1373" spans="1:2" x14ac:dyDescent="0.25">
      <c r="A1373">
        <v>11861264</v>
      </c>
      <c r="B1373" t="s">
        <v>578</v>
      </c>
    </row>
    <row r="1374" spans="1:2" x14ac:dyDescent="0.25">
      <c r="A1374">
        <v>11864208</v>
      </c>
      <c r="B1374" t="s">
        <v>580</v>
      </c>
    </row>
    <row r="1375" spans="1:2" x14ac:dyDescent="0.25">
      <c r="A1375">
        <v>11869281</v>
      </c>
      <c r="B1375" t="s">
        <v>578</v>
      </c>
    </row>
    <row r="1376" spans="1:2" x14ac:dyDescent="0.25">
      <c r="A1376">
        <v>11873177</v>
      </c>
      <c r="B1376" t="s">
        <v>575</v>
      </c>
    </row>
    <row r="1377" spans="1:2" x14ac:dyDescent="0.25">
      <c r="A1377">
        <v>11873320</v>
      </c>
      <c r="B1377" t="s">
        <v>578</v>
      </c>
    </row>
    <row r="1378" spans="1:2" x14ac:dyDescent="0.25">
      <c r="A1378">
        <v>11829866</v>
      </c>
      <c r="B1378" t="s">
        <v>578</v>
      </c>
    </row>
    <row r="1379" spans="1:2" x14ac:dyDescent="0.25">
      <c r="A1379">
        <v>12024396</v>
      </c>
      <c r="B1379" t="s">
        <v>575</v>
      </c>
    </row>
    <row r="1380" spans="1:2" x14ac:dyDescent="0.25">
      <c r="A1380">
        <v>12025481</v>
      </c>
      <c r="B1380" t="s">
        <v>575</v>
      </c>
    </row>
    <row r="1381" spans="1:2" x14ac:dyDescent="0.25">
      <c r="A1381">
        <v>12021721</v>
      </c>
      <c r="B1381" t="s">
        <v>577</v>
      </c>
    </row>
    <row r="1382" spans="1:2" x14ac:dyDescent="0.25">
      <c r="A1382">
        <v>12020242</v>
      </c>
      <c r="B1382" t="s">
        <v>575</v>
      </c>
    </row>
    <row r="1383" spans="1:2" x14ac:dyDescent="0.25">
      <c r="A1383">
        <v>12019279</v>
      </c>
      <c r="B1383" t="s">
        <v>575</v>
      </c>
    </row>
    <row r="1384" spans="1:2" x14ac:dyDescent="0.25">
      <c r="A1384">
        <v>12022000</v>
      </c>
      <c r="B1384" t="s">
        <v>575</v>
      </c>
    </row>
    <row r="1385" spans="1:2" x14ac:dyDescent="0.25">
      <c r="A1385">
        <v>12022134</v>
      </c>
      <c r="B1385" t="s">
        <v>576</v>
      </c>
    </row>
    <row r="1386" spans="1:2" x14ac:dyDescent="0.25">
      <c r="A1386">
        <v>12022332</v>
      </c>
      <c r="B1386" t="s">
        <v>575</v>
      </c>
    </row>
    <row r="1387" spans="1:2" x14ac:dyDescent="0.25">
      <c r="A1387">
        <v>12022510</v>
      </c>
      <c r="B1387" t="s">
        <v>575</v>
      </c>
    </row>
    <row r="1388" spans="1:2" x14ac:dyDescent="0.25">
      <c r="A1388">
        <v>12023201</v>
      </c>
      <c r="B1388" t="s">
        <v>578</v>
      </c>
    </row>
    <row r="1389" spans="1:2" x14ac:dyDescent="0.25">
      <c r="A1389">
        <v>11890561</v>
      </c>
      <c r="B1389" t="s">
        <v>578</v>
      </c>
    </row>
    <row r="1390" spans="1:2" x14ac:dyDescent="0.25">
      <c r="A1390">
        <v>11995589</v>
      </c>
      <c r="B1390" t="s">
        <v>579</v>
      </c>
    </row>
    <row r="1391" spans="1:2" x14ac:dyDescent="0.25">
      <c r="A1391">
        <v>11941048</v>
      </c>
      <c r="B1391" t="s">
        <v>575</v>
      </c>
    </row>
    <row r="1392" spans="1:2" x14ac:dyDescent="0.25">
      <c r="A1392">
        <v>12007708</v>
      </c>
      <c r="B1392" t="s">
        <v>577</v>
      </c>
    </row>
    <row r="1393" spans="1:2" x14ac:dyDescent="0.25">
      <c r="A1393">
        <v>12008251</v>
      </c>
      <c r="B1393" t="s">
        <v>575</v>
      </c>
    </row>
    <row r="1394" spans="1:2" x14ac:dyDescent="0.25">
      <c r="A1394">
        <v>12008872</v>
      </c>
      <c r="B1394" t="s">
        <v>580</v>
      </c>
    </row>
    <row r="1395" spans="1:2" x14ac:dyDescent="0.25">
      <c r="A1395">
        <v>11933359</v>
      </c>
      <c r="B1395" t="s">
        <v>575</v>
      </c>
    </row>
    <row r="1396" spans="1:2" x14ac:dyDescent="0.25">
      <c r="A1396">
        <v>11971676</v>
      </c>
      <c r="B1396" t="s">
        <v>580</v>
      </c>
    </row>
    <row r="1397" spans="1:2" x14ac:dyDescent="0.25">
      <c r="A1397">
        <v>11967846</v>
      </c>
      <c r="B1397" t="s">
        <v>575</v>
      </c>
    </row>
    <row r="1398" spans="1:2" x14ac:dyDescent="0.25">
      <c r="A1398">
        <v>11969025</v>
      </c>
      <c r="B1398" t="s">
        <v>576</v>
      </c>
    </row>
    <row r="1399" spans="1:2" x14ac:dyDescent="0.25">
      <c r="A1399">
        <v>11953055</v>
      </c>
      <c r="B1399" t="s">
        <v>576</v>
      </c>
    </row>
    <row r="1400" spans="1:2" x14ac:dyDescent="0.25">
      <c r="A1400">
        <v>11644204</v>
      </c>
      <c r="B1400" t="s">
        <v>575</v>
      </c>
    </row>
    <row r="1401" spans="1:2" x14ac:dyDescent="0.25">
      <c r="A1401">
        <v>11552801</v>
      </c>
      <c r="B1401" t="s">
        <v>580</v>
      </c>
    </row>
    <row r="1402" spans="1:2" x14ac:dyDescent="0.25">
      <c r="A1402">
        <v>11553834</v>
      </c>
      <c r="B1402" t="s">
        <v>575</v>
      </c>
    </row>
    <row r="1403" spans="1:2" x14ac:dyDescent="0.25">
      <c r="A1403">
        <v>11560796</v>
      </c>
      <c r="B1403" t="s">
        <v>576</v>
      </c>
    </row>
    <row r="1404" spans="1:2" x14ac:dyDescent="0.25">
      <c r="A1404">
        <v>11570699</v>
      </c>
      <c r="B1404" t="s">
        <v>576</v>
      </c>
    </row>
    <row r="1405" spans="1:2" x14ac:dyDescent="0.25">
      <c r="A1405">
        <v>11570745</v>
      </c>
      <c r="B1405" t="s">
        <v>575</v>
      </c>
    </row>
    <row r="1406" spans="1:2" x14ac:dyDescent="0.25">
      <c r="A1406">
        <v>11591073</v>
      </c>
      <c r="B1406" t="s">
        <v>577</v>
      </c>
    </row>
    <row r="1407" spans="1:2" x14ac:dyDescent="0.25">
      <c r="A1407">
        <v>11592268</v>
      </c>
      <c r="B1407" t="s">
        <v>575</v>
      </c>
    </row>
    <row r="1408" spans="1:2" x14ac:dyDescent="0.25">
      <c r="A1408">
        <v>11592429</v>
      </c>
      <c r="B1408" t="s">
        <v>575</v>
      </c>
    </row>
    <row r="1409" spans="1:2" x14ac:dyDescent="0.25">
      <c r="A1409">
        <v>11592898</v>
      </c>
      <c r="B1409" t="s">
        <v>578</v>
      </c>
    </row>
    <row r="1410" spans="1:2" x14ac:dyDescent="0.25">
      <c r="A1410">
        <v>11598519</v>
      </c>
      <c r="B1410" t="s">
        <v>575</v>
      </c>
    </row>
    <row r="1411" spans="1:2" x14ac:dyDescent="0.25">
      <c r="A1411">
        <v>11663071</v>
      </c>
      <c r="B1411" t="s">
        <v>575</v>
      </c>
    </row>
    <row r="1412" spans="1:2" x14ac:dyDescent="0.25">
      <c r="A1412">
        <v>11663580</v>
      </c>
      <c r="B1412" t="s">
        <v>575</v>
      </c>
    </row>
    <row r="1413" spans="1:2" x14ac:dyDescent="0.25">
      <c r="A1413">
        <v>11666828</v>
      </c>
      <c r="B1413" t="s">
        <v>576</v>
      </c>
    </row>
    <row r="1414" spans="1:2" x14ac:dyDescent="0.25">
      <c r="A1414">
        <v>10954443</v>
      </c>
      <c r="B1414" t="s">
        <v>580</v>
      </c>
    </row>
    <row r="1415" spans="1:2" x14ac:dyDescent="0.25">
      <c r="A1415">
        <v>11860332</v>
      </c>
      <c r="B1415" t="s">
        <v>575</v>
      </c>
    </row>
    <row r="1416" spans="1:2" x14ac:dyDescent="0.25">
      <c r="A1416">
        <v>11865775</v>
      </c>
      <c r="B1416" t="s">
        <v>579</v>
      </c>
    </row>
    <row r="1417" spans="1:2" x14ac:dyDescent="0.25">
      <c r="A1417">
        <v>11892084</v>
      </c>
      <c r="B1417" t="s">
        <v>577</v>
      </c>
    </row>
    <row r="1418" spans="1:2" x14ac:dyDescent="0.25">
      <c r="A1418">
        <v>11939049</v>
      </c>
      <c r="B1418" t="s">
        <v>575</v>
      </c>
    </row>
    <row r="1419" spans="1:2" x14ac:dyDescent="0.25">
      <c r="A1419">
        <v>11806457</v>
      </c>
      <c r="B1419" t="s">
        <v>575</v>
      </c>
    </row>
    <row r="1420" spans="1:2" x14ac:dyDescent="0.25">
      <c r="A1420">
        <v>11616387</v>
      </c>
      <c r="B1420" t="s">
        <v>575</v>
      </c>
    </row>
    <row r="1421" spans="1:2" x14ac:dyDescent="0.25">
      <c r="A1421">
        <v>11623516</v>
      </c>
      <c r="B1421" t="s">
        <v>577</v>
      </c>
    </row>
    <row r="1422" spans="1:2" x14ac:dyDescent="0.25">
      <c r="A1422">
        <v>11736808</v>
      </c>
      <c r="B1422" t="s">
        <v>577</v>
      </c>
    </row>
    <row r="1423" spans="1:2" x14ac:dyDescent="0.25">
      <c r="A1423">
        <v>11707790</v>
      </c>
      <c r="B1423" t="s">
        <v>575</v>
      </c>
    </row>
    <row r="1424" spans="1:2" x14ac:dyDescent="0.25">
      <c r="A1424">
        <v>11756567</v>
      </c>
      <c r="B1424" t="s">
        <v>575</v>
      </c>
    </row>
    <row r="1425" spans="1:2" x14ac:dyDescent="0.25">
      <c r="A1425">
        <v>10940074</v>
      </c>
      <c r="B1425" t="s">
        <v>577</v>
      </c>
    </row>
    <row r="1426" spans="1:2" x14ac:dyDescent="0.25">
      <c r="A1426">
        <v>11787509</v>
      </c>
      <c r="B1426" t="s">
        <v>575</v>
      </c>
    </row>
    <row r="1427" spans="1:2" x14ac:dyDescent="0.25">
      <c r="A1427">
        <v>11787607</v>
      </c>
      <c r="B1427" t="s">
        <v>575</v>
      </c>
    </row>
    <row r="1428" spans="1:2" x14ac:dyDescent="0.25">
      <c r="A1428">
        <v>11788827</v>
      </c>
      <c r="B1428" t="s">
        <v>575</v>
      </c>
    </row>
    <row r="1429" spans="1:2" x14ac:dyDescent="0.25">
      <c r="A1429">
        <v>11058513</v>
      </c>
      <c r="B1429" t="s">
        <v>575</v>
      </c>
    </row>
    <row r="1430" spans="1:2" x14ac:dyDescent="0.25">
      <c r="A1430">
        <v>11058003</v>
      </c>
      <c r="B1430" t="s">
        <v>577</v>
      </c>
    </row>
    <row r="1431" spans="1:2" x14ac:dyDescent="0.25">
      <c r="A1431">
        <v>11046834</v>
      </c>
      <c r="B1431" t="s">
        <v>577</v>
      </c>
    </row>
    <row r="1432" spans="1:2" x14ac:dyDescent="0.25">
      <c r="A1432">
        <v>11047063</v>
      </c>
      <c r="B1432" t="s">
        <v>577</v>
      </c>
    </row>
    <row r="1433" spans="1:2" x14ac:dyDescent="0.25">
      <c r="A1433">
        <v>11007414</v>
      </c>
      <c r="B1433" t="s">
        <v>576</v>
      </c>
    </row>
    <row r="1434" spans="1:2" x14ac:dyDescent="0.25">
      <c r="A1434">
        <v>11007850</v>
      </c>
      <c r="B1434" t="s">
        <v>575</v>
      </c>
    </row>
    <row r="1435" spans="1:2" x14ac:dyDescent="0.25">
      <c r="A1435">
        <v>11028212</v>
      </c>
      <c r="B1435" t="s">
        <v>575</v>
      </c>
    </row>
    <row r="1436" spans="1:2" x14ac:dyDescent="0.25">
      <c r="A1436">
        <v>11028705</v>
      </c>
      <c r="B1436" t="s">
        <v>577</v>
      </c>
    </row>
    <row r="1437" spans="1:2" x14ac:dyDescent="0.25">
      <c r="A1437">
        <v>10981395</v>
      </c>
      <c r="B1437" t="s">
        <v>575</v>
      </c>
    </row>
    <row r="1438" spans="1:2" x14ac:dyDescent="0.25">
      <c r="A1438">
        <v>10981593</v>
      </c>
      <c r="B1438" t="s">
        <v>575</v>
      </c>
    </row>
    <row r="1439" spans="1:2" x14ac:dyDescent="0.25">
      <c r="A1439">
        <v>10961649</v>
      </c>
      <c r="B1439" t="s">
        <v>577</v>
      </c>
    </row>
    <row r="1440" spans="1:2" x14ac:dyDescent="0.25">
      <c r="A1440">
        <v>10992161</v>
      </c>
      <c r="B1440" t="s">
        <v>575</v>
      </c>
    </row>
    <row r="1441" spans="1:2" x14ac:dyDescent="0.25">
      <c r="A1441">
        <v>10992174</v>
      </c>
      <c r="B1441" t="s">
        <v>577</v>
      </c>
    </row>
    <row r="1442" spans="1:2" x14ac:dyDescent="0.25">
      <c r="A1442">
        <v>11003012</v>
      </c>
      <c r="B1442" t="s">
        <v>577</v>
      </c>
    </row>
    <row r="1443" spans="1:2" x14ac:dyDescent="0.25">
      <c r="A1443">
        <v>11007926</v>
      </c>
      <c r="B1443" t="s">
        <v>577</v>
      </c>
    </row>
    <row r="1444" spans="1:2" x14ac:dyDescent="0.25">
      <c r="A1444">
        <v>11008930</v>
      </c>
      <c r="B1444" t="s">
        <v>576</v>
      </c>
    </row>
    <row r="1445" spans="1:2" x14ac:dyDescent="0.25">
      <c r="A1445">
        <v>10934164</v>
      </c>
      <c r="B1445" t="s">
        <v>577</v>
      </c>
    </row>
    <row r="1446" spans="1:2" x14ac:dyDescent="0.25">
      <c r="A1446">
        <v>10934175</v>
      </c>
      <c r="B1446" t="s">
        <v>577</v>
      </c>
    </row>
    <row r="1447" spans="1:2" x14ac:dyDescent="0.25">
      <c r="A1447">
        <v>10934885</v>
      </c>
      <c r="B1447" t="s">
        <v>578</v>
      </c>
    </row>
    <row r="1448" spans="1:2" x14ac:dyDescent="0.25">
      <c r="A1448">
        <v>10935826</v>
      </c>
      <c r="B1448" t="s">
        <v>577</v>
      </c>
    </row>
    <row r="1449" spans="1:2" x14ac:dyDescent="0.25">
      <c r="A1449">
        <v>10920794</v>
      </c>
      <c r="B1449" t="s">
        <v>576</v>
      </c>
    </row>
    <row r="1450" spans="1:2" x14ac:dyDescent="0.25">
      <c r="A1450">
        <v>10920847</v>
      </c>
      <c r="B1450" t="s">
        <v>577</v>
      </c>
    </row>
    <row r="1451" spans="1:2" x14ac:dyDescent="0.25">
      <c r="A1451">
        <v>10920931</v>
      </c>
      <c r="B1451" t="s">
        <v>579</v>
      </c>
    </row>
    <row r="1452" spans="1:2" x14ac:dyDescent="0.25">
      <c r="A1452">
        <v>10921537</v>
      </c>
      <c r="B1452" t="s">
        <v>579</v>
      </c>
    </row>
    <row r="1453" spans="1:2" x14ac:dyDescent="0.25">
      <c r="A1453">
        <v>10922017</v>
      </c>
      <c r="B1453" t="s">
        <v>578</v>
      </c>
    </row>
    <row r="1454" spans="1:2" x14ac:dyDescent="0.25">
      <c r="A1454">
        <v>10922129</v>
      </c>
      <c r="B1454" t="s">
        <v>577</v>
      </c>
    </row>
    <row r="1455" spans="1:2" x14ac:dyDescent="0.25">
      <c r="A1455">
        <v>10922222</v>
      </c>
      <c r="B1455" t="s">
        <v>575</v>
      </c>
    </row>
    <row r="1456" spans="1:2" x14ac:dyDescent="0.25">
      <c r="A1456">
        <v>10923561</v>
      </c>
      <c r="B1456" t="s">
        <v>575</v>
      </c>
    </row>
    <row r="1457" spans="1:2" x14ac:dyDescent="0.25">
      <c r="A1457">
        <v>10924032</v>
      </c>
      <c r="B1457" t="s">
        <v>576</v>
      </c>
    </row>
    <row r="1458" spans="1:2" x14ac:dyDescent="0.25">
      <c r="A1458">
        <v>10925401</v>
      </c>
      <c r="B1458" t="s">
        <v>579</v>
      </c>
    </row>
    <row r="1459" spans="1:2" x14ac:dyDescent="0.25">
      <c r="A1459">
        <v>11739168</v>
      </c>
      <c r="B1459" t="s">
        <v>576</v>
      </c>
    </row>
    <row r="1460" spans="1:2" x14ac:dyDescent="0.25">
      <c r="A1460">
        <v>11729594</v>
      </c>
      <c r="B1460" t="s">
        <v>575</v>
      </c>
    </row>
    <row r="1461" spans="1:2" x14ac:dyDescent="0.25">
      <c r="A1461">
        <v>11730136</v>
      </c>
      <c r="B1461" t="s">
        <v>579</v>
      </c>
    </row>
    <row r="1462" spans="1:2" x14ac:dyDescent="0.25">
      <c r="A1462">
        <v>11543162</v>
      </c>
      <c r="B1462" t="s">
        <v>576</v>
      </c>
    </row>
    <row r="1463" spans="1:2" x14ac:dyDescent="0.25">
      <c r="A1463">
        <v>11946313</v>
      </c>
      <c r="B1463" t="s">
        <v>580</v>
      </c>
    </row>
    <row r="1464" spans="1:2" x14ac:dyDescent="0.25">
      <c r="A1464">
        <v>11667087</v>
      </c>
      <c r="B1464" t="s">
        <v>576</v>
      </c>
    </row>
    <row r="1465" spans="1:2" x14ac:dyDescent="0.25">
      <c r="A1465">
        <v>11577546</v>
      </c>
      <c r="B1465" t="s">
        <v>580</v>
      </c>
    </row>
    <row r="1466" spans="1:2" x14ac:dyDescent="0.25">
      <c r="A1466">
        <v>11562515</v>
      </c>
      <c r="B1466" t="s">
        <v>576</v>
      </c>
    </row>
    <row r="1467" spans="1:2" x14ac:dyDescent="0.25">
      <c r="A1467">
        <v>11569480</v>
      </c>
      <c r="B1467" t="s">
        <v>576</v>
      </c>
    </row>
    <row r="1468" spans="1:2" x14ac:dyDescent="0.25">
      <c r="A1468">
        <v>11562083</v>
      </c>
      <c r="B1468" t="s">
        <v>577</v>
      </c>
    </row>
    <row r="1469" spans="1:2" x14ac:dyDescent="0.25">
      <c r="A1469">
        <v>11562391</v>
      </c>
      <c r="B1469" t="s">
        <v>580</v>
      </c>
    </row>
    <row r="1470" spans="1:2" x14ac:dyDescent="0.25">
      <c r="A1470">
        <v>11557651</v>
      </c>
      <c r="B1470" t="s">
        <v>575</v>
      </c>
    </row>
    <row r="1471" spans="1:2" x14ac:dyDescent="0.25">
      <c r="A1471">
        <v>11557901</v>
      </c>
      <c r="B1471" t="s">
        <v>580</v>
      </c>
    </row>
    <row r="1472" spans="1:2" x14ac:dyDescent="0.25">
      <c r="A1472">
        <v>11558254</v>
      </c>
      <c r="B1472" t="s">
        <v>575</v>
      </c>
    </row>
    <row r="1473" spans="1:2" x14ac:dyDescent="0.25">
      <c r="A1473">
        <v>11558657</v>
      </c>
      <c r="B1473" t="s">
        <v>575</v>
      </c>
    </row>
    <row r="1474" spans="1:2" x14ac:dyDescent="0.25">
      <c r="A1474">
        <v>11559057</v>
      </c>
      <c r="B1474" t="s">
        <v>580</v>
      </c>
    </row>
    <row r="1475" spans="1:2" x14ac:dyDescent="0.25">
      <c r="A1475">
        <v>11560307</v>
      </c>
      <c r="B1475" t="s">
        <v>576</v>
      </c>
    </row>
    <row r="1476" spans="1:2" x14ac:dyDescent="0.25">
      <c r="A1476">
        <v>11272837</v>
      </c>
      <c r="B1476" t="s">
        <v>575</v>
      </c>
    </row>
    <row r="1477" spans="1:2" x14ac:dyDescent="0.25">
      <c r="A1477">
        <v>11305477</v>
      </c>
      <c r="B1477" t="s">
        <v>577</v>
      </c>
    </row>
    <row r="1478" spans="1:2" x14ac:dyDescent="0.25">
      <c r="A1478">
        <v>11298984</v>
      </c>
      <c r="B1478" t="s">
        <v>575</v>
      </c>
    </row>
    <row r="1479" spans="1:2" x14ac:dyDescent="0.25">
      <c r="A1479">
        <v>11269572</v>
      </c>
      <c r="B1479" t="s">
        <v>575</v>
      </c>
    </row>
    <row r="1480" spans="1:2" x14ac:dyDescent="0.25">
      <c r="A1480">
        <v>11229397</v>
      </c>
      <c r="B1480" t="s">
        <v>575</v>
      </c>
    </row>
    <row r="1481" spans="1:2" x14ac:dyDescent="0.25">
      <c r="A1481">
        <v>11238632</v>
      </c>
      <c r="B1481" t="s">
        <v>577</v>
      </c>
    </row>
    <row r="1482" spans="1:2" x14ac:dyDescent="0.25">
      <c r="A1482">
        <v>11241375</v>
      </c>
      <c r="B1482" t="s">
        <v>578</v>
      </c>
    </row>
    <row r="1483" spans="1:2" x14ac:dyDescent="0.25">
      <c r="A1483">
        <v>11302947</v>
      </c>
      <c r="B1483" t="s">
        <v>575</v>
      </c>
    </row>
    <row r="1484" spans="1:2" x14ac:dyDescent="0.25">
      <c r="A1484">
        <v>11331246</v>
      </c>
      <c r="B1484" t="s">
        <v>575</v>
      </c>
    </row>
    <row r="1485" spans="1:2" x14ac:dyDescent="0.25">
      <c r="A1485">
        <v>11338338</v>
      </c>
      <c r="B1485" t="s">
        <v>575</v>
      </c>
    </row>
    <row r="1486" spans="1:2" x14ac:dyDescent="0.25">
      <c r="A1486">
        <v>11344378</v>
      </c>
      <c r="B1486" t="s">
        <v>577</v>
      </c>
    </row>
    <row r="1487" spans="1:2" x14ac:dyDescent="0.25">
      <c r="A1487">
        <v>11345547</v>
      </c>
      <c r="B1487" t="s">
        <v>580</v>
      </c>
    </row>
    <row r="1488" spans="1:2" x14ac:dyDescent="0.25">
      <c r="A1488">
        <v>11345826</v>
      </c>
      <c r="B1488" t="s">
        <v>575</v>
      </c>
    </row>
    <row r="1489" spans="1:2" x14ac:dyDescent="0.25">
      <c r="A1489">
        <v>11348282</v>
      </c>
      <c r="B1489" t="s">
        <v>575</v>
      </c>
    </row>
    <row r="1490" spans="1:2" x14ac:dyDescent="0.25">
      <c r="A1490">
        <v>11359877</v>
      </c>
      <c r="B1490" t="s">
        <v>578</v>
      </c>
    </row>
    <row r="1491" spans="1:2" x14ac:dyDescent="0.25">
      <c r="A1491">
        <v>11409218</v>
      </c>
      <c r="B1491" t="s">
        <v>575</v>
      </c>
    </row>
    <row r="1492" spans="1:2" x14ac:dyDescent="0.25">
      <c r="A1492">
        <v>11440238</v>
      </c>
      <c r="B1492" t="s">
        <v>575</v>
      </c>
    </row>
    <row r="1493" spans="1:2" x14ac:dyDescent="0.25">
      <c r="A1493">
        <v>11518743</v>
      </c>
      <c r="B1493" t="s">
        <v>577</v>
      </c>
    </row>
    <row r="1494" spans="1:2" x14ac:dyDescent="0.25">
      <c r="A1494">
        <v>11520506</v>
      </c>
      <c r="B1494" t="s">
        <v>579</v>
      </c>
    </row>
    <row r="1495" spans="1:2" x14ac:dyDescent="0.25">
      <c r="A1495">
        <v>11462140</v>
      </c>
      <c r="B1495" t="s">
        <v>575</v>
      </c>
    </row>
    <row r="1496" spans="1:2" x14ac:dyDescent="0.25">
      <c r="A1496">
        <v>11472198</v>
      </c>
      <c r="B1496" t="s">
        <v>575</v>
      </c>
    </row>
    <row r="1497" spans="1:2" x14ac:dyDescent="0.25">
      <c r="A1497">
        <v>11445743</v>
      </c>
      <c r="B1497" t="s">
        <v>575</v>
      </c>
    </row>
    <row r="1498" spans="1:2" x14ac:dyDescent="0.25">
      <c r="A1498">
        <v>11446310</v>
      </c>
      <c r="B1498" t="s">
        <v>577</v>
      </c>
    </row>
    <row r="1499" spans="1:2" x14ac:dyDescent="0.25">
      <c r="A1499">
        <v>11223824</v>
      </c>
      <c r="B1499" t="s">
        <v>575</v>
      </c>
    </row>
    <row r="1500" spans="1:2" x14ac:dyDescent="0.25">
      <c r="A1500">
        <v>11214324</v>
      </c>
      <c r="B1500" t="s">
        <v>575</v>
      </c>
    </row>
    <row r="1501" spans="1:2" x14ac:dyDescent="0.25">
      <c r="A1501">
        <v>11206139</v>
      </c>
      <c r="B1501" t="s">
        <v>577</v>
      </c>
    </row>
    <row r="1502" spans="1:2" x14ac:dyDescent="0.25">
      <c r="A1502">
        <v>11166775</v>
      </c>
      <c r="B1502" t="s">
        <v>575</v>
      </c>
    </row>
    <row r="1503" spans="1:2" x14ac:dyDescent="0.25">
      <c r="A1503">
        <v>11170231</v>
      </c>
      <c r="B1503" t="s">
        <v>579</v>
      </c>
    </row>
    <row r="1504" spans="1:2" x14ac:dyDescent="0.25">
      <c r="A1504">
        <v>11182612</v>
      </c>
      <c r="B1504" t="s">
        <v>578</v>
      </c>
    </row>
    <row r="1505" spans="1:2" x14ac:dyDescent="0.25">
      <c r="A1505">
        <v>11194510</v>
      </c>
      <c r="B1505" t="s">
        <v>578</v>
      </c>
    </row>
    <row r="1506" spans="1:2" x14ac:dyDescent="0.25">
      <c r="A1506">
        <v>11081282</v>
      </c>
      <c r="B1506" t="s">
        <v>575</v>
      </c>
    </row>
    <row r="1507" spans="1:2" x14ac:dyDescent="0.25">
      <c r="A1507">
        <v>10846796</v>
      </c>
      <c r="B1507" t="s">
        <v>576</v>
      </c>
    </row>
    <row r="1508" spans="1:2" x14ac:dyDescent="0.25">
      <c r="A1508">
        <v>11336228</v>
      </c>
      <c r="B1508" t="s">
        <v>575</v>
      </c>
    </row>
    <row r="1509" spans="1:2" x14ac:dyDescent="0.25">
      <c r="A1509">
        <v>10838812</v>
      </c>
      <c r="B1509" t="s">
        <v>579</v>
      </c>
    </row>
    <row r="1510" spans="1:2" x14ac:dyDescent="0.25">
      <c r="A1510">
        <v>11067784</v>
      </c>
    </row>
    <row r="1511" spans="1:2" x14ac:dyDescent="0.25">
      <c r="A1511">
        <v>11067828</v>
      </c>
    </row>
    <row r="1512" spans="1:2" x14ac:dyDescent="0.25">
      <c r="A1512">
        <v>11068056</v>
      </c>
    </row>
    <row r="1513" spans="1:2" x14ac:dyDescent="0.25">
      <c r="A1513">
        <v>11068081</v>
      </c>
    </row>
    <row r="1514" spans="1:2" x14ac:dyDescent="0.25">
      <c r="A1514">
        <v>11068126</v>
      </c>
    </row>
    <row r="1515" spans="1:2" x14ac:dyDescent="0.25">
      <c r="A1515">
        <v>11068184</v>
      </c>
    </row>
    <row r="1516" spans="1:2" x14ac:dyDescent="0.25">
      <c r="A1516">
        <v>11068200</v>
      </c>
    </row>
    <row r="1517" spans="1:2" x14ac:dyDescent="0.25">
      <c r="A1517">
        <v>11068221</v>
      </c>
    </row>
    <row r="1518" spans="1:2" x14ac:dyDescent="0.25">
      <c r="A1518">
        <v>11068372</v>
      </c>
    </row>
    <row r="1519" spans="1:2" x14ac:dyDescent="0.25">
      <c r="A1519">
        <v>11070025</v>
      </c>
    </row>
    <row r="1520" spans="1:2" x14ac:dyDescent="0.25">
      <c r="A1520">
        <v>11067233</v>
      </c>
    </row>
    <row r="1521" spans="1:2" x14ac:dyDescent="0.25">
      <c r="A1521">
        <v>11067257</v>
      </c>
    </row>
    <row r="1522" spans="1:2" x14ac:dyDescent="0.25">
      <c r="A1522">
        <v>11067273</v>
      </c>
    </row>
    <row r="1523" spans="1:2" x14ac:dyDescent="0.25">
      <c r="A1523">
        <v>10613590</v>
      </c>
      <c r="B1523" t="s">
        <v>577</v>
      </c>
    </row>
    <row r="1524" spans="1:2" x14ac:dyDescent="0.25">
      <c r="A1524">
        <v>11461136</v>
      </c>
      <c r="B1524" t="s">
        <v>575</v>
      </c>
    </row>
    <row r="1525" spans="1:2" x14ac:dyDescent="0.25">
      <c r="A1525">
        <v>11479039</v>
      </c>
      <c r="B1525" t="s">
        <v>579</v>
      </c>
    </row>
    <row r="1526" spans="1:2" x14ac:dyDescent="0.25">
      <c r="A1526">
        <v>11454152</v>
      </c>
      <c r="B1526" t="s">
        <v>575</v>
      </c>
    </row>
    <row r="1527" spans="1:2" x14ac:dyDescent="0.25">
      <c r="A1527">
        <v>11425020</v>
      </c>
      <c r="B1527" t="s">
        <v>576</v>
      </c>
    </row>
    <row r="1528" spans="1:2" x14ac:dyDescent="0.25">
      <c r="A1528">
        <v>11425395</v>
      </c>
      <c r="B1528" t="s">
        <v>575</v>
      </c>
    </row>
    <row r="1529" spans="1:2" x14ac:dyDescent="0.25">
      <c r="A1529">
        <v>11390282</v>
      </c>
      <c r="B1529" t="s">
        <v>575</v>
      </c>
    </row>
    <row r="1530" spans="1:2" x14ac:dyDescent="0.25">
      <c r="A1530">
        <v>11406911</v>
      </c>
      <c r="B1530" t="s">
        <v>575</v>
      </c>
    </row>
    <row r="1531" spans="1:2" x14ac:dyDescent="0.25">
      <c r="A1531">
        <v>11402207</v>
      </c>
      <c r="B1531" t="s">
        <v>579</v>
      </c>
    </row>
    <row r="1532" spans="1:2" x14ac:dyDescent="0.25">
      <c r="A1532">
        <v>11409145</v>
      </c>
      <c r="B1532" t="s">
        <v>575</v>
      </c>
    </row>
    <row r="1533" spans="1:2" x14ac:dyDescent="0.25">
      <c r="A1533">
        <v>11409637</v>
      </c>
      <c r="B1533" t="s">
        <v>575</v>
      </c>
    </row>
    <row r="1534" spans="1:2" x14ac:dyDescent="0.25">
      <c r="A1534">
        <v>11391608</v>
      </c>
      <c r="B1534" t="s">
        <v>575</v>
      </c>
    </row>
    <row r="1535" spans="1:2" x14ac:dyDescent="0.25">
      <c r="A1535">
        <v>11380143</v>
      </c>
      <c r="B1535" t="s">
        <v>578</v>
      </c>
    </row>
    <row r="1536" spans="1:2" x14ac:dyDescent="0.25">
      <c r="A1536">
        <v>11379368</v>
      </c>
      <c r="B1536" t="s">
        <v>575</v>
      </c>
    </row>
    <row r="1537" spans="1:2" x14ac:dyDescent="0.25">
      <c r="A1537">
        <v>11361973</v>
      </c>
      <c r="B1537" t="s">
        <v>576</v>
      </c>
    </row>
    <row r="1538" spans="1:2" x14ac:dyDescent="0.25">
      <c r="A1538">
        <v>11357653</v>
      </c>
      <c r="B1538" t="s">
        <v>577</v>
      </c>
    </row>
    <row r="1539" spans="1:2" x14ac:dyDescent="0.25">
      <c r="A1539">
        <v>11363311</v>
      </c>
      <c r="B1539" t="s">
        <v>575</v>
      </c>
    </row>
    <row r="1540" spans="1:2" x14ac:dyDescent="0.25">
      <c r="A1540">
        <v>11348490</v>
      </c>
      <c r="B1540" t="s">
        <v>575</v>
      </c>
    </row>
    <row r="1541" spans="1:2" x14ac:dyDescent="0.25">
      <c r="A1541">
        <v>11349932</v>
      </c>
      <c r="B1541" t="s">
        <v>575</v>
      </c>
    </row>
    <row r="1542" spans="1:2" x14ac:dyDescent="0.25">
      <c r="A1542">
        <v>11350424</v>
      </c>
      <c r="B1542" t="s">
        <v>575</v>
      </c>
    </row>
    <row r="1543" spans="1:2" x14ac:dyDescent="0.25">
      <c r="A1543">
        <v>11351897</v>
      </c>
      <c r="B1543" t="s">
        <v>575</v>
      </c>
    </row>
    <row r="1544" spans="1:2" x14ac:dyDescent="0.25">
      <c r="A1544">
        <v>11348628</v>
      </c>
      <c r="B1544" t="s">
        <v>576</v>
      </c>
    </row>
    <row r="1545" spans="1:2" x14ac:dyDescent="0.25">
      <c r="A1545">
        <v>11348719</v>
      </c>
      <c r="B1545" t="s">
        <v>576</v>
      </c>
    </row>
    <row r="1546" spans="1:2" x14ac:dyDescent="0.25">
      <c r="A1546">
        <v>11349608</v>
      </c>
      <c r="B1546" t="s">
        <v>575</v>
      </c>
    </row>
    <row r="1547" spans="1:2" x14ac:dyDescent="0.25">
      <c r="A1547">
        <v>11441042</v>
      </c>
      <c r="B1547" t="s">
        <v>577</v>
      </c>
    </row>
    <row r="1548" spans="1:2" x14ac:dyDescent="0.25">
      <c r="A1548">
        <v>11482585</v>
      </c>
      <c r="B1548" t="s">
        <v>575</v>
      </c>
    </row>
    <row r="1549" spans="1:2" x14ac:dyDescent="0.25">
      <c r="A1549">
        <v>11408638</v>
      </c>
      <c r="B1549" t="s">
        <v>575</v>
      </c>
    </row>
    <row r="1550" spans="1:2" x14ac:dyDescent="0.25">
      <c r="A1550">
        <v>11562442</v>
      </c>
      <c r="B1550" t="s">
        <v>576</v>
      </c>
    </row>
    <row r="1551" spans="1:2" x14ac:dyDescent="0.25">
      <c r="A1551">
        <v>11572631</v>
      </c>
      <c r="B1551" t="s">
        <v>575</v>
      </c>
    </row>
    <row r="1552" spans="1:2" x14ac:dyDescent="0.25">
      <c r="A1552">
        <v>11585282</v>
      </c>
      <c r="B1552" t="s">
        <v>575</v>
      </c>
    </row>
    <row r="1553" spans="1:2" x14ac:dyDescent="0.25">
      <c r="A1553">
        <v>11607816</v>
      </c>
      <c r="B1553" t="s">
        <v>575</v>
      </c>
    </row>
    <row r="1554" spans="1:2" x14ac:dyDescent="0.25">
      <c r="A1554">
        <v>11617032</v>
      </c>
      <c r="B1554" t="s">
        <v>575</v>
      </c>
    </row>
    <row r="1555" spans="1:2" x14ac:dyDescent="0.25">
      <c r="A1555">
        <v>11324040</v>
      </c>
      <c r="B1555" t="s">
        <v>575</v>
      </c>
    </row>
    <row r="1556" spans="1:2" x14ac:dyDescent="0.25">
      <c r="A1556">
        <v>10855107</v>
      </c>
      <c r="B1556" t="s">
        <v>575</v>
      </c>
    </row>
    <row r="1557" spans="1:2" x14ac:dyDescent="0.25">
      <c r="A1557">
        <v>10868647</v>
      </c>
      <c r="B1557" t="s">
        <v>575</v>
      </c>
    </row>
    <row r="1558" spans="1:2" x14ac:dyDescent="0.25">
      <c r="A1558">
        <v>10868908</v>
      </c>
      <c r="B1558" t="s">
        <v>575</v>
      </c>
    </row>
    <row r="1559" spans="1:2" x14ac:dyDescent="0.25">
      <c r="A1559">
        <v>10869521</v>
      </c>
      <c r="B1559" t="s">
        <v>580</v>
      </c>
    </row>
    <row r="1560" spans="1:2" x14ac:dyDescent="0.25">
      <c r="A1560">
        <v>10906664</v>
      </c>
      <c r="B1560" t="s">
        <v>575</v>
      </c>
    </row>
    <row r="1561" spans="1:2" x14ac:dyDescent="0.25">
      <c r="A1561">
        <v>10923727</v>
      </c>
      <c r="B1561" t="s">
        <v>578</v>
      </c>
    </row>
    <row r="1562" spans="1:2" x14ac:dyDescent="0.25">
      <c r="A1562">
        <v>10934309</v>
      </c>
      <c r="B1562" t="s">
        <v>575</v>
      </c>
    </row>
    <row r="1563" spans="1:2" x14ac:dyDescent="0.25">
      <c r="A1563">
        <v>10894019</v>
      </c>
      <c r="B1563" t="s">
        <v>575</v>
      </c>
    </row>
    <row r="1564" spans="1:2" x14ac:dyDescent="0.25">
      <c r="A1564">
        <v>10881130</v>
      </c>
      <c r="B1564" t="s">
        <v>575</v>
      </c>
    </row>
    <row r="1565" spans="1:2" x14ac:dyDescent="0.25">
      <c r="A1565">
        <v>10806010</v>
      </c>
      <c r="B1565" t="s">
        <v>575</v>
      </c>
    </row>
    <row r="1566" spans="1:2" x14ac:dyDescent="0.25">
      <c r="A1566">
        <v>10810914</v>
      </c>
      <c r="B1566" t="s">
        <v>575</v>
      </c>
    </row>
    <row r="1567" spans="1:2" x14ac:dyDescent="0.25">
      <c r="A1567">
        <v>10802696</v>
      </c>
      <c r="B1567" t="s">
        <v>575</v>
      </c>
    </row>
    <row r="1568" spans="1:2" x14ac:dyDescent="0.25">
      <c r="A1568">
        <v>10802712</v>
      </c>
      <c r="B1568" t="s">
        <v>575</v>
      </c>
    </row>
    <row r="1569" spans="1:2" x14ac:dyDescent="0.25">
      <c r="A1569">
        <v>10802724</v>
      </c>
      <c r="B1569" t="s">
        <v>575</v>
      </c>
    </row>
    <row r="1570" spans="1:2" x14ac:dyDescent="0.25">
      <c r="A1570">
        <v>10915409</v>
      </c>
      <c r="B1570" t="s">
        <v>575</v>
      </c>
    </row>
    <row r="1571" spans="1:2" x14ac:dyDescent="0.25">
      <c r="A1571">
        <v>10778995</v>
      </c>
      <c r="B1571" t="s">
        <v>575</v>
      </c>
    </row>
    <row r="1572" spans="1:2" x14ac:dyDescent="0.25">
      <c r="A1572">
        <v>10781034</v>
      </c>
      <c r="B1572" t="s">
        <v>575</v>
      </c>
    </row>
    <row r="1573" spans="1:2" x14ac:dyDescent="0.25">
      <c r="A1573">
        <v>11326094</v>
      </c>
      <c r="B1573" t="s">
        <v>575</v>
      </c>
    </row>
    <row r="1574" spans="1:2" x14ac:dyDescent="0.25">
      <c r="A1574">
        <v>11303107</v>
      </c>
      <c r="B1574" t="s">
        <v>577</v>
      </c>
    </row>
    <row r="1575" spans="1:2" x14ac:dyDescent="0.25">
      <c r="A1575">
        <v>11307544</v>
      </c>
      <c r="B1575" t="s">
        <v>575</v>
      </c>
    </row>
    <row r="1576" spans="1:2" x14ac:dyDescent="0.25">
      <c r="A1576">
        <v>11308459</v>
      </c>
      <c r="B1576" t="s">
        <v>580</v>
      </c>
    </row>
    <row r="1577" spans="1:2" x14ac:dyDescent="0.25">
      <c r="A1577">
        <v>11333960</v>
      </c>
      <c r="B1577" t="s">
        <v>575</v>
      </c>
    </row>
    <row r="1578" spans="1:2" x14ac:dyDescent="0.25">
      <c r="A1578">
        <v>11344134</v>
      </c>
      <c r="B1578" t="s">
        <v>578</v>
      </c>
    </row>
    <row r="1579" spans="1:2" x14ac:dyDescent="0.25">
      <c r="A1579">
        <v>11330139</v>
      </c>
      <c r="B1579" t="s">
        <v>575</v>
      </c>
    </row>
    <row r="1580" spans="1:2" x14ac:dyDescent="0.25">
      <c r="A1580">
        <v>11347272</v>
      </c>
      <c r="B1580" t="s">
        <v>575</v>
      </c>
    </row>
    <row r="1581" spans="1:2" x14ac:dyDescent="0.25">
      <c r="A1581">
        <v>11347944</v>
      </c>
      <c r="B1581" t="s">
        <v>575</v>
      </c>
    </row>
    <row r="1582" spans="1:2" x14ac:dyDescent="0.25">
      <c r="A1582">
        <v>11348225</v>
      </c>
      <c r="B1582" t="s">
        <v>575</v>
      </c>
    </row>
    <row r="1583" spans="1:2" x14ac:dyDescent="0.25">
      <c r="A1583">
        <v>11225044</v>
      </c>
      <c r="B1583" t="s">
        <v>577</v>
      </c>
    </row>
    <row r="1584" spans="1:2" x14ac:dyDescent="0.25">
      <c r="A1584">
        <v>11268960</v>
      </c>
      <c r="B1584" t="s">
        <v>575</v>
      </c>
    </row>
    <row r="1585" spans="1:2" x14ac:dyDescent="0.25">
      <c r="A1585">
        <v>11271430</v>
      </c>
      <c r="B1585" t="s">
        <v>580</v>
      </c>
    </row>
    <row r="1586" spans="1:2" x14ac:dyDescent="0.25">
      <c r="A1586">
        <v>11010709</v>
      </c>
      <c r="B1586" t="s">
        <v>577</v>
      </c>
    </row>
    <row r="1587" spans="1:2" x14ac:dyDescent="0.25">
      <c r="A1587">
        <v>11012688</v>
      </c>
      <c r="B1587" t="s">
        <v>575</v>
      </c>
    </row>
    <row r="1588" spans="1:2" x14ac:dyDescent="0.25">
      <c r="A1588">
        <v>10967086</v>
      </c>
      <c r="B1588" t="s">
        <v>575</v>
      </c>
    </row>
    <row r="1589" spans="1:2" x14ac:dyDescent="0.25">
      <c r="A1589">
        <v>10961452</v>
      </c>
      <c r="B1589" t="s">
        <v>576</v>
      </c>
    </row>
    <row r="1590" spans="1:2" x14ac:dyDescent="0.25">
      <c r="A1590">
        <v>10999282</v>
      </c>
      <c r="B1590" t="s">
        <v>575</v>
      </c>
    </row>
    <row r="1591" spans="1:2" x14ac:dyDescent="0.25">
      <c r="A1591">
        <v>11000643</v>
      </c>
      <c r="B1591" t="s">
        <v>579</v>
      </c>
    </row>
    <row r="1592" spans="1:2" x14ac:dyDescent="0.25">
      <c r="A1592">
        <v>11001069</v>
      </c>
      <c r="B1592" t="s">
        <v>575</v>
      </c>
    </row>
    <row r="1593" spans="1:2" x14ac:dyDescent="0.25">
      <c r="A1593">
        <v>10766163</v>
      </c>
      <c r="B1593" t="s">
        <v>575</v>
      </c>
    </row>
    <row r="1594" spans="1:2" x14ac:dyDescent="0.25">
      <c r="A1594">
        <v>10742848</v>
      </c>
      <c r="B1594" t="s">
        <v>579</v>
      </c>
    </row>
    <row r="1595" spans="1:2" x14ac:dyDescent="0.25">
      <c r="A1595">
        <v>10745945</v>
      </c>
      <c r="B1595" t="s">
        <v>576</v>
      </c>
    </row>
    <row r="1596" spans="1:2" x14ac:dyDescent="0.25">
      <c r="A1596">
        <v>10747062</v>
      </c>
      <c r="B1596" t="s">
        <v>575</v>
      </c>
    </row>
    <row r="1597" spans="1:2" x14ac:dyDescent="0.25">
      <c r="A1597">
        <v>11312751</v>
      </c>
      <c r="B1597" t="s">
        <v>577</v>
      </c>
    </row>
    <row r="1598" spans="1:2" x14ac:dyDescent="0.25">
      <c r="A1598">
        <v>11617904</v>
      </c>
      <c r="B1598" t="s">
        <v>575</v>
      </c>
    </row>
    <row r="1599" spans="1:2" x14ac:dyDescent="0.25">
      <c r="A1599">
        <v>11621193</v>
      </c>
      <c r="B1599" t="s">
        <v>575</v>
      </c>
    </row>
    <row r="1600" spans="1:2" x14ac:dyDescent="0.25">
      <c r="A1600">
        <v>11622531</v>
      </c>
      <c r="B1600" t="s">
        <v>579</v>
      </c>
    </row>
    <row r="1601" spans="1:2" x14ac:dyDescent="0.25">
      <c r="A1601">
        <v>11612211</v>
      </c>
      <c r="B1601" t="s">
        <v>575</v>
      </c>
    </row>
    <row r="1602" spans="1:2" x14ac:dyDescent="0.25">
      <c r="A1602">
        <v>11601342</v>
      </c>
      <c r="B1602" t="s">
        <v>577</v>
      </c>
    </row>
    <row r="1603" spans="1:2" x14ac:dyDescent="0.25">
      <c r="A1603">
        <v>11604471</v>
      </c>
      <c r="B1603" t="s">
        <v>575</v>
      </c>
    </row>
    <row r="1604" spans="1:2" x14ac:dyDescent="0.25">
      <c r="A1604">
        <v>11609072</v>
      </c>
      <c r="B1604" t="s">
        <v>578</v>
      </c>
    </row>
    <row r="1605" spans="1:2" x14ac:dyDescent="0.25">
      <c r="A1605">
        <v>11631802</v>
      </c>
      <c r="B1605" t="s">
        <v>575</v>
      </c>
    </row>
    <row r="1606" spans="1:2" x14ac:dyDescent="0.25">
      <c r="A1606">
        <v>11632799</v>
      </c>
      <c r="B1606" t="s">
        <v>579</v>
      </c>
    </row>
    <row r="1607" spans="1:2" x14ac:dyDescent="0.25">
      <c r="A1607">
        <v>11632836</v>
      </c>
      <c r="B1607" t="s">
        <v>575</v>
      </c>
    </row>
    <row r="1608" spans="1:2" x14ac:dyDescent="0.25">
      <c r="A1608">
        <v>11634514</v>
      </c>
      <c r="B1608" t="s">
        <v>578</v>
      </c>
    </row>
    <row r="1609" spans="1:2" x14ac:dyDescent="0.25">
      <c r="A1609">
        <v>11629601</v>
      </c>
      <c r="B1609" t="s">
        <v>575</v>
      </c>
    </row>
    <row r="1610" spans="1:2" x14ac:dyDescent="0.25">
      <c r="A1610">
        <v>11718354</v>
      </c>
      <c r="B1610" t="s">
        <v>575</v>
      </c>
    </row>
    <row r="1611" spans="1:2" x14ac:dyDescent="0.25">
      <c r="A1611">
        <v>11668066</v>
      </c>
      <c r="B1611" t="s">
        <v>579</v>
      </c>
    </row>
    <row r="1612" spans="1:2" x14ac:dyDescent="0.25">
      <c r="A1612">
        <v>11669920</v>
      </c>
      <c r="B1612" t="s">
        <v>575</v>
      </c>
    </row>
    <row r="1613" spans="1:2" x14ac:dyDescent="0.25">
      <c r="A1613">
        <v>11670354</v>
      </c>
      <c r="B1613" t="s">
        <v>578</v>
      </c>
    </row>
    <row r="1614" spans="1:2" x14ac:dyDescent="0.25">
      <c r="A1614">
        <v>11664229</v>
      </c>
      <c r="B1614" t="s">
        <v>575</v>
      </c>
    </row>
    <row r="1615" spans="1:2" x14ac:dyDescent="0.25">
      <c r="A1615">
        <v>11256419</v>
      </c>
      <c r="B1615" t="s">
        <v>578</v>
      </c>
    </row>
    <row r="1616" spans="1:2" x14ac:dyDescent="0.25">
      <c r="A1616">
        <v>11348055</v>
      </c>
      <c r="B1616" t="s">
        <v>575</v>
      </c>
    </row>
    <row r="1617" spans="1:2" x14ac:dyDescent="0.25">
      <c r="A1617">
        <v>11348066</v>
      </c>
      <c r="B1617" t="s">
        <v>575</v>
      </c>
    </row>
    <row r="1618" spans="1:2" x14ac:dyDescent="0.25">
      <c r="A1618">
        <v>11348071</v>
      </c>
      <c r="B1618" t="s">
        <v>575</v>
      </c>
    </row>
    <row r="1619" spans="1:2" x14ac:dyDescent="0.25">
      <c r="A1619">
        <v>11348115</v>
      </c>
      <c r="B1619" t="s">
        <v>577</v>
      </c>
    </row>
    <row r="1620" spans="1:2" x14ac:dyDescent="0.25">
      <c r="A1620">
        <v>11348193</v>
      </c>
      <c r="B1620" t="s">
        <v>575</v>
      </c>
    </row>
    <row r="1621" spans="1:2" x14ac:dyDescent="0.25">
      <c r="A1621">
        <v>11348291</v>
      </c>
      <c r="B1621" t="s">
        <v>576</v>
      </c>
    </row>
    <row r="1622" spans="1:2" x14ac:dyDescent="0.25">
      <c r="A1622">
        <v>11607995</v>
      </c>
      <c r="B1622" t="s">
        <v>575</v>
      </c>
    </row>
    <row r="1623" spans="1:2" x14ac:dyDescent="0.25">
      <c r="A1623">
        <v>11817966</v>
      </c>
      <c r="B1623" t="s">
        <v>575</v>
      </c>
    </row>
    <row r="1624" spans="1:2" x14ac:dyDescent="0.25">
      <c r="A1624">
        <v>11818002</v>
      </c>
      <c r="B1624" t="s">
        <v>575</v>
      </c>
    </row>
    <row r="1625" spans="1:2" x14ac:dyDescent="0.25">
      <c r="A1625">
        <v>11851375</v>
      </c>
      <c r="B1625" t="s">
        <v>579</v>
      </c>
    </row>
    <row r="1626" spans="1:2" x14ac:dyDescent="0.25">
      <c r="A1626">
        <v>11660141</v>
      </c>
      <c r="B1626" t="s">
        <v>577</v>
      </c>
    </row>
    <row r="1627" spans="1:2" x14ac:dyDescent="0.25">
      <c r="A1627">
        <v>11543436</v>
      </c>
      <c r="B1627" t="s">
        <v>575</v>
      </c>
    </row>
    <row r="1628" spans="1:2" x14ac:dyDescent="0.25">
      <c r="A1628">
        <v>11407860</v>
      </c>
      <c r="B1628" t="s">
        <v>575</v>
      </c>
    </row>
    <row r="1629" spans="1:2" x14ac:dyDescent="0.25">
      <c r="A1629">
        <v>11465990</v>
      </c>
      <c r="B1629" t="s">
        <v>578</v>
      </c>
    </row>
    <row r="1630" spans="1:2" x14ac:dyDescent="0.25">
      <c r="A1630">
        <v>11345590</v>
      </c>
      <c r="B1630" t="s">
        <v>575</v>
      </c>
    </row>
    <row r="1631" spans="1:2" x14ac:dyDescent="0.25">
      <c r="A1631">
        <v>11391351</v>
      </c>
      <c r="B1631" t="s">
        <v>575</v>
      </c>
    </row>
    <row r="1632" spans="1:2" x14ac:dyDescent="0.25">
      <c r="A1632">
        <v>11284380</v>
      </c>
      <c r="B1632" t="s">
        <v>575</v>
      </c>
    </row>
    <row r="1633" spans="1:2" x14ac:dyDescent="0.25">
      <c r="A1633">
        <v>11092543</v>
      </c>
      <c r="B1633" t="s">
        <v>575</v>
      </c>
    </row>
    <row r="1634" spans="1:2" x14ac:dyDescent="0.25">
      <c r="A1634">
        <v>11094076</v>
      </c>
      <c r="B1634" t="s">
        <v>578</v>
      </c>
    </row>
    <row r="1635" spans="1:2" x14ac:dyDescent="0.25">
      <c r="A1635">
        <v>11183749</v>
      </c>
      <c r="B1635" t="s">
        <v>575</v>
      </c>
    </row>
    <row r="1636" spans="1:2" x14ac:dyDescent="0.25">
      <c r="A1636">
        <v>11194335</v>
      </c>
      <c r="B1636" t="s">
        <v>579</v>
      </c>
    </row>
    <row r="1637" spans="1:2" x14ac:dyDescent="0.25">
      <c r="A1637">
        <v>10954754</v>
      </c>
      <c r="B1637" t="s">
        <v>575</v>
      </c>
    </row>
    <row r="1638" spans="1:2" x14ac:dyDescent="0.25">
      <c r="A1638">
        <v>11008827</v>
      </c>
      <c r="B1638" t="s">
        <v>575</v>
      </c>
    </row>
    <row r="1639" spans="1:2" x14ac:dyDescent="0.25">
      <c r="A1639">
        <v>11715359</v>
      </c>
      <c r="B1639" t="s">
        <v>577</v>
      </c>
    </row>
    <row r="1640" spans="1:2" x14ac:dyDescent="0.25">
      <c r="A1640">
        <v>11630850</v>
      </c>
      <c r="B1640" t="s">
        <v>577</v>
      </c>
    </row>
    <row r="1641" spans="1:2" x14ac:dyDescent="0.25">
      <c r="A1641">
        <v>11496682</v>
      </c>
      <c r="B1641" t="s">
        <v>577</v>
      </c>
    </row>
    <row r="1642" spans="1:2" x14ac:dyDescent="0.25">
      <c r="A1642">
        <v>11483552</v>
      </c>
      <c r="B1642" t="s">
        <v>577</v>
      </c>
    </row>
    <row r="1643" spans="1:2" x14ac:dyDescent="0.25">
      <c r="A1643">
        <v>11607873</v>
      </c>
      <c r="B1643" t="s">
        <v>575</v>
      </c>
    </row>
    <row r="1644" spans="1:2" x14ac:dyDescent="0.25">
      <c r="A1644">
        <v>11694919</v>
      </c>
      <c r="B1644" t="s">
        <v>577</v>
      </c>
    </row>
    <row r="1645" spans="1:2" x14ac:dyDescent="0.25">
      <c r="A1645">
        <v>11856048</v>
      </c>
      <c r="B1645" t="s">
        <v>579</v>
      </c>
    </row>
    <row r="1646" spans="1:2" x14ac:dyDescent="0.25">
      <c r="A1646">
        <v>11300762</v>
      </c>
      <c r="B1646" t="s">
        <v>577</v>
      </c>
    </row>
    <row r="1647" spans="1:2" x14ac:dyDescent="0.25">
      <c r="A1647">
        <v>11708055</v>
      </c>
      <c r="B1647" t="s">
        <v>580</v>
      </c>
    </row>
    <row r="1648" spans="1:2" x14ac:dyDescent="0.25">
      <c r="A1648">
        <v>11345411</v>
      </c>
      <c r="B1648" t="s">
        <v>575</v>
      </c>
    </row>
    <row r="1649" spans="1:2" x14ac:dyDescent="0.25">
      <c r="A1649">
        <v>11347478</v>
      </c>
      <c r="B1649" t="s">
        <v>577</v>
      </c>
    </row>
    <row r="1650" spans="1:2" x14ac:dyDescent="0.25">
      <c r="A1650">
        <v>11382988</v>
      </c>
      <c r="B1650" t="s">
        <v>575</v>
      </c>
    </row>
    <row r="1651" spans="1:2" x14ac:dyDescent="0.25">
      <c r="A1651">
        <v>11396053</v>
      </c>
      <c r="B1651" t="s">
        <v>577</v>
      </c>
    </row>
    <row r="1652" spans="1:2" x14ac:dyDescent="0.25">
      <c r="A1652">
        <v>11408282</v>
      </c>
      <c r="B1652" t="s">
        <v>575</v>
      </c>
    </row>
    <row r="1653" spans="1:2" x14ac:dyDescent="0.25">
      <c r="A1653">
        <v>11408945</v>
      </c>
      <c r="B1653" t="s">
        <v>577</v>
      </c>
    </row>
    <row r="1654" spans="1:2" x14ac:dyDescent="0.25">
      <c r="A1654">
        <v>10721281</v>
      </c>
      <c r="B1654" t="s">
        <v>577</v>
      </c>
    </row>
    <row r="1655" spans="1:2" x14ac:dyDescent="0.25">
      <c r="A1655">
        <v>10722962</v>
      </c>
      <c r="B1655" t="s">
        <v>575</v>
      </c>
    </row>
    <row r="1656" spans="1:2" x14ac:dyDescent="0.25">
      <c r="A1656">
        <v>10724692</v>
      </c>
      <c r="B1656" t="s">
        <v>579</v>
      </c>
    </row>
    <row r="1657" spans="1:2" x14ac:dyDescent="0.25">
      <c r="A1657">
        <v>10704307</v>
      </c>
      <c r="B1657" t="s">
        <v>575</v>
      </c>
    </row>
    <row r="1658" spans="1:2" x14ac:dyDescent="0.25">
      <c r="A1658">
        <v>10705066</v>
      </c>
      <c r="B1658" t="s">
        <v>575</v>
      </c>
    </row>
    <row r="1659" spans="1:2" x14ac:dyDescent="0.25">
      <c r="A1659">
        <v>10705414</v>
      </c>
      <c r="B1659" t="s">
        <v>575</v>
      </c>
    </row>
    <row r="1660" spans="1:2" x14ac:dyDescent="0.25">
      <c r="A1660">
        <v>10698064</v>
      </c>
      <c r="B1660" t="s">
        <v>575</v>
      </c>
    </row>
    <row r="1661" spans="1:2" x14ac:dyDescent="0.25">
      <c r="A1661">
        <v>11626985</v>
      </c>
      <c r="B1661" t="s">
        <v>579</v>
      </c>
    </row>
    <row r="1662" spans="1:2" x14ac:dyDescent="0.25">
      <c r="A1662">
        <v>11617902</v>
      </c>
      <c r="B1662" t="s">
        <v>575</v>
      </c>
    </row>
    <row r="1663" spans="1:2" x14ac:dyDescent="0.25">
      <c r="A1663">
        <v>11617974</v>
      </c>
      <c r="B1663" t="s">
        <v>577</v>
      </c>
    </row>
    <row r="1664" spans="1:2" x14ac:dyDescent="0.25">
      <c r="A1664">
        <v>11618283</v>
      </c>
      <c r="B1664" t="s">
        <v>576</v>
      </c>
    </row>
    <row r="1665" spans="1:2" x14ac:dyDescent="0.25">
      <c r="A1665">
        <v>11111175</v>
      </c>
      <c r="B1665" t="s">
        <v>575</v>
      </c>
    </row>
    <row r="1666" spans="1:2" x14ac:dyDescent="0.25">
      <c r="A1666">
        <v>11112751</v>
      </c>
      <c r="B1666" t="s">
        <v>579</v>
      </c>
    </row>
    <row r="1667" spans="1:2" x14ac:dyDescent="0.25">
      <c r="A1667">
        <v>10791477</v>
      </c>
      <c r="B1667" t="s">
        <v>577</v>
      </c>
    </row>
    <row r="1668" spans="1:2" x14ac:dyDescent="0.25">
      <c r="A1668">
        <v>10791560</v>
      </c>
      <c r="B1668" t="s">
        <v>575</v>
      </c>
    </row>
    <row r="1669" spans="1:2" x14ac:dyDescent="0.25">
      <c r="A1669">
        <v>10794152</v>
      </c>
      <c r="B1669" t="s">
        <v>576</v>
      </c>
    </row>
    <row r="1670" spans="1:2" x14ac:dyDescent="0.25">
      <c r="A1670">
        <v>10796317</v>
      </c>
      <c r="B1670" t="s">
        <v>575</v>
      </c>
    </row>
    <row r="1671" spans="1:2" x14ac:dyDescent="0.25">
      <c r="A1671">
        <v>11282991</v>
      </c>
      <c r="B1671" t="s">
        <v>580</v>
      </c>
    </row>
    <row r="1672" spans="1:2" x14ac:dyDescent="0.25">
      <c r="A1672">
        <v>11284023</v>
      </c>
      <c r="B1672" t="s">
        <v>575</v>
      </c>
    </row>
    <row r="1673" spans="1:2" x14ac:dyDescent="0.25">
      <c r="A1673">
        <v>11070606</v>
      </c>
    </row>
    <row r="1674" spans="1:2" x14ac:dyDescent="0.25">
      <c r="A1674">
        <v>11071869</v>
      </c>
    </row>
    <row r="1675" spans="1:2" x14ac:dyDescent="0.25">
      <c r="A1675">
        <v>11068504</v>
      </c>
    </row>
    <row r="1676" spans="1:2" x14ac:dyDescent="0.25">
      <c r="A1676">
        <v>11599703</v>
      </c>
    </row>
    <row r="1677" spans="1:2" x14ac:dyDescent="0.25">
      <c r="A1677">
        <v>11344704</v>
      </c>
      <c r="B1677" t="s">
        <v>576</v>
      </c>
    </row>
    <row r="1678" spans="1:2" x14ac:dyDescent="0.25">
      <c r="A1678">
        <v>11264792</v>
      </c>
      <c r="B1678" t="s">
        <v>577</v>
      </c>
    </row>
    <row r="1679" spans="1:2" x14ac:dyDescent="0.25">
      <c r="A1679">
        <v>11933972</v>
      </c>
    </row>
    <row r="1680" spans="1:2" x14ac:dyDescent="0.25">
      <c r="A1680">
        <v>11290065</v>
      </c>
      <c r="B1680" t="s">
        <v>577</v>
      </c>
    </row>
    <row r="1681" spans="1:2" x14ac:dyDescent="0.25">
      <c r="A1681">
        <v>11334533</v>
      </c>
      <c r="B1681" t="s">
        <v>575</v>
      </c>
    </row>
    <row r="1682" spans="1:2" x14ac:dyDescent="0.25">
      <c r="A1682">
        <v>11346530</v>
      </c>
      <c r="B1682" t="s">
        <v>575</v>
      </c>
    </row>
    <row r="1683" spans="1:2" x14ac:dyDescent="0.25">
      <c r="A1683">
        <v>11421234</v>
      </c>
      <c r="B1683" t="s">
        <v>578</v>
      </c>
    </row>
    <row r="1684" spans="1:2" x14ac:dyDescent="0.25">
      <c r="A1684">
        <v>11715844</v>
      </c>
      <c r="B1684" t="s">
        <v>575</v>
      </c>
    </row>
    <row r="1685" spans="1:2" x14ac:dyDescent="0.25">
      <c r="A1685">
        <v>11724450</v>
      </c>
      <c r="B1685" t="s">
        <v>575</v>
      </c>
    </row>
    <row r="1686" spans="1:2" x14ac:dyDescent="0.25">
      <c r="A1686">
        <v>11461300</v>
      </c>
      <c r="B1686" t="s">
        <v>575</v>
      </c>
    </row>
    <row r="1687" spans="1:2" x14ac:dyDescent="0.25">
      <c r="A1687">
        <v>11445191</v>
      </c>
      <c r="B1687" t="s">
        <v>575</v>
      </c>
    </row>
    <row r="1688" spans="1:2" x14ac:dyDescent="0.25">
      <c r="A1688">
        <v>11453877</v>
      </c>
      <c r="B1688" t="s">
        <v>575</v>
      </c>
    </row>
    <row r="1689" spans="1:2" x14ac:dyDescent="0.25">
      <c r="A1689">
        <v>11520708</v>
      </c>
      <c r="B1689" t="s">
        <v>575</v>
      </c>
    </row>
    <row r="1690" spans="1:2" x14ac:dyDescent="0.25">
      <c r="A1690">
        <v>11091695</v>
      </c>
      <c r="B1690" t="s">
        <v>575</v>
      </c>
    </row>
    <row r="1691" spans="1:2" x14ac:dyDescent="0.25">
      <c r="A1691">
        <v>11047536</v>
      </c>
      <c r="B1691" t="s">
        <v>578</v>
      </c>
    </row>
    <row r="1692" spans="1:2" x14ac:dyDescent="0.25">
      <c r="A1692">
        <v>10958736</v>
      </c>
      <c r="B1692" t="s">
        <v>575</v>
      </c>
    </row>
    <row r="1693" spans="1:2" x14ac:dyDescent="0.25">
      <c r="A1693">
        <v>10961624</v>
      </c>
      <c r="B1693" t="s">
        <v>578</v>
      </c>
    </row>
    <row r="1694" spans="1:2" x14ac:dyDescent="0.25">
      <c r="A1694">
        <v>10980224</v>
      </c>
      <c r="B1694" t="s">
        <v>575</v>
      </c>
    </row>
    <row r="1695" spans="1:2" x14ac:dyDescent="0.25">
      <c r="A1695">
        <v>10853591</v>
      </c>
      <c r="B1695" t="s">
        <v>575</v>
      </c>
    </row>
    <row r="1696" spans="1:2" x14ac:dyDescent="0.25">
      <c r="A1696">
        <v>10919276</v>
      </c>
      <c r="B1696" t="s">
        <v>579</v>
      </c>
    </row>
    <row r="1697" spans="1:2" x14ac:dyDescent="0.25">
      <c r="A1697">
        <v>10640009</v>
      </c>
    </row>
    <row r="1698" spans="1:2" x14ac:dyDescent="0.25">
      <c r="A1698">
        <v>10676449</v>
      </c>
      <c r="B1698" t="s">
        <v>575</v>
      </c>
    </row>
    <row r="1699" spans="1:2" x14ac:dyDescent="0.25">
      <c r="A1699">
        <v>10696938</v>
      </c>
      <c r="B1699" t="s">
        <v>575</v>
      </c>
    </row>
    <row r="1700" spans="1:2" x14ac:dyDescent="0.25">
      <c r="A1700">
        <v>10705532</v>
      </c>
      <c r="B1700" t="s">
        <v>577</v>
      </c>
    </row>
    <row r="1701" spans="1:2" x14ac:dyDescent="0.25">
      <c r="A1701">
        <v>10885182</v>
      </c>
      <c r="B1701" t="s">
        <v>577</v>
      </c>
    </row>
    <row r="1702" spans="1:2" x14ac:dyDescent="0.25">
      <c r="A1702">
        <v>10913550</v>
      </c>
      <c r="B1702" t="s">
        <v>575</v>
      </c>
    </row>
    <row r="1703" spans="1:2" x14ac:dyDescent="0.25">
      <c r="A1703">
        <v>10964224</v>
      </c>
      <c r="B1703" t="s">
        <v>575</v>
      </c>
    </row>
    <row r="1704" spans="1:2" x14ac:dyDescent="0.25">
      <c r="A1704">
        <v>11023211</v>
      </c>
      <c r="B1704" t="s">
        <v>575</v>
      </c>
    </row>
    <row r="1705" spans="1:2" x14ac:dyDescent="0.25">
      <c r="A1705">
        <v>11311517</v>
      </c>
      <c r="B1705" t="s">
        <v>575</v>
      </c>
    </row>
    <row r="1706" spans="1:2" x14ac:dyDescent="0.25">
      <c r="A1706">
        <v>11581769</v>
      </c>
      <c r="B1706" t="s">
        <v>575</v>
      </c>
    </row>
    <row r="1707" spans="1:2" x14ac:dyDescent="0.25">
      <c r="A1707">
        <v>11824982</v>
      </c>
      <c r="B1707" t="s">
        <v>575</v>
      </c>
    </row>
    <row r="1708" spans="1:2" x14ac:dyDescent="0.25">
      <c r="A1708">
        <v>11613507</v>
      </c>
      <c r="B1708" t="s">
        <v>580</v>
      </c>
    </row>
    <row r="1709" spans="1:2" x14ac:dyDescent="0.25">
      <c r="A1709">
        <v>11592974</v>
      </c>
      <c r="B1709" t="s">
        <v>580</v>
      </c>
    </row>
    <row r="1710" spans="1:2" x14ac:dyDescent="0.25">
      <c r="A1710">
        <v>11627077</v>
      </c>
    </row>
    <row r="1711" spans="1:2" x14ac:dyDescent="0.25">
      <c r="A1711">
        <v>11574073</v>
      </c>
      <c r="B1711" t="s">
        <v>575</v>
      </c>
    </row>
    <row r="1712" spans="1:2" x14ac:dyDescent="0.25">
      <c r="A1712">
        <v>11643814</v>
      </c>
      <c r="B1712" t="s">
        <v>575</v>
      </c>
    </row>
    <row r="1713" spans="1:2" x14ac:dyDescent="0.25">
      <c r="A1713">
        <v>11740769</v>
      </c>
      <c r="B1713" t="s">
        <v>580</v>
      </c>
    </row>
    <row r="1714" spans="1:2" x14ac:dyDescent="0.25">
      <c r="A1714">
        <v>11645505</v>
      </c>
      <c r="B1714" t="s">
        <v>575</v>
      </c>
    </row>
    <row r="1715" spans="1:2" x14ac:dyDescent="0.25">
      <c r="A1715">
        <v>11971167</v>
      </c>
      <c r="B1715" t="s">
        <v>575</v>
      </c>
    </row>
    <row r="1716" spans="1:2" x14ac:dyDescent="0.25">
      <c r="A1716">
        <v>11937987</v>
      </c>
      <c r="B1716" t="s">
        <v>575</v>
      </c>
    </row>
    <row r="1717" spans="1:2" x14ac:dyDescent="0.25">
      <c r="A1717">
        <v>11942566</v>
      </c>
      <c r="B1717" t="s">
        <v>575</v>
      </c>
    </row>
    <row r="1718" spans="1:2" x14ac:dyDescent="0.25">
      <c r="A1718">
        <v>11993184</v>
      </c>
      <c r="B1718" t="s">
        <v>578</v>
      </c>
    </row>
    <row r="1719" spans="1:2" x14ac:dyDescent="0.25">
      <c r="A1719">
        <v>11999840</v>
      </c>
      <c r="B1719" t="s">
        <v>575</v>
      </c>
    </row>
    <row r="1720" spans="1:2" x14ac:dyDescent="0.25">
      <c r="A1720">
        <v>12015655</v>
      </c>
      <c r="B1720" t="s">
        <v>580</v>
      </c>
    </row>
    <row r="1721" spans="1:2" x14ac:dyDescent="0.25">
      <c r="A1721">
        <v>12019895</v>
      </c>
      <c r="B1721" t="s">
        <v>575</v>
      </c>
    </row>
    <row r="1722" spans="1:2" x14ac:dyDescent="0.25">
      <c r="A1722">
        <v>12020519</v>
      </c>
      <c r="B1722" t="s">
        <v>576</v>
      </c>
    </row>
    <row r="1723" spans="1:2" x14ac:dyDescent="0.25">
      <c r="A1723">
        <v>12025673</v>
      </c>
      <c r="B1723" t="s">
        <v>575</v>
      </c>
    </row>
    <row r="1724" spans="1:2" x14ac:dyDescent="0.25">
      <c r="A1724">
        <v>11594118</v>
      </c>
      <c r="B1724" t="s">
        <v>575</v>
      </c>
    </row>
    <row r="1725" spans="1:2" x14ac:dyDescent="0.25">
      <c r="A1725">
        <v>11594788</v>
      </c>
      <c r="B1725" t="s">
        <v>580</v>
      </c>
    </row>
    <row r="1726" spans="1:2" x14ac:dyDescent="0.25">
      <c r="A1726">
        <v>11600231</v>
      </c>
    </row>
    <row r="1727" spans="1:2" x14ac:dyDescent="0.25">
      <c r="A1727">
        <v>11630105</v>
      </c>
      <c r="B1727" t="s">
        <v>575</v>
      </c>
    </row>
    <row r="1728" spans="1:2" x14ac:dyDescent="0.25">
      <c r="A1728">
        <v>10623424</v>
      </c>
      <c r="B1728" t="s">
        <v>580</v>
      </c>
    </row>
    <row r="1729" spans="1:2" x14ac:dyDescent="0.25">
      <c r="A1729">
        <v>11047468</v>
      </c>
      <c r="B1729" t="s">
        <v>575</v>
      </c>
    </row>
    <row r="1730" spans="1:2" x14ac:dyDescent="0.25">
      <c r="A1730">
        <v>10645204</v>
      </c>
      <c r="B1730" t="s">
        <v>578</v>
      </c>
    </row>
    <row r="1731" spans="1:2" x14ac:dyDescent="0.25">
      <c r="A1731">
        <v>10860175</v>
      </c>
    </row>
    <row r="1732" spans="1:2" x14ac:dyDescent="0.25">
      <c r="A1732">
        <v>11530289</v>
      </c>
      <c r="B1732" t="s">
        <v>575</v>
      </c>
    </row>
    <row r="1733" spans="1:2" x14ac:dyDescent="0.25">
      <c r="A1733">
        <v>11453301</v>
      </c>
      <c r="B1733" t="s">
        <v>576</v>
      </c>
    </row>
    <row r="1734" spans="1:2" x14ac:dyDescent="0.25">
      <c r="A1734">
        <v>11461317</v>
      </c>
      <c r="B1734" t="s">
        <v>575</v>
      </c>
    </row>
    <row r="1735" spans="1:2" x14ac:dyDescent="0.25">
      <c r="A1735">
        <v>11361866</v>
      </c>
      <c r="B1735" t="s">
        <v>578</v>
      </c>
    </row>
    <row r="1736" spans="1:2" x14ac:dyDescent="0.25">
      <c r="A1736">
        <v>11391005</v>
      </c>
      <c r="B1736" t="s">
        <v>575</v>
      </c>
    </row>
    <row r="1737" spans="1:2" x14ac:dyDescent="0.25">
      <c r="A1737">
        <v>10621522</v>
      </c>
      <c r="B1737" t="s">
        <v>578</v>
      </c>
    </row>
    <row r="1738" spans="1:2" x14ac:dyDescent="0.25">
      <c r="A1738">
        <v>11422047</v>
      </c>
      <c r="B1738" t="s">
        <v>575</v>
      </c>
    </row>
    <row r="1739" spans="1:2" x14ac:dyDescent="0.25">
      <c r="A1739">
        <v>11047537</v>
      </c>
      <c r="B1739" t="s">
        <v>575</v>
      </c>
    </row>
    <row r="1740" spans="1:2" x14ac:dyDescent="0.25">
      <c r="A1740">
        <v>11222406</v>
      </c>
      <c r="B1740" t="s">
        <v>575</v>
      </c>
    </row>
    <row r="1741" spans="1:2" x14ac:dyDescent="0.25">
      <c r="A1741">
        <v>11290662</v>
      </c>
      <c r="B1741" t="s">
        <v>575</v>
      </c>
    </row>
    <row r="1742" spans="1:2" x14ac:dyDescent="0.25">
      <c r="A1742">
        <v>10803939</v>
      </c>
      <c r="B1742" t="s">
        <v>576</v>
      </c>
    </row>
    <row r="1743" spans="1:2" x14ac:dyDescent="0.25">
      <c r="A1743">
        <v>10808217</v>
      </c>
      <c r="B1743" t="s">
        <v>575</v>
      </c>
    </row>
    <row r="1744" spans="1:2" x14ac:dyDescent="0.25">
      <c r="A1744">
        <v>10809356</v>
      </c>
      <c r="B1744" t="s">
        <v>575</v>
      </c>
    </row>
    <row r="1745" spans="1:2" x14ac:dyDescent="0.25">
      <c r="A1745">
        <v>10849290</v>
      </c>
      <c r="B1745" t="s">
        <v>575</v>
      </c>
    </row>
    <row r="1746" spans="1:2" x14ac:dyDescent="0.25">
      <c r="A1746">
        <v>10891107</v>
      </c>
      <c r="B1746" t="s">
        <v>575</v>
      </c>
    </row>
    <row r="1747" spans="1:2" x14ac:dyDescent="0.25">
      <c r="A1747">
        <v>10891198</v>
      </c>
      <c r="B1747" t="s">
        <v>575</v>
      </c>
    </row>
    <row r="1748" spans="1:2" x14ac:dyDescent="0.25">
      <c r="A1748">
        <v>10749434</v>
      </c>
      <c r="B1748" t="s">
        <v>575</v>
      </c>
    </row>
    <row r="1749" spans="1:2" x14ac:dyDescent="0.25">
      <c r="A1749">
        <v>10777652</v>
      </c>
      <c r="B1749" t="s">
        <v>575</v>
      </c>
    </row>
    <row r="1750" spans="1:2" x14ac:dyDescent="0.25">
      <c r="A1750">
        <v>10703830</v>
      </c>
      <c r="B1750" t="s">
        <v>575</v>
      </c>
    </row>
    <row r="1751" spans="1:2" x14ac:dyDescent="0.25">
      <c r="A1751">
        <v>10719260</v>
      </c>
      <c r="B1751" t="s">
        <v>576</v>
      </c>
    </row>
    <row r="1752" spans="1:2" x14ac:dyDescent="0.25">
      <c r="A1752">
        <v>10719817</v>
      </c>
      <c r="B1752" t="s">
        <v>579</v>
      </c>
    </row>
    <row r="1753" spans="1:2" x14ac:dyDescent="0.25">
      <c r="A1753">
        <v>11684528</v>
      </c>
    </row>
    <row r="1754" spans="1:2" x14ac:dyDescent="0.25">
      <c r="A1754">
        <v>11699064</v>
      </c>
    </row>
    <row r="1755" spans="1:2" x14ac:dyDescent="0.25">
      <c r="A1755">
        <v>11272773</v>
      </c>
      <c r="B1755" t="s">
        <v>575</v>
      </c>
    </row>
    <row r="1756" spans="1:2" x14ac:dyDescent="0.25">
      <c r="A1756">
        <v>11349650</v>
      </c>
      <c r="B1756" t="s">
        <v>575</v>
      </c>
    </row>
    <row r="1757" spans="1:2" x14ac:dyDescent="0.25">
      <c r="A1757">
        <v>11775697</v>
      </c>
      <c r="B1757" t="s">
        <v>575</v>
      </c>
    </row>
    <row r="1758" spans="1:2" x14ac:dyDescent="0.25">
      <c r="A1758">
        <v>10806920</v>
      </c>
      <c r="B1758" t="s">
        <v>576</v>
      </c>
    </row>
    <row r="1759" spans="1:2" x14ac:dyDescent="0.25">
      <c r="A1759">
        <v>10691204</v>
      </c>
      <c r="B1759" t="s">
        <v>580</v>
      </c>
    </row>
    <row r="1760" spans="1:2" x14ac:dyDescent="0.25">
      <c r="A1760">
        <v>10939465</v>
      </c>
      <c r="B1760" t="s">
        <v>575</v>
      </c>
    </row>
    <row r="1761" spans="1:2" x14ac:dyDescent="0.25">
      <c r="A1761">
        <v>10935283</v>
      </c>
      <c r="B1761" t="s">
        <v>575</v>
      </c>
    </row>
    <row r="1762" spans="1:2" x14ac:dyDescent="0.25">
      <c r="A1762">
        <v>10936560</v>
      </c>
      <c r="B1762" t="s">
        <v>575</v>
      </c>
    </row>
    <row r="1763" spans="1:2" x14ac:dyDescent="0.25">
      <c r="A1763">
        <v>10933651</v>
      </c>
      <c r="B1763" t="s">
        <v>579</v>
      </c>
    </row>
    <row r="1764" spans="1:2" x14ac:dyDescent="0.25">
      <c r="A1764">
        <v>11267521</v>
      </c>
      <c r="B1764" t="s">
        <v>575</v>
      </c>
    </row>
    <row r="1765" spans="1:2" x14ac:dyDescent="0.25">
      <c r="A1765">
        <v>11347589</v>
      </c>
      <c r="B1765" t="s">
        <v>579</v>
      </c>
    </row>
    <row r="1766" spans="1:2" x14ac:dyDescent="0.25">
      <c r="A1766">
        <v>11282555</v>
      </c>
      <c r="B1766" t="s">
        <v>577</v>
      </c>
    </row>
    <row r="1767" spans="1:2" x14ac:dyDescent="0.25">
      <c r="A1767">
        <v>11273353</v>
      </c>
      <c r="B1767" t="s">
        <v>575</v>
      </c>
    </row>
    <row r="1768" spans="1:2" x14ac:dyDescent="0.25">
      <c r="A1768">
        <v>11673966</v>
      </c>
      <c r="B1768" t="s">
        <v>580</v>
      </c>
    </row>
    <row r="1769" spans="1:2" x14ac:dyDescent="0.25">
      <c r="A1769">
        <v>11674740</v>
      </c>
      <c r="B1769" t="s">
        <v>580</v>
      </c>
    </row>
    <row r="1770" spans="1:2" x14ac:dyDescent="0.25">
      <c r="A1770">
        <v>11646736</v>
      </c>
      <c r="B1770" t="s">
        <v>576</v>
      </c>
    </row>
    <row r="1771" spans="1:2" x14ac:dyDescent="0.25">
      <c r="A1771">
        <v>11666215</v>
      </c>
      <c r="B1771" t="s">
        <v>576</v>
      </c>
    </row>
    <row r="1772" spans="1:2" x14ac:dyDescent="0.25">
      <c r="A1772">
        <v>11650191</v>
      </c>
      <c r="B1772" t="s">
        <v>575</v>
      </c>
    </row>
    <row r="1773" spans="1:2" x14ac:dyDescent="0.25">
      <c r="A1773">
        <v>11717257</v>
      </c>
      <c r="B1773" t="s">
        <v>575</v>
      </c>
    </row>
    <row r="1774" spans="1:2" x14ac:dyDescent="0.25">
      <c r="A1774">
        <v>11623552</v>
      </c>
      <c r="B1774" t="s">
        <v>578</v>
      </c>
    </row>
    <row r="1775" spans="1:2" x14ac:dyDescent="0.25">
      <c r="A1775">
        <v>11579800</v>
      </c>
      <c r="B1775" t="s">
        <v>575</v>
      </c>
    </row>
    <row r="1776" spans="1:2" x14ac:dyDescent="0.25">
      <c r="A1776">
        <v>11608030</v>
      </c>
      <c r="B1776" t="s">
        <v>575</v>
      </c>
    </row>
    <row r="1777" spans="1:2" x14ac:dyDescent="0.25">
      <c r="A1777">
        <v>10747018</v>
      </c>
      <c r="B1777" t="s">
        <v>576</v>
      </c>
    </row>
    <row r="1778" spans="1:2" x14ac:dyDescent="0.25">
      <c r="A1778">
        <v>10745001</v>
      </c>
      <c r="B1778" t="s">
        <v>580</v>
      </c>
    </row>
    <row r="1779" spans="1:2" x14ac:dyDescent="0.25">
      <c r="A1779">
        <v>10737411</v>
      </c>
      <c r="B1779" t="s">
        <v>575</v>
      </c>
    </row>
    <row r="1780" spans="1:2" x14ac:dyDescent="0.25">
      <c r="A1780">
        <v>10846157</v>
      </c>
      <c r="B1780" t="s">
        <v>576</v>
      </c>
    </row>
    <row r="1781" spans="1:2" x14ac:dyDescent="0.25">
      <c r="A1781">
        <v>10834999</v>
      </c>
      <c r="B1781" t="s">
        <v>575</v>
      </c>
    </row>
    <row r="1782" spans="1:2" x14ac:dyDescent="0.25">
      <c r="A1782">
        <v>10826533</v>
      </c>
      <c r="B1782" t="s">
        <v>575</v>
      </c>
    </row>
    <row r="1783" spans="1:2" x14ac:dyDescent="0.25">
      <c r="A1783">
        <v>10817655</v>
      </c>
      <c r="B1783" t="s">
        <v>575</v>
      </c>
    </row>
    <row r="1784" spans="1:2" x14ac:dyDescent="0.25">
      <c r="A1784">
        <v>10818860</v>
      </c>
      <c r="B1784" t="s">
        <v>576</v>
      </c>
    </row>
    <row r="1785" spans="1:2" x14ac:dyDescent="0.25">
      <c r="A1785">
        <v>10824328</v>
      </c>
      <c r="B1785" t="s">
        <v>575</v>
      </c>
    </row>
    <row r="1786" spans="1:2" x14ac:dyDescent="0.25">
      <c r="A1786">
        <v>10804267</v>
      </c>
      <c r="B1786" t="s">
        <v>578</v>
      </c>
    </row>
    <row r="1787" spans="1:2" x14ac:dyDescent="0.25">
      <c r="A1787">
        <v>11216187</v>
      </c>
      <c r="B1787" t="s">
        <v>579</v>
      </c>
    </row>
    <row r="1788" spans="1:2" x14ac:dyDescent="0.25">
      <c r="A1788">
        <v>11070445</v>
      </c>
      <c r="B1788" t="s">
        <v>578</v>
      </c>
    </row>
    <row r="1789" spans="1:2" x14ac:dyDescent="0.25">
      <c r="A1789">
        <v>11008097</v>
      </c>
      <c r="B1789" t="s">
        <v>578</v>
      </c>
    </row>
    <row r="1790" spans="1:2" x14ac:dyDescent="0.25">
      <c r="A1790">
        <v>11012692</v>
      </c>
      <c r="B1790" t="s">
        <v>577</v>
      </c>
    </row>
    <row r="1791" spans="1:2" x14ac:dyDescent="0.25">
      <c r="A1791">
        <v>10997806</v>
      </c>
      <c r="B1791" t="s">
        <v>575</v>
      </c>
    </row>
    <row r="1792" spans="1:2" x14ac:dyDescent="0.25">
      <c r="A1792">
        <v>10964873</v>
      </c>
      <c r="B1792" t="s">
        <v>580</v>
      </c>
    </row>
    <row r="1793" spans="1:2" x14ac:dyDescent="0.25">
      <c r="A1793">
        <v>10950407</v>
      </c>
      <c r="B1793" t="s">
        <v>577</v>
      </c>
    </row>
    <row r="1794" spans="1:2" x14ac:dyDescent="0.25">
      <c r="A1794">
        <v>10953202</v>
      </c>
      <c r="B1794" t="s">
        <v>580</v>
      </c>
    </row>
    <row r="1795" spans="1:2" x14ac:dyDescent="0.25">
      <c r="A1795">
        <v>10958795</v>
      </c>
      <c r="B1795" t="s">
        <v>575</v>
      </c>
    </row>
    <row r="1796" spans="1:2" x14ac:dyDescent="0.25">
      <c r="A1796">
        <v>11317634</v>
      </c>
      <c r="B1796" t="s">
        <v>580</v>
      </c>
    </row>
    <row r="1797" spans="1:2" x14ac:dyDescent="0.25">
      <c r="A1797">
        <v>11242777</v>
      </c>
      <c r="B1797" t="s">
        <v>575</v>
      </c>
    </row>
    <row r="1798" spans="1:2" x14ac:dyDescent="0.25">
      <c r="A1798">
        <v>11268843</v>
      </c>
      <c r="B1798" t="s">
        <v>580</v>
      </c>
    </row>
    <row r="1799" spans="1:2" x14ac:dyDescent="0.25">
      <c r="A1799">
        <v>11386360</v>
      </c>
      <c r="B1799" t="s">
        <v>577</v>
      </c>
    </row>
    <row r="1800" spans="1:2" x14ac:dyDescent="0.25">
      <c r="A1800">
        <v>11353534</v>
      </c>
      <c r="B1800" t="s">
        <v>577</v>
      </c>
    </row>
    <row r="1801" spans="1:2" x14ac:dyDescent="0.25">
      <c r="A1801">
        <v>11580462</v>
      </c>
      <c r="B1801" t="s">
        <v>579</v>
      </c>
    </row>
    <row r="1802" spans="1:2" x14ac:dyDescent="0.25">
      <c r="A1802">
        <v>11507864</v>
      </c>
      <c r="B1802" t="s">
        <v>580</v>
      </c>
    </row>
    <row r="1803" spans="1:2" x14ac:dyDescent="0.25">
      <c r="A1803">
        <v>11435155</v>
      </c>
      <c r="B1803" t="s">
        <v>578</v>
      </c>
    </row>
    <row r="1804" spans="1:2" x14ac:dyDescent="0.25">
      <c r="A1804">
        <v>11457587</v>
      </c>
      <c r="B1804" t="s">
        <v>576</v>
      </c>
    </row>
    <row r="1805" spans="1:2" x14ac:dyDescent="0.25">
      <c r="A1805">
        <v>11419904</v>
      </c>
      <c r="B1805" t="s">
        <v>577</v>
      </c>
    </row>
    <row r="1806" spans="1:2" x14ac:dyDescent="0.25">
      <c r="A1806">
        <v>11710491</v>
      </c>
      <c r="B1806" t="s">
        <v>579</v>
      </c>
    </row>
    <row r="1807" spans="1:2" x14ac:dyDescent="0.25">
      <c r="A1807">
        <v>11997202</v>
      </c>
      <c r="B1807" t="s">
        <v>576</v>
      </c>
    </row>
    <row r="1808" spans="1:2" x14ac:dyDescent="0.25">
      <c r="A1808">
        <v>11930189</v>
      </c>
      <c r="B1808" t="s">
        <v>575</v>
      </c>
    </row>
    <row r="1809" spans="1:2" x14ac:dyDescent="0.25">
      <c r="A1809">
        <v>11967603</v>
      </c>
      <c r="B1809" t="s">
        <v>580</v>
      </c>
    </row>
    <row r="1810" spans="1:2" x14ac:dyDescent="0.25">
      <c r="A1810">
        <v>11949593</v>
      </c>
      <c r="B1810" t="s">
        <v>575</v>
      </c>
    </row>
    <row r="1811" spans="1:2" x14ac:dyDescent="0.25">
      <c r="A1811">
        <v>11382540</v>
      </c>
      <c r="B1811" t="s">
        <v>579</v>
      </c>
    </row>
    <row r="1812" spans="1:2" x14ac:dyDescent="0.25">
      <c r="A1812">
        <v>11382849</v>
      </c>
      <c r="B1812" t="s">
        <v>575</v>
      </c>
    </row>
    <row r="1813" spans="1:2" x14ac:dyDescent="0.25">
      <c r="A1813">
        <v>11300176</v>
      </c>
      <c r="B1813" t="s">
        <v>580</v>
      </c>
    </row>
    <row r="1814" spans="1:2" x14ac:dyDescent="0.25">
      <c r="A1814">
        <v>11300378</v>
      </c>
      <c r="B1814" t="s">
        <v>580</v>
      </c>
    </row>
    <row r="1815" spans="1:2" x14ac:dyDescent="0.25">
      <c r="A1815">
        <v>11868790</v>
      </c>
    </row>
    <row r="1816" spans="1:2" x14ac:dyDescent="0.25">
      <c r="A1816">
        <v>11911487</v>
      </c>
      <c r="B1816" t="s">
        <v>579</v>
      </c>
    </row>
    <row r="1817" spans="1:2" x14ac:dyDescent="0.25">
      <c r="A1817">
        <v>11843830</v>
      </c>
      <c r="B1817" t="s">
        <v>580</v>
      </c>
    </row>
    <row r="1818" spans="1:2" x14ac:dyDescent="0.25">
      <c r="A1818">
        <v>11876290</v>
      </c>
      <c r="B1818" t="s">
        <v>578</v>
      </c>
    </row>
    <row r="1819" spans="1:2" x14ac:dyDescent="0.25">
      <c r="A1819">
        <v>11880212</v>
      </c>
      <c r="B1819" t="s">
        <v>580</v>
      </c>
    </row>
    <row r="1820" spans="1:2" x14ac:dyDescent="0.25">
      <c r="A1820">
        <v>11648417</v>
      </c>
      <c r="B1820" t="s">
        <v>580</v>
      </c>
    </row>
    <row r="1821" spans="1:2" x14ac:dyDescent="0.25">
      <c r="A1821">
        <v>11490009</v>
      </c>
      <c r="B1821" t="s">
        <v>580</v>
      </c>
    </row>
    <row r="1822" spans="1:2" x14ac:dyDescent="0.25">
      <c r="A1822">
        <v>11633652</v>
      </c>
      <c r="B1822" t="s">
        <v>576</v>
      </c>
    </row>
    <row r="1823" spans="1:2" x14ac:dyDescent="0.25">
      <c r="A1823">
        <v>11264785</v>
      </c>
      <c r="B1823" t="s">
        <v>578</v>
      </c>
    </row>
    <row r="1824" spans="1:2" x14ac:dyDescent="0.25">
      <c r="A1824">
        <v>11264862</v>
      </c>
      <c r="B1824" t="s">
        <v>575</v>
      </c>
    </row>
    <row r="1825" spans="1:2" x14ac:dyDescent="0.25">
      <c r="A1825">
        <v>10641502</v>
      </c>
      <c r="B1825" t="s">
        <v>575</v>
      </c>
    </row>
    <row r="1826" spans="1:2" x14ac:dyDescent="0.25">
      <c r="A1826">
        <v>11303671</v>
      </c>
      <c r="B1826" t="s">
        <v>580</v>
      </c>
    </row>
    <row r="1827" spans="1:2" x14ac:dyDescent="0.25">
      <c r="A1827">
        <v>11304237</v>
      </c>
      <c r="B1827" t="s">
        <v>575</v>
      </c>
    </row>
    <row r="1828" spans="1:2" x14ac:dyDescent="0.25">
      <c r="A1828">
        <v>10961540</v>
      </c>
      <c r="B1828" t="s">
        <v>575</v>
      </c>
    </row>
    <row r="1829" spans="1:2" x14ac:dyDescent="0.25">
      <c r="A1829">
        <v>10955618</v>
      </c>
      <c r="B1829" t="s">
        <v>576</v>
      </c>
    </row>
    <row r="1830" spans="1:2" x14ac:dyDescent="0.25">
      <c r="A1830">
        <v>10970381</v>
      </c>
      <c r="B1830" t="s">
        <v>578</v>
      </c>
    </row>
    <row r="1831" spans="1:2" x14ac:dyDescent="0.25">
      <c r="A1831">
        <v>10952585</v>
      </c>
      <c r="B1831" t="s">
        <v>578</v>
      </c>
    </row>
    <row r="1832" spans="1:2" x14ac:dyDescent="0.25">
      <c r="A1832">
        <v>11030645</v>
      </c>
      <c r="B1832" t="s">
        <v>577</v>
      </c>
    </row>
    <row r="1833" spans="1:2" x14ac:dyDescent="0.25">
      <c r="A1833">
        <v>11013332</v>
      </c>
      <c r="B1833" t="s">
        <v>578</v>
      </c>
    </row>
    <row r="1834" spans="1:2" x14ac:dyDescent="0.25">
      <c r="A1834">
        <v>11489953</v>
      </c>
      <c r="B1834" t="s">
        <v>578</v>
      </c>
    </row>
    <row r="1835" spans="1:2" x14ac:dyDescent="0.25">
      <c r="A1835">
        <v>10746472</v>
      </c>
      <c r="B1835" t="s">
        <v>580</v>
      </c>
    </row>
    <row r="1836" spans="1:2" x14ac:dyDescent="0.25">
      <c r="A1836">
        <v>11374221</v>
      </c>
      <c r="B1836" t="s">
        <v>580</v>
      </c>
    </row>
    <row r="1837" spans="1:2" x14ac:dyDescent="0.25">
      <c r="A1837">
        <v>11348623</v>
      </c>
      <c r="B1837" t="s">
        <v>580</v>
      </c>
    </row>
    <row r="1838" spans="1:2" x14ac:dyDescent="0.25">
      <c r="A1838">
        <v>11358078</v>
      </c>
      <c r="B1838" t="s">
        <v>580</v>
      </c>
    </row>
    <row r="1839" spans="1:2" x14ac:dyDescent="0.25">
      <c r="A1839">
        <v>11680702</v>
      </c>
      <c r="B1839" t="s">
        <v>576</v>
      </c>
    </row>
    <row r="1840" spans="1:2" x14ac:dyDescent="0.25">
      <c r="A1840">
        <v>11801937</v>
      </c>
      <c r="B1840" t="s">
        <v>578</v>
      </c>
    </row>
    <row r="1841" spans="1:2" x14ac:dyDescent="0.25">
      <c r="A1841">
        <v>11736597</v>
      </c>
      <c r="B1841" t="s">
        <v>577</v>
      </c>
    </row>
    <row r="1842" spans="1:2" x14ac:dyDescent="0.25">
      <c r="A1842">
        <v>11707589</v>
      </c>
      <c r="B1842" t="s">
        <v>575</v>
      </c>
    </row>
    <row r="1843" spans="1:2" x14ac:dyDescent="0.25">
      <c r="A1843">
        <v>11762169</v>
      </c>
      <c r="B1843" t="s">
        <v>577</v>
      </c>
    </row>
    <row r="1844" spans="1:2" x14ac:dyDescent="0.25">
      <c r="A1844">
        <v>11810939</v>
      </c>
      <c r="B1844" t="s">
        <v>580</v>
      </c>
    </row>
    <row r="1845" spans="1:2" x14ac:dyDescent="0.25">
      <c r="A1845">
        <v>11731186</v>
      </c>
      <c r="B1845" t="s">
        <v>578</v>
      </c>
    </row>
    <row r="1846" spans="1:2" x14ac:dyDescent="0.25">
      <c r="A1846">
        <v>11708571</v>
      </c>
      <c r="B1846" t="s">
        <v>575</v>
      </c>
    </row>
    <row r="1847" spans="1:2" x14ac:dyDescent="0.25">
      <c r="A1847">
        <v>11629722</v>
      </c>
      <c r="B1847" t="s">
        <v>578</v>
      </c>
    </row>
    <row r="1848" spans="1:2" x14ac:dyDescent="0.25">
      <c r="A1848">
        <v>11562201</v>
      </c>
      <c r="B1848" t="s">
        <v>579</v>
      </c>
    </row>
    <row r="1849" spans="1:2" x14ac:dyDescent="0.25">
      <c r="A1849">
        <v>11573700</v>
      </c>
      <c r="B1849" t="s">
        <v>577</v>
      </c>
    </row>
    <row r="1850" spans="1:2" x14ac:dyDescent="0.25">
      <c r="A1850">
        <v>11317433</v>
      </c>
      <c r="B1850" t="s">
        <v>580</v>
      </c>
    </row>
    <row r="1851" spans="1:2" x14ac:dyDescent="0.25">
      <c r="A1851">
        <v>11282992</v>
      </c>
      <c r="B1851" t="s">
        <v>580</v>
      </c>
    </row>
    <row r="1852" spans="1:2" x14ac:dyDescent="0.25">
      <c r="A1852">
        <v>11266443</v>
      </c>
      <c r="B1852" t="s">
        <v>575</v>
      </c>
    </row>
    <row r="1853" spans="1:2" x14ac:dyDescent="0.25">
      <c r="A1853">
        <v>11263822</v>
      </c>
      <c r="B1853" t="s">
        <v>579</v>
      </c>
    </row>
    <row r="1854" spans="1:2" x14ac:dyDescent="0.25">
      <c r="A1854">
        <v>11431874</v>
      </c>
      <c r="B1854" t="s">
        <v>578</v>
      </c>
    </row>
    <row r="1855" spans="1:2" x14ac:dyDescent="0.25">
      <c r="A1855">
        <v>10840880</v>
      </c>
      <c r="B1855" t="s">
        <v>577</v>
      </c>
    </row>
    <row r="1856" spans="1:2" x14ac:dyDescent="0.25">
      <c r="A1856">
        <v>10773060</v>
      </c>
      <c r="B1856" t="s">
        <v>580</v>
      </c>
    </row>
    <row r="1857" spans="1:2" x14ac:dyDescent="0.25">
      <c r="A1857">
        <v>11920881</v>
      </c>
      <c r="B1857" t="s">
        <v>579</v>
      </c>
    </row>
    <row r="1858" spans="1:2" x14ac:dyDescent="0.25">
      <c r="A1858">
        <v>11900798</v>
      </c>
      <c r="B1858" t="s">
        <v>577</v>
      </c>
    </row>
    <row r="1859" spans="1:2" x14ac:dyDescent="0.25">
      <c r="A1859">
        <v>10782692</v>
      </c>
      <c r="B1859" t="s">
        <v>577</v>
      </c>
    </row>
    <row r="1860" spans="1:2" x14ac:dyDescent="0.25">
      <c r="A1860">
        <v>10794590</v>
      </c>
      <c r="B1860" t="s">
        <v>580</v>
      </c>
    </row>
    <row r="1861" spans="1:2" x14ac:dyDescent="0.25">
      <c r="A1861">
        <v>10665604</v>
      </c>
      <c r="B1861" t="s">
        <v>577</v>
      </c>
    </row>
    <row r="1862" spans="1:2" x14ac:dyDescent="0.25">
      <c r="A1862">
        <v>10683933</v>
      </c>
      <c r="B1862" t="s">
        <v>580</v>
      </c>
    </row>
    <row r="1863" spans="1:2" x14ac:dyDescent="0.25">
      <c r="A1863">
        <v>10691252</v>
      </c>
      <c r="B1863" t="s">
        <v>578</v>
      </c>
    </row>
    <row r="1864" spans="1:2" x14ac:dyDescent="0.25">
      <c r="A1864">
        <v>11666771</v>
      </c>
      <c r="B1864" t="s">
        <v>576</v>
      </c>
    </row>
    <row r="1865" spans="1:2" x14ac:dyDescent="0.25">
      <c r="A1865">
        <v>11645536</v>
      </c>
      <c r="B1865" t="s">
        <v>575</v>
      </c>
    </row>
    <row r="1866" spans="1:2" x14ac:dyDescent="0.25">
      <c r="A1866">
        <v>11720335</v>
      </c>
      <c r="B1866" t="s">
        <v>575</v>
      </c>
    </row>
    <row r="1867" spans="1:2" x14ac:dyDescent="0.25">
      <c r="A1867">
        <v>10835878</v>
      </c>
      <c r="B1867" t="s">
        <v>575</v>
      </c>
    </row>
    <row r="1868" spans="1:2" x14ac:dyDescent="0.25">
      <c r="A1868">
        <v>10772027</v>
      </c>
      <c r="B1868" t="s">
        <v>580</v>
      </c>
    </row>
    <row r="1869" spans="1:2" x14ac:dyDescent="0.25">
      <c r="A1869">
        <v>10881810</v>
      </c>
      <c r="B1869" t="s">
        <v>580</v>
      </c>
    </row>
    <row r="1870" spans="1:2" x14ac:dyDescent="0.25">
      <c r="A1870">
        <v>10881351</v>
      </c>
      <c r="B1870" t="s">
        <v>575</v>
      </c>
    </row>
    <row r="1871" spans="1:2" x14ac:dyDescent="0.25">
      <c r="A1871">
        <v>10939911</v>
      </c>
      <c r="B1871" t="s">
        <v>580</v>
      </c>
    </row>
    <row r="1872" spans="1:2" x14ac:dyDescent="0.25">
      <c r="A1872">
        <v>11343133</v>
      </c>
      <c r="B1872" t="s">
        <v>580</v>
      </c>
    </row>
    <row r="1873" spans="1:2" x14ac:dyDescent="0.25">
      <c r="A1873">
        <v>11343431</v>
      </c>
      <c r="B1873" t="s">
        <v>577</v>
      </c>
    </row>
    <row r="1874" spans="1:2" x14ac:dyDescent="0.25">
      <c r="A1874">
        <v>11591588</v>
      </c>
      <c r="B1874" t="s">
        <v>580</v>
      </c>
    </row>
    <row r="1875" spans="1:2" x14ac:dyDescent="0.25">
      <c r="A1875">
        <v>11583303</v>
      </c>
      <c r="B1875" t="s">
        <v>580</v>
      </c>
    </row>
    <row r="1876" spans="1:2" x14ac:dyDescent="0.25">
      <c r="A1876">
        <v>11583414</v>
      </c>
      <c r="B1876" t="s">
        <v>580</v>
      </c>
    </row>
    <row r="1877" spans="1:2" x14ac:dyDescent="0.25">
      <c r="A1877">
        <v>11580684</v>
      </c>
      <c r="B1877" t="s">
        <v>575</v>
      </c>
    </row>
    <row r="1878" spans="1:2" x14ac:dyDescent="0.25">
      <c r="A1878">
        <v>11573071</v>
      </c>
      <c r="B1878" t="s">
        <v>577</v>
      </c>
    </row>
    <row r="1879" spans="1:2" x14ac:dyDescent="0.25">
      <c r="A1879">
        <v>11562193</v>
      </c>
      <c r="B1879" t="s">
        <v>576</v>
      </c>
    </row>
    <row r="1880" spans="1:2" x14ac:dyDescent="0.25">
      <c r="A1880">
        <v>11559764</v>
      </c>
      <c r="B1880" t="s">
        <v>576</v>
      </c>
    </row>
    <row r="1881" spans="1:2" x14ac:dyDescent="0.25">
      <c r="A1881">
        <v>11559071</v>
      </c>
      <c r="B1881" t="s">
        <v>575</v>
      </c>
    </row>
    <row r="1882" spans="1:2" x14ac:dyDescent="0.25">
      <c r="A1882">
        <v>11559274</v>
      </c>
      <c r="B1882" t="s">
        <v>575</v>
      </c>
    </row>
    <row r="1883" spans="1:2" x14ac:dyDescent="0.25">
      <c r="A1883">
        <v>11543592</v>
      </c>
      <c r="B1883" t="s">
        <v>579</v>
      </c>
    </row>
    <row r="1884" spans="1:2" x14ac:dyDescent="0.25">
      <c r="A1884">
        <v>11543936</v>
      </c>
      <c r="B1884" t="s">
        <v>578</v>
      </c>
    </row>
    <row r="1885" spans="1:2" x14ac:dyDescent="0.25">
      <c r="A1885">
        <v>11634608</v>
      </c>
      <c r="B1885" t="s">
        <v>580</v>
      </c>
    </row>
    <row r="1886" spans="1:2" x14ac:dyDescent="0.25">
      <c r="A1886">
        <v>11617765</v>
      </c>
      <c r="B1886" t="s">
        <v>577</v>
      </c>
    </row>
    <row r="1887" spans="1:2" x14ac:dyDescent="0.25">
      <c r="A1887">
        <v>11971744</v>
      </c>
      <c r="B1887" t="s">
        <v>578</v>
      </c>
    </row>
    <row r="1888" spans="1:2" x14ac:dyDescent="0.25">
      <c r="A1888">
        <v>11208915</v>
      </c>
      <c r="B1888" t="s">
        <v>576</v>
      </c>
    </row>
    <row r="1889" spans="1:2" x14ac:dyDescent="0.25">
      <c r="A1889">
        <v>11448783</v>
      </c>
      <c r="B1889" t="s">
        <v>576</v>
      </c>
    </row>
    <row r="1890" spans="1:2" x14ac:dyDescent="0.25">
      <c r="A1890">
        <v>11454009</v>
      </c>
      <c r="B1890" t="s">
        <v>575</v>
      </c>
    </row>
    <row r="1891" spans="1:2" x14ac:dyDescent="0.25">
      <c r="A1891">
        <v>10930465</v>
      </c>
      <c r="B1891" t="s">
        <v>579</v>
      </c>
    </row>
    <row r="1892" spans="1:2" x14ac:dyDescent="0.25">
      <c r="A1892">
        <v>11538865</v>
      </c>
      <c r="B1892" t="s">
        <v>575</v>
      </c>
    </row>
    <row r="1893" spans="1:2" x14ac:dyDescent="0.25">
      <c r="A1893">
        <v>11116788</v>
      </c>
      <c r="B1893" t="s">
        <v>578</v>
      </c>
    </row>
    <row r="1894" spans="1:2" x14ac:dyDescent="0.25">
      <c r="A1894">
        <v>11082426</v>
      </c>
      <c r="B1894" t="s">
        <v>580</v>
      </c>
    </row>
    <row r="1895" spans="1:2" x14ac:dyDescent="0.25">
      <c r="A1895">
        <v>11072277</v>
      </c>
      <c r="B1895" t="s">
        <v>575</v>
      </c>
    </row>
    <row r="1896" spans="1:2" x14ac:dyDescent="0.25">
      <c r="A1896">
        <v>11058571</v>
      </c>
      <c r="B1896" t="s">
        <v>575</v>
      </c>
    </row>
    <row r="1897" spans="1:2" x14ac:dyDescent="0.25">
      <c r="A1897">
        <v>11058342</v>
      </c>
      <c r="B1897" t="s">
        <v>579</v>
      </c>
    </row>
    <row r="1898" spans="1:2" x14ac:dyDescent="0.25">
      <c r="A1898">
        <v>11048469</v>
      </c>
      <c r="B1898" t="s">
        <v>578</v>
      </c>
    </row>
    <row r="1899" spans="1:2" x14ac:dyDescent="0.25">
      <c r="A1899">
        <v>11044645</v>
      </c>
      <c r="B1899" t="s">
        <v>578</v>
      </c>
    </row>
    <row r="1900" spans="1:2" x14ac:dyDescent="0.25">
      <c r="A1900">
        <v>11033612</v>
      </c>
      <c r="B1900" t="s">
        <v>577</v>
      </c>
    </row>
    <row r="1901" spans="1:2" x14ac:dyDescent="0.25">
      <c r="A1901">
        <v>11007858</v>
      </c>
      <c r="B1901" t="s">
        <v>577</v>
      </c>
    </row>
    <row r="1902" spans="1:2" x14ac:dyDescent="0.25">
      <c r="A1902">
        <v>10956516</v>
      </c>
      <c r="B1902" t="s">
        <v>577</v>
      </c>
    </row>
    <row r="1903" spans="1:2" x14ac:dyDescent="0.25">
      <c r="A1903">
        <v>10958951</v>
      </c>
      <c r="B1903" t="s">
        <v>577</v>
      </c>
    </row>
    <row r="1904" spans="1:2" x14ac:dyDescent="0.25">
      <c r="A1904">
        <v>10965495</v>
      </c>
      <c r="B1904" t="s">
        <v>579</v>
      </c>
    </row>
    <row r="1905" spans="1:2" x14ac:dyDescent="0.25">
      <c r="A1905">
        <v>10968173</v>
      </c>
      <c r="B1905" t="s">
        <v>576</v>
      </c>
    </row>
    <row r="1906" spans="1:2" x14ac:dyDescent="0.25">
      <c r="A1906">
        <v>10971157</v>
      </c>
      <c r="B1906" t="s">
        <v>577</v>
      </c>
    </row>
    <row r="1907" spans="1:2" x14ac:dyDescent="0.25">
      <c r="A1907">
        <v>10991626</v>
      </c>
      <c r="B1907" t="s">
        <v>578</v>
      </c>
    </row>
    <row r="1908" spans="1:2" x14ac:dyDescent="0.25">
      <c r="A1908">
        <v>11025975</v>
      </c>
      <c r="B1908" t="s">
        <v>577</v>
      </c>
    </row>
    <row r="1909" spans="1:2" x14ac:dyDescent="0.25">
      <c r="A1909">
        <v>11009402</v>
      </c>
      <c r="B1909" t="s">
        <v>577</v>
      </c>
    </row>
    <row r="1910" spans="1:2" x14ac:dyDescent="0.25">
      <c r="A1910">
        <v>11009640</v>
      </c>
      <c r="B1910" t="s">
        <v>577</v>
      </c>
    </row>
    <row r="1911" spans="1:2" x14ac:dyDescent="0.25">
      <c r="A1911">
        <v>11011404</v>
      </c>
      <c r="B1911" t="s">
        <v>577</v>
      </c>
    </row>
    <row r="1912" spans="1:2" x14ac:dyDescent="0.25">
      <c r="A1912">
        <v>11013023</v>
      </c>
      <c r="B1912" t="s">
        <v>577</v>
      </c>
    </row>
    <row r="1913" spans="1:2" x14ac:dyDescent="0.25">
      <c r="A1913">
        <v>10999768</v>
      </c>
      <c r="B1913" t="s">
        <v>577</v>
      </c>
    </row>
    <row r="1914" spans="1:2" x14ac:dyDescent="0.25">
      <c r="A1914">
        <v>10945036</v>
      </c>
      <c r="B1914" t="s">
        <v>577</v>
      </c>
    </row>
    <row r="1915" spans="1:2" x14ac:dyDescent="0.25">
      <c r="A1915">
        <v>11015967</v>
      </c>
      <c r="B1915" t="s">
        <v>575</v>
      </c>
    </row>
    <row r="1916" spans="1:2" x14ac:dyDescent="0.25">
      <c r="A1916">
        <v>10936197</v>
      </c>
      <c r="B1916" t="s">
        <v>575</v>
      </c>
    </row>
    <row r="1917" spans="1:2" x14ac:dyDescent="0.25">
      <c r="A1917">
        <v>10936734</v>
      </c>
      <c r="B1917" t="s">
        <v>577</v>
      </c>
    </row>
    <row r="1918" spans="1:2" x14ac:dyDescent="0.25">
      <c r="A1918">
        <v>10922905</v>
      </c>
      <c r="B1918" t="s">
        <v>576</v>
      </c>
    </row>
    <row r="1919" spans="1:2" x14ac:dyDescent="0.25">
      <c r="A1919">
        <v>10923489</v>
      </c>
      <c r="B1919" t="s">
        <v>577</v>
      </c>
    </row>
    <row r="1920" spans="1:2" x14ac:dyDescent="0.25">
      <c r="A1920">
        <v>10922435</v>
      </c>
      <c r="B1920" t="s">
        <v>577</v>
      </c>
    </row>
    <row r="1921" spans="1:2" x14ac:dyDescent="0.25">
      <c r="A1921">
        <v>10705485</v>
      </c>
      <c r="B1921" t="s">
        <v>577</v>
      </c>
    </row>
    <row r="1922" spans="1:2" x14ac:dyDescent="0.25">
      <c r="A1922">
        <v>10701294</v>
      </c>
      <c r="B1922" t="s">
        <v>577</v>
      </c>
    </row>
    <row r="1923" spans="1:2" x14ac:dyDescent="0.25">
      <c r="A1923">
        <v>10720666</v>
      </c>
      <c r="B1923" t="s">
        <v>576</v>
      </c>
    </row>
    <row r="1924" spans="1:2" x14ac:dyDescent="0.25">
      <c r="A1924">
        <v>10706011</v>
      </c>
      <c r="B1924" t="s">
        <v>577</v>
      </c>
    </row>
    <row r="1925" spans="1:2" x14ac:dyDescent="0.25">
      <c r="A1925">
        <v>10707353</v>
      </c>
      <c r="B1925" t="s">
        <v>577</v>
      </c>
    </row>
    <row r="1926" spans="1:2" x14ac:dyDescent="0.25">
      <c r="A1926">
        <v>10724063</v>
      </c>
      <c r="B1926" t="s">
        <v>577</v>
      </c>
    </row>
    <row r="1927" spans="1:2" x14ac:dyDescent="0.25">
      <c r="A1927">
        <v>10724209</v>
      </c>
      <c r="B1927" t="s">
        <v>577</v>
      </c>
    </row>
    <row r="1928" spans="1:2" x14ac:dyDescent="0.25">
      <c r="A1928">
        <v>11214391</v>
      </c>
      <c r="B1928" t="s">
        <v>575</v>
      </c>
    </row>
    <row r="1929" spans="1:2" x14ac:dyDescent="0.25">
      <c r="A1929">
        <v>11198491</v>
      </c>
      <c r="B1929" t="s">
        <v>579</v>
      </c>
    </row>
    <row r="1930" spans="1:2" x14ac:dyDescent="0.25">
      <c r="A1930">
        <v>11195366</v>
      </c>
      <c r="B1930" t="s">
        <v>575</v>
      </c>
    </row>
    <row r="1931" spans="1:2" x14ac:dyDescent="0.25">
      <c r="A1931">
        <v>11178678</v>
      </c>
      <c r="B1931" t="s">
        <v>575</v>
      </c>
    </row>
    <row r="1932" spans="1:2" x14ac:dyDescent="0.25">
      <c r="A1932">
        <v>11179923</v>
      </c>
      <c r="B1932" t="s">
        <v>575</v>
      </c>
    </row>
    <row r="1933" spans="1:2" x14ac:dyDescent="0.25">
      <c r="A1933">
        <v>11182141</v>
      </c>
      <c r="B1933" t="s">
        <v>577</v>
      </c>
    </row>
    <row r="1934" spans="1:2" x14ac:dyDescent="0.25">
      <c r="A1934">
        <v>11104488</v>
      </c>
      <c r="B1934" t="s">
        <v>576</v>
      </c>
    </row>
    <row r="1935" spans="1:2" x14ac:dyDescent="0.25">
      <c r="A1935">
        <v>11147699</v>
      </c>
      <c r="B1935" t="s">
        <v>580</v>
      </c>
    </row>
    <row r="1936" spans="1:2" x14ac:dyDescent="0.25">
      <c r="A1936">
        <v>10773637</v>
      </c>
      <c r="B1936" t="s">
        <v>578</v>
      </c>
    </row>
    <row r="1937" spans="1:2" x14ac:dyDescent="0.25">
      <c r="A1937">
        <v>10763422</v>
      </c>
      <c r="B1937" t="s">
        <v>575</v>
      </c>
    </row>
    <row r="1938" spans="1:2" x14ac:dyDescent="0.25">
      <c r="A1938">
        <v>10764638</v>
      </c>
      <c r="B1938" t="s">
        <v>577</v>
      </c>
    </row>
    <row r="1939" spans="1:2" x14ac:dyDescent="0.25">
      <c r="A1939">
        <v>10765814</v>
      </c>
      <c r="B1939" t="s">
        <v>577</v>
      </c>
    </row>
    <row r="1940" spans="1:2" x14ac:dyDescent="0.25">
      <c r="A1940">
        <v>10753951</v>
      </c>
      <c r="B1940" t="s">
        <v>577</v>
      </c>
    </row>
    <row r="1941" spans="1:2" x14ac:dyDescent="0.25">
      <c r="A1941">
        <v>10782142</v>
      </c>
      <c r="B1941" t="s">
        <v>577</v>
      </c>
    </row>
    <row r="1942" spans="1:2" x14ac:dyDescent="0.25">
      <c r="A1942">
        <v>10779059</v>
      </c>
      <c r="B1942" t="s">
        <v>579</v>
      </c>
    </row>
    <row r="1943" spans="1:2" x14ac:dyDescent="0.25">
      <c r="A1943">
        <v>10834966</v>
      </c>
      <c r="B1943" t="s">
        <v>577</v>
      </c>
    </row>
    <row r="1944" spans="1:2" x14ac:dyDescent="0.25">
      <c r="A1944">
        <v>10823695</v>
      </c>
      <c r="B1944" t="s">
        <v>577</v>
      </c>
    </row>
    <row r="1945" spans="1:2" x14ac:dyDescent="0.25">
      <c r="A1945">
        <v>10843926</v>
      </c>
      <c r="B1945" t="s">
        <v>577</v>
      </c>
    </row>
    <row r="1946" spans="1:2" x14ac:dyDescent="0.25">
      <c r="A1946">
        <v>10814947</v>
      </c>
      <c r="B1946" t="s">
        <v>577</v>
      </c>
    </row>
    <row r="1947" spans="1:2" x14ac:dyDescent="0.25">
      <c r="A1947">
        <v>10816864</v>
      </c>
      <c r="B1947" t="s">
        <v>577</v>
      </c>
    </row>
    <row r="1948" spans="1:2" x14ac:dyDescent="0.25">
      <c r="A1948">
        <v>10806122</v>
      </c>
      <c r="B1948" t="s">
        <v>575</v>
      </c>
    </row>
    <row r="1949" spans="1:2" x14ac:dyDescent="0.25">
      <c r="A1949">
        <v>10803679</v>
      </c>
      <c r="B1949" t="s">
        <v>575</v>
      </c>
    </row>
    <row r="1950" spans="1:2" x14ac:dyDescent="0.25">
      <c r="A1950">
        <v>10803759</v>
      </c>
      <c r="B1950" t="s">
        <v>580</v>
      </c>
    </row>
    <row r="1951" spans="1:2" x14ac:dyDescent="0.25">
      <c r="A1951">
        <v>10804080</v>
      </c>
      <c r="B1951" t="s">
        <v>577</v>
      </c>
    </row>
    <row r="1952" spans="1:2" x14ac:dyDescent="0.25">
      <c r="A1952">
        <v>10873337</v>
      </c>
      <c r="B1952" t="s">
        <v>577</v>
      </c>
    </row>
    <row r="1953" spans="1:2" x14ac:dyDescent="0.25">
      <c r="A1953">
        <v>10868219</v>
      </c>
      <c r="B1953" t="s">
        <v>577</v>
      </c>
    </row>
    <row r="1954" spans="1:2" x14ac:dyDescent="0.25">
      <c r="A1954">
        <v>10869496</v>
      </c>
      <c r="B1954" t="s">
        <v>577</v>
      </c>
    </row>
    <row r="1955" spans="1:2" x14ac:dyDescent="0.25">
      <c r="A1955">
        <v>10869526</v>
      </c>
      <c r="B1955" t="s">
        <v>577</v>
      </c>
    </row>
    <row r="1956" spans="1:2" x14ac:dyDescent="0.25">
      <c r="A1956">
        <v>10869639</v>
      </c>
      <c r="B1956" t="s">
        <v>577</v>
      </c>
    </row>
    <row r="1957" spans="1:2" x14ac:dyDescent="0.25">
      <c r="A1957">
        <v>10860499</v>
      </c>
      <c r="B1957" t="s">
        <v>575</v>
      </c>
    </row>
    <row r="1958" spans="1:2" x14ac:dyDescent="0.25">
      <c r="A1958">
        <v>10861032</v>
      </c>
      <c r="B1958" t="s">
        <v>577</v>
      </c>
    </row>
    <row r="1959" spans="1:2" x14ac:dyDescent="0.25">
      <c r="A1959">
        <v>10867131</v>
      </c>
      <c r="B1959" t="s">
        <v>577</v>
      </c>
    </row>
    <row r="1960" spans="1:2" x14ac:dyDescent="0.25">
      <c r="A1960">
        <v>10850894</v>
      </c>
      <c r="B1960" t="s">
        <v>577</v>
      </c>
    </row>
    <row r="1961" spans="1:2" x14ac:dyDescent="0.25">
      <c r="A1961">
        <v>10893807</v>
      </c>
      <c r="B1961" t="s">
        <v>577</v>
      </c>
    </row>
    <row r="1962" spans="1:2" x14ac:dyDescent="0.25">
      <c r="A1962">
        <v>10898058</v>
      </c>
      <c r="B1962" t="s">
        <v>578</v>
      </c>
    </row>
    <row r="1963" spans="1:2" x14ac:dyDescent="0.25">
      <c r="A1963">
        <v>10904180</v>
      </c>
      <c r="B1963" t="s">
        <v>577</v>
      </c>
    </row>
    <row r="1964" spans="1:2" x14ac:dyDescent="0.25">
      <c r="A1964">
        <v>10920661</v>
      </c>
      <c r="B1964" t="s">
        <v>577</v>
      </c>
    </row>
    <row r="1965" spans="1:2" x14ac:dyDescent="0.25">
      <c r="A1965">
        <v>10915665</v>
      </c>
      <c r="B1965" t="s">
        <v>577</v>
      </c>
    </row>
    <row r="1966" spans="1:2" x14ac:dyDescent="0.25">
      <c r="A1966">
        <v>10916151</v>
      </c>
      <c r="B1966" t="s">
        <v>577</v>
      </c>
    </row>
    <row r="1967" spans="1:2" x14ac:dyDescent="0.25">
      <c r="A1967">
        <v>10691481</v>
      </c>
      <c r="B1967" t="s">
        <v>577</v>
      </c>
    </row>
    <row r="1968" spans="1:2" x14ac:dyDescent="0.25">
      <c r="A1968">
        <v>10692039</v>
      </c>
      <c r="B1968" t="s">
        <v>577</v>
      </c>
    </row>
    <row r="1969" spans="1:2" x14ac:dyDescent="0.25">
      <c r="A1969">
        <v>11693311</v>
      </c>
      <c r="B1969" t="s">
        <v>575</v>
      </c>
    </row>
    <row r="1970" spans="1:2" x14ac:dyDescent="0.25">
      <c r="A1970">
        <v>11715944</v>
      </c>
      <c r="B1970" t="s">
        <v>579</v>
      </c>
    </row>
    <row r="1971" spans="1:2" x14ac:dyDescent="0.25">
      <c r="A1971">
        <v>11746723</v>
      </c>
      <c r="B1971" t="s">
        <v>575</v>
      </c>
    </row>
    <row r="1972" spans="1:2" x14ac:dyDescent="0.25">
      <c r="A1972">
        <v>11682454</v>
      </c>
      <c r="B1972" t="s">
        <v>575</v>
      </c>
    </row>
    <row r="1973" spans="1:2" x14ac:dyDescent="0.25">
      <c r="A1973">
        <v>11685706</v>
      </c>
      <c r="B1973" t="s">
        <v>576</v>
      </c>
    </row>
    <row r="1974" spans="1:2" x14ac:dyDescent="0.25">
      <c r="A1974">
        <v>11549074</v>
      </c>
      <c r="B1974" t="s">
        <v>575</v>
      </c>
    </row>
    <row r="1975" spans="1:2" x14ac:dyDescent="0.25">
      <c r="A1975">
        <v>11524388</v>
      </c>
      <c r="B1975" t="s">
        <v>579</v>
      </c>
    </row>
    <row r="1976" spans="1:2" x14ac:dyDescent="0.25">
      <c r="A1976">
        <v>11527692</v>
      </c>
      <c r="B1976" t="s">
        <v>575</v>
      </c>
    </row>
    <row r="1977" spans="1:2" x14ac:dyDescent="0.25">
      <c r="A1977">
        <v>11331877</v>
      </c>
      <c r="B1977" t="s">
        <v>575</v>
      </c>
    </row>
    <row r="1978" spans="1:2" x14ac:dyDescent="0.25">
      <c r="A1978">
        <v>11664724</v>
      </c>
      <c r="B1978" t="s">
        <v>575</v>
      </c>
    </row>
    <row r="1979" spans="1:2" x14ac:dyDescent="0.25">
      <c r="A1979">
        <v>11707234</v>
      </c>
      <c r="B1979" t="s">
        <v>575</v>
      </c>
    </row>
    <row r="1980" spans="1:2" x14ac:dyDescent="0.25">
      <c r="A1980">
        <v>11447359</v>
      </c>
      <c r="B1980" t="s">
        <v>576</v>
      </c>
    </row>
    <row r="1981" spans="1:2" x14ac:dyDescent="0.25">
      <c r="A1981">
        <v>11465068</v>
      </c>
      <c r="B1981" t="s">
        <v>575</v>
      </c>
    </row>
    <row r="1982" spans="1:2" x14ac:dyDescent="0.25">
      <c r="A1982">
        <v>10951238</v>
      </c>
      <c r="B1982" t="s">
        <v>577</v>
      </c>
    </row>
    <row r="1983" spans="1:2" x14ac:dyDescent="0.25">
      <c r="A1983">
        <v>11498479</v>
      </c>
      <c r="B1983" t="s">
        <v>575</v>
      </c>
    </row>
    <row r="1984" spans="1:2" x14ac:dyDescent="0.25">
      <c r="A1984">
        <v>11498689</v>
      </c>
      <c r="B1984" t="s">
        <v>575</v>
      </c>
    </row>
    <row r="1985" spans="1:2" x14ac:dyDescent="0.25">
      <c r="A1985">
        <v>11512476</v>
      </c>
      <c r="B1985" t="s">
        <v>579</v>
      </c>
    </row>
    <row r="1986" spans="1:2" x14ac:dyDescent="0.25">
      <c r="A1986">
        <v>11444637</v>
      </c>
      <c r="B1986" t="s">
        <v>580</v>
      </c>
    </row>
    <row r="1987" spans="1:2" x14ac:dyDescent="0.25">
      <c r="A1987">
        <v>11434479</v>
      </c>
      <c r="B1987" t="s">
        <v>575</v>
      </c>
    </row>
    <row r="1988" spans="1:2" x14ac:dyDescent="0.25">
      <c r="A1988">
        <v>11393183</v>
      </c>
      <c r="B1988" t="s">
        <v>577</v>
      </c>
    </row>
    <row r="1989" spans="1:2" x14ac:dyDescent="0.25">
      <c r="A1989">
        <v>11381611</v>
      </c>
      <c r="B1989" t="s">
        <v>575</v>
      </c>
    </row>
    <row r="1990" spans="1:2" x14ac:dyDescent="0.25">
      <c r="A1990">
        <v>11395125</v>
      </c>
      <c r="B1990" t="s">
        <v>578</v>
      </c>
    </row>
    <row r="1991" spans="1:2" x14ac:dyDescent="0.25">
      <c r="A1991">
        <v>11270435</v>
      </c>
      <c r="B1991" t="s">
        <v>580</v>
      </c>
    </row>
    <row r="1992" spans="1:2" x14ac:dyDescent="0.25">
      <c r="A1992">
        <v>11279361</v>
      </c>
      <c r="B1992" t="s">
        <v>577</v>
      </c>
    </row>
    <row r="1993" spans="1:2" x14ac:dyDescent="0.25">
      <c r="A1993">
        <v>11304512</v>
      </c>
      <c r="B1993" t="s">
        <v>575</v>
      </c>
    </row>
    <row r="1994" spans="1:2" x14ac:dyDescent="0.25">
      <c r="A1994">
        <v>11299844</v>
      </c>
      <c r="B1994" t="s">
        <v>580</v>
      </c>
    </row>
    <row r="1995" spans="1:2" x14ac:dyDescent="0.25">
      <c r="A1995">
        <v>11511313</v>
      </c>
      <c r="B1995" t="s">
        <v>575</v>
      </c>
    </row>
    <row r="1996" spans="1:2" x14ac:dyDescent="0.25">
      <c r="A1996">
        <v>11300254</v>
      </c>
      <c r="B1996" t="s">
        <v>577</v>
      </c>
    </row>
    <row r="1997" spans="1:2" x14ac:dyDescent="0.25">
      <c r="A1997">
        <v>11569192</v>
      </c>
      <c r="B1997" t="s">
        <v>575</v>
      </c>
    </row>
    <row r="1998" spans="1:2" x14ac:dyDescent="0.25">
      <c r="A1998">
        <v>11579756</v>
      </c>
      <c r="B1998" t="s">
        <v>575</v>
      </c>
    </row>
    <row r="1999" spans="1:2" x14ac:dyDescent="0.25">
      <c r="A1999">
        <v>11564403</v>
      </c>
    </row>
    <row r="2000" spans="1:2" x14ac:dyDescent="0.25">
      <c r="A2000">
        <v>11615648</v>
      </c>
      <c r="B2000" t="s">
        <v>577</v>
      </c>
    </row>
    <row r="2001" spans="1:2" x14ac:dyDescent="0.25">
      <c r="A2001">
        <v>11623779</v>
      </c>
      <c r="B2001" t="s">
        <v>576</v>
      </c>
    </row>
    <row r="2002" spans="1:2" x14ac:dyDescent="0.25">
      <c r="A2002">
        <v>11628281</v>
      </c>
      <c r="B2002" t="s">
        <v>577</v>
      </c>
    </row>
    <row r="2003" spans="1:2" x14ac:dyDescent="0.25">
      <c r="A2003">
        <v>11737026</v>
      </c>
      <c r="B2003" t="s">
        <v>580</v>
      </c>
    </row>
    <row r="2004" spans="1:2" x14ac:dyDescent="0.25">
      <c r="A2004">
        <v>11775944</v>
      </c>
      <c r="B2004" t="s">
        <v>577</v>
      </c>
    </row>
    <row r="2005" spans="1:2" x14ac:dyDescent="0.25">
      <c r="A2005">
        <v>11883217</v>
      </c>
      <c r="B2005" t="s">
        <v>577</v>
      </c>
    </row>
    <row r="2006" spans="1:2" x14ac:dyDescent="0.25">
      <c r="A2006">
        <v>11921300</v>
      </c>
      <c r="B2006" t="s">
        <v>575</v>
      </c>
    </row>
    <row r="2007" spans="1:2" x14ac:dyDescent="0.25">
      <c r="A2007">
        <v>11951528</v>
      </c>
      <c r="B2007" t="s">
        <v>577</v>
      </c>
    </row>
    <row r="2008" spans="1:2" x14ac:dyDescent="0.25">
      <c r="A2008">
        <v>11942450</v>
      </c>
      <c r="B2008" t="s">
        <v>575</v>
      </c>
    </row>
    <row r="2009" spans="1:2" x14ac:dyDescent="0.25">
      <c r="A2009">
        <v>11916697</v>
      </c>
      <c r="B2009" t="s">
        <v>575</v>
      </c>
    </row>
    <row r="2010" spans="1:2" x14ac:dyDescent="0.25">
      <c r="A2010">
        <v>11858304</v>
      </c>
      <c r="B2010" t="s">
        <v>575</v>
      </c>
    </row>
    <row r="2011" spans="1:2" x14ac:dyDescent="0.25">
      <c r="A2011">
        <v>11827579</v>
      </c>
      <c r="B2011" t="s">
        <v>575</v>
      </c>
    </row>
    <row r="2012" spans="1:2" x14ac:dyDescent="0.25">
      <c r="A2012">
        <v>11843195</v>
      </c>
      <c r="B2012" t="s">
        <v>575</v>
      </c>
    </row>
    <row r="2013" spans="1:2" x14ac:dyDescent="0.25">
      <c r="A2013">
        <v>11844676</v>
      </c>
      <c r="B2013" t="s">
        <v>580</v>
      </c>
    </row>
    <row r="2014" spans="1:2" x14ac:dyDescent="0.25">
      <c r="A2014">
        <v>11844725</v>
      </c>
      <c r="B2014" t="s">
        <v>580</v>
      </c>
    </row>
    <row r="2015" spans="1:2" x14ac:dyDescent="0.25">
      <c r="A2015">
        <v>11865613</v>
      </c>
      <c r="B2015" t="s">
        <v>576</v>
      </c>
    </row>
    <row r="2016" spans="1:2" x14ac:dyDescent="0.25">
      <c r="A2016">
        <v>12022721</v>
      </c>
      <c r="B2016" t="s">
        <v>575</v>
      </c>
    </row>
    <row r="2017" spans="1:2" x14ac:dyDescent="0.25">
      <c r="A2017">
        <v>10921422</v>
      </c>
      <c r="B2017" t="s">
        <v>577</v>
      </c>
    </row>
    <row r="2018" spans="1:2" x14ac:dyDescent="0.25">
      <c r="A2018">
        <v>10922721</v>
      </c>
      <c r="B2018" t="s">
        <v>575</v>
      </c>
    </row>
    <row r="2019" spans="1:2" x14ac:dyDescent="0.25">
      <c r="A2019">
        <v>10919044</v>
      </c>
      <c r="B2019" t="s">
        <v>575</v>
      </c>
    </row>
    <row r="2020" spans="1:2" x14ac:dyDescent="0.25">
      <c r="A2020">
        <v>10904914</v>
      </c>
      <c r="B2020" t="s">
        <v>578</v>
      </c>
    </row>
    <row r="2021" spans="1:2" x14ac:dyDescent="0.25">
      <c r="A2021">
        <v>10691527</v>
      </c>
      <c r="B2021" t="s">
        <v>577</v>
      </c>
    </row>
    <row r="2022" spans="1:2" x14ac:dyDescent="0.25">
      <c r="A2022">
        <v>10884777</v>
      </c>
      <c r="B2022" t="s">
        <v>579</v>
      </c>
    </row>
    <row r="2023" spans="1:2" x14ac:dyDescent="0.25">
      <c r="A2023">
        <v>10893618</v>
      </c>
      <c r="B2023" t="s">
        <v>575</v>
      </c>
    </row>
    <row r="2024" spans="1:2" x14ac:dyDescent="0.25">
      <c r="A2024">
        <v>10877161</v>
      </c>
      <c r="B2024" t="s">
        <v>575</v>
      </c>
    </row>
    <row r="2025" spans="1:2" x14ac:dyDescent="0.25">
      <c r="A2025">
        <v>10879479</v>
      </c>
      <c r="B2025" t="s">
        <v>575</v>
      </c>
    </row>
    <row r="2026" spans="1:2" x14ac:dyDescent="0.25">
      <c r="A2026">
        <v>10881110</v>
      </c>
      <c r="B2026" t="s">
        <v>576</v>
      </c>
    </row>
    <row r="2027" spans="1:2" x14ac:dyDescent="0.25">
      <c r="A2027">
        <v>10765916</v>
      </c>
      <c r="B2027" t="s">
        <v>575</v>
      </c>
    </row>
    <row r="2028" spans="1:2" x14ac:dyDescent="0.25">
      <c r="A2028">
        <v>10781568</v>
      </c>
      <c r="B2028" t="s">
        <v>575</v>
      </c>
    </row>
    <row r="2029" spans="1:2" x14ac:dyDescent="0.25">
      <c r="A2029">
        <v>10782207</v>
      </c>
      <c r="B2029" t="s">
        <v>575</v>
      </c>
    </row>
    <row r="2030" spans="1:2" x14ac:dyDescent="0.25">
      <c r="A2030">
        <v>10794033</v>
      </c>
      <c r="B2030" t="s">
        <v>579</v>
      </c>
    </row>
    <row r="2031" spans="1:2" x14ac:dyDescent="0.25">
      <c r="A2031">
        <v>10797650</v>
      </c>
      <c r="B2031" t="s">
        <v>575</v>
      </c>
    </row>
    <row r="2032" spans="1:2" x14ac:dyDescent="0.25">
      <c r="A2032">
        <v>10850362</v>
      </c>
      <c r="B2032" t="s">
        <v>575</v>
      </c>
    </row>
    <row r="2033" spans="1:2" x14ac:dyDescent="0.25">
      <c r="A2033">
        <v>10851143</v>
      </c>
      <c r="B2033" t="s">
        <v>578</v>
      </c>
    </row>
    <row r="2034" spans="1:2" x14ac:dyDescent="0.25">
      <c r="A2034">
        <v>10751641</v>
      </c>
      <c r="B2034" t="s">
        <v>580</v>
      </c>
    </row>
    <row r="2035" spans="1:2" x14ac:dyDescent="0.25">
      <c r="A2035">
        <v>10750569</v>
      </c>
      <c r="B2035" t="s">
        <v>580</v>
      </c>
    </row>
    <row r="2036" spans="1:2" x14ac:dyDescent="0.25">
      <c r="A2036">
        <v>10594958</v>
      </c>
      <c r="B2036" t="s">
        <v>577</v>
      </c>
    </row>
    <row r="2037" spans="1:2" x14ac:dyDescent="0.25">
      <c r="A2037">
        <v>10590214</v>
      </c>
      <c r="B2037" t="s">
        <v>579</v>
      </c>
    </row>
    <row r="2038" spans="1:2" x14ac:dyDescent="0.25">
      <c r="A2038">
        <v>10610471</v>
      </c>
      <c r="B2038" t="s">
        <v>577</v>
      </c>
    </row>
    <row r="2039" spans="1:2" x14ac:dyDescent="0.25">
      <c r="A2039">
        <v>10580602</v>
      </c>
      <c r="B2039" t="s">
        <v>575</v>
      </c>
    </row>
    <row r="2040" spans="1:2" x14ac:dyDescent="0.25">
      <c r="A2040">
        <v>10580665</v>
      </c>
      <c r="B2040" t="s">
        <v>577</v>
      </c>
    </row>
    <row r="2041" spans="1:2" x14ac:dyDescent="0.25">
      <c r="A2041">
        <v>10583128</v>
      </c>
      <c r="B2041" t="s">
        <v>577</v>
      </c>
    </row>
    <row r="2042" spans="1:2" x14ac:dyDescent="0.25">
      <c r="A2042">
        <v>10583203</v>
      </c>
      <c r="B2042" t="s">
        <v>577</v>
      </c>
    </row>
    <row r="2043" spans="1:2" x14ac:dyDescent="0.25">
      <c r="A2043">
        <v>10583847</v>
      </c>
      <c r="B2043" t="s">
        <v>577</v>
      </c>
    </row>
    <row r="2044" spans="1:2" x14ac:dyDescent="0.25">
      <c r="A2044">
        <v>10589210</v>
      </c>
      <c r="B2044" t="s">
        <v>577</v>
      </c>
    </row>
    <row r="2045" spans="1:2" x14ac:dyDescent="0.25">
      <c r="A2045">
        <v>10589395</v>
      </c>
      <c r="B2045" t="s">
        <v>577</v>
      </c>
    </row>
    <row r="2046" spans="1:2" x14ac:dyDescent="0.25">
      <c r="A2046">
        <v>10589414</v>
      </c>
      <c r="B2046" t="s">
        <v>577</v>
      </c>
    </row>
    <row r="2047" spans="1:2" x14ac:dyDescent="0.25">
      <c r="A2047">
        <v>10589498</v>
      </c>
      <c r="B2047" t="s">
        <v>575</v>
      </c>
    </row>
    <row r="2048" spans="1:2" x14ac:dyDescent="0.25">
      <c r="A2048">
        <v>10608811</v>
      </c>
      <c r="B2048" t="s">
        <v>576</v>
      </c>
    </row>
    <row r="2049" spans="1:2" x14ac:dyDescent="0.25">
      <c r="A2049">
        <v>10615968</v>
      </c>
      <c r="B2049" t="s">
        <v>580</v>
      </c>
    </row>
    <row r="2050" spans="1:2" x14ac:dyDescent="0.25">
      <c r="A2050">
        <v>11257822</v>
      </c>
      <c r="B2050" t="s">
        <v>577</v>
      </c>
    </row>
    <row r="2051" spans="1:2" x14ac:dyDescent="0.25">
      <c r="A2051">
        <v>10577408</v>
      </c>
      <c r="B2051" t="s">
        <v>577</v>
      </c>
    </row>
    <row r="2052" spans="1:2" x14ac:dyDescent="0.25">
      <c r="A2052">
        <v>10565887</v>
      </c>
      <c r="B2052" t="s">
        <v>579</v>
      </c>
    </row>
    <row r="2053" spans="1:2" x14ac:dyDescent="0.25">
      <c r="A2053">
        <v>10572118</v>
      </c>
      <c r="B2053" t="s">
        <v>575</v>
      </c>
    </row>
    <row r="2054" spans="1:2" x14ac:dyDescent="0.25">
      <c r="A2054">
        <v>10637945</v>
      </c>
      <c r="B2054" t="s">
        <v>579</v>
      </c>
    </row>
    <row r="2055" spans="1:2" x14ac:dyDescent="0.25">
      <c r="A2055">
        <v>10638303</v>
      </c>
      <c r="B2055" t="s">
        <v>578</v>
      </c>
    </row>
    <row r="2056" spans="1:2" x14ac:dyDescent="0.25">
      <c r="A2056">
        <v>10624639</v>
      </c>
      <c r="B2056" t="s">
        <v>575</v>
      </c>
    </row>
    <row r="2057" spans="1:2" x14ac:dyDescent="0.25">
      <c r="A2057">
        <v>10626690</v>
      </c>
      <c r="B2057" t="s">
        <v>576</v>
      </c>
    </row>
    <row r="2058" spans="1:2" x14ac:dyDescent="0.25">
      <c r="A2058">
        <v>10655248</v>
      </c>
      <c r="B2058" t="s">
        <v>577</v>
      </c>
    </row>
    <row r="2059" spans="1:2" x14ac:dyDescent="0.25">
      <c r="A2059">
        <v>10657111</v>
      </c>
      <c r="B2059" t="s">
        <v>578</v>
      </c>
    </row>
    <row r="2060" spans="1:2" x14ac:dyDescent="0.25">
      <c r="A2060">
        <v>10641259</v>
      </c>
      <c r="B2060" t="s">
        <v>577</v>
      </c>
    </row>
    <row r="2061" spans="1:2" x14ac:dyDescent="0.25">
      <c r="A2061">
        <v>10644770</v>
      </c>
      <c r="B2061" t="s">
        <v>579</v>
      </c>
    </row>
    <row r="2062" spans="1:2" x14ac:dyDescent="0.25">
      <c r="A2062">
        <v>10644974</v>
      </c>
      <c r="B2062" t="s">
        <v>575</v>
      </c>
    </row>
    <row r="2063" spans="1:2" x14ac:dyDescent="0.25">
      <c r="A2063">
        <v>10623971</v>
      </c>
      <c r="B2063" t="s">
        <v>575</v>
      </c>
    </row>
    <row r="2064" spans="1:2" x14ac:dyDescent="0.25">
      <c r="A2064">
        <v>10624054</v>
      </c>
      <c r="B2064" t="s">
        <v>577</v>
      </c>
    </row>
    <row r="2065" spans="1:2" x14ac:dyDescent="0.25">
      <c r="A2065">
        <v>10623631</v>
      </c>
      <c r="B2065" t="s">
        <v>577</v>
      </c>
    </row>
    <row r="2066" spans="1:2" x14ac:dyDescent="0.25">
      <c r="A2066">
        <v>10621734</v>
      </c>
      <c r="B2066" t="s">
        <v>577</v>
      </c>
    </row>
    <row r="2067" spans="1:2" x14ac:dyDescent="0.25">
      <c r="A2067">
        <v>10621890</v>
      </c>
      <c r="B2067" t="s">
        <v>575</v>
      </c>
    </row>
    <row r="2068" spans="1:2" x14ac:dyDescent="0.25">
      <c r="A2068">
        <v>10621914</v>
      </c>
      <c r="B2068" t="s">
        <v>575</v>
      </c>
    </row>
    <row r="2069" spans="1:2" x14ac:dyDescent="0.25">
      <c r="A2069">
        <v>10622159</v>
      </c>
      <c r="B2069" t="s">
        <v>577</v>
      </c>
    </row>
    <row r="2070" spans="1:2" x14ac:dyDescent="0.25">
      <c r="A2070">
        <v>10622261</v>
      </c>
      <c r="B2070" t="s">
        <v>577</v>
      </c>
    </row>
    <row r="2071" spans="1:2" x14ac:dyDescent="0.25">
      <c r="A2071">
        <v>10622429</v>
      </c>
      <c r="B2071" t="s">
        <v>576</v>
      </c>
    </row>
    <row r="2072" spans="1:2" x14ac:dyDescent="0.25">
      <c r="A2072">
        <v>10623517</v>
      </c>
      <c r="B2072" t="s">
        <v>577</v>
      </c>
    </row>
    <row r="2073" spans="1:2" x14ac:dyDescent="0.25">
      <c r="A2073">
        <v>10614204</v>
      </c>
      <c r="B2073" t="s">
        <v>578</v>
      </c>
    </row>
    <row r="2074" spans="1:2" x14ac:dyDescent="0.25">
      <c r="A2074">
        <v>10597756</v>
      </c>
      <c r="B2074" t="s">
        <v>576</v>
      </c>
    </row>
    <row r="2075" spans="1:2" x14ac:dyDescent="0.25">
      <c r="A2075">
        <v>10733484</v>
      </c>
      <c r="B2075" t="s">
        <v>577</v>
      </c>
    </row>
    <row r="2076" spans="1:2" x14ac:dyDescent="0.25">
      <c r="A2076">
        <v>10737628</v>
      </c>
      <c r="B2076" t="s">
        <v>577</v>
      </c>
    </row>
    <row r="2077" spans="1:2" x14ac:dyDescent="0.25">
      <c r="A2077">
        <v>10727456</v>
      </c>
      <c r="B2077" t="s">
        <v>578</v>
      </c>
    </row>
    <row r="2078" spans="1:2" x14ac:dyDescent="0.25">
      <c r="A2078">
        <v>10781389</v>
      </c>
      <c r="B2078" t="s">
        <v>578</v>
      </c>
    </row>
    <row r="2079" spans="1:2" x14ac:dyDescent="0.25">
      <c r="A2079">
        <v>10780737</v>
      </c>
      <c r="B2079" t="s">
        <v>577</v>
      </c>
    </row>
    <row r="2080" spans="1:2" x14ac:dyDescent="0.25">
      <c r="A2080">
        <v>10804235</v>
      </c>
      <c r="B2080" t="s">
        <v>579</v>
      </c>
    </row>
    <row r="2081" spans="1:2" x14ac:dyDescent="0.25">
      <c r="A2081">
        <v>10808557</v>
      </c>
      <c r="B2081" t="s">
        <v>577</v>
      </c>
    </row>
    <row r="2082" spans="1:2" x14ac:dyDescent="0.25">
      <c r="A2082">
        <v>10595672</v>
      </c>
      <c r="B2082" t="s">
        <v>578</v>
      </c>
    </row>
    <row r="2083" spans="1:2" x14ac:dyDescent="0.25">
      <c r="A2083">
        <v>10892001</v>
      </c>
    </row>
    <row r="2084" spans="1:2" x14ac:dyDescent="0.25">
      <c r="A2084">
        <v>10665770</v>
      </c>
      <c r="B2084" t="s">
        <v>578</v>
      </c>
    </row>
    <row r="2085" spans="1:2" x14ac:dyDescent="0.25">
      <c r="A2085">
        <v>10620379</v>
      </c>
      <c r="B2085" t="s">
        <v>576</v>
      </c>
    </row>
    <row r="2086" spans="1:2" x14ac:dyDescent="0.25">
      <c r="A2086">
        <v>11422465</v>
      </c>
      <c r="B2086" t="s">
        <v>575</v>
      </c>
    </row>
    <row r="2087" spans="1:2" x14ac:dyDescent="0.25">
      <c r="A2087">
        <v>10643397</v>
      </c>
      <c r="B2087" t="s">
        <v>579</v>
      </c>
    </row>
    <row r="2088" spans="1:2" x14ac:dyDescent="0.25">
      <c r="A2088">
        <v>10644875</v>
      </c>
      <c r="B2088" t="s">
        <v>579</v>
      </c>
    </row>
    <row r="2089" spans="1:2" x14ac:dyDescent="0.25">
      <c r="A2089">
        <v>10650572</v>
      </c>
      <c r="B2089" t="s">
        <v>575</v>
      </c>
    </row>
    <row r="2090" spans="1:2" x14ac:dyDescent="0.25">
      <c r="A2090">
        <v>10665511</v>
      </c>
      <c r="B2090" t="s">
        <v>575</v>
      </c>
    </row>
    <row r="2091" spans="1:2" x14ac:dyDescent="0.25">
      <c r="A2091">
        <v>10639663</v>
      </c>
      <c r="B2091" t="s">
        <v>580</v>
      </c>
    </row>
    <row r="2092" spans="1:2" x14ac:dyDescent="0.25">
      <c r="A2092">
        <v>10627783</v>
      </c>
      <c r="B2092" t="s">
        <v>575</v>
      </c>
    </row>
    <row r="2093" spans="1:2" x14ac:dyDescent="0.25">
      <c r="A2093">
        <v>10620898</v>
      </c>
      <c r="B2093" t="s">
        <v>575</v>
      </c>
    </row>
    <row r="2094" spans="1:2" x14ac:dyDescent="0.25">
      <c r="A2094">
        <v>10608837</v>
      </c>
      <c r="B2094" t="s">
        <v>576</v>
      </c>
    </row>
    <row r="2095" spans="1:2" x14ac:dyDescent="0.25">
      <c r="A2095">
        <v>10601766</v>
      </c>
      <c r="B2095" t="s">
        <v>577</v>
      </c>
    </row>
    <row r="2096" spans="1:2" x14ac:dyDescent="0.25">
      <c r="A2096">
        <v>10623136</v>
      </c>
      <c r="B2096" t="s">
        <v>575</v>
      </c>
    </row>
    <row r="2097" spans="1:2" x14ac:dyDescent="0.25">
      <c r="A2097">
        <v>10609417</v>
      </c>
      <c r="B2097" t="s">
        <v>575</v>
      </c>
    </row>
    <row r="2098" spans="1:2" x14ac:dyDescent="0.25">
      <c r="A2098">
        <v>10614259</v>
      </c>
      <c r="B2098" t="s">
        <v>575</v>
      </c>
    </row>
    <row r="2099" spans="1:2" x14ac:dyDescent="0.25">
      <c r="A2099">
        <v>10617978</v>
      </c>
      <c r="B2099" t="s">
        <v>579</v>
      </c>
    </row>
    <row r="2100" spans="1:2" x14ac:dyDescent="0.25">
      <c r="A2100">
        <v>10565957</v>
      </c>
      <c r="B2100" t="s">
        <v>579</v>
      </c>
    </row>
    <row r="2101" spans="1:2" x14ac:dyDescent="0.25">
      <c r="A2101">
        <v>10566399</v>
      </c>
      <c r="B2101" t="s">
        <v>577</v>
      </c>
    </row>
    <row r="2102" spans="1:2" x14ac:dyDescent="0.25">
      <c r="A2102">
        <v>10567513</v>
      </c>
      <c r="B2102" t="s">
        <v>575</v>
      </c>
    </row>
    <row r="2103" spans="1:2" x14ac:dyDescent="0.25">
      <c r="A2103">
        <v>10575766</v>
      </c>
      <c r="B2103" t="s">
        <v>575</v>
      </c>
    </row>
    <row r="2104" spans="1:2" x14ac:dyDescent="0.25">
      <c r="A2104">
        <v>10584889</v>
      </c>
      <c r="B2104" t="s">
        <v>577</v>
      </c>
    </row>
    <row r="2105" spans="1:2" x14ac:dyDescent="0.25">
      <c r="A2105">
        <v>10588876</v>
      </c>
      <c r="B2105" t="s">
        <v>575</v>
      </c>
    </row>
    <row r="2106" spans="1:2" x14ac:dyDescent="0.25">
      <c r="A2106">
        <v>10589017</v>
      </c>
      <c r="B2106" t="s">
        <v>575</v>
      </c>
    </row>
    <row r="2107" spans="1:2" x14ac:dyDescent="0.25">
      <c r="A2107">
        <v>10590887</v>
      </c>
      <c r="B2107" t="s">
        <v>575</v>
      </c>
    </row>
    <row r="2108" spans="1:2" x14ac:dyDescent="0.25">
      <c r="A2108">
        <v>10595463</v>
      </c>
      <c r="B2108" t="s">
        <v>575</v>
      </c>
    </row>
    <row r="2109" spans="1:2" x14ac:dyDescent="0.25">
      <c r="A2109">
        <v>10595742</v>
      </c>
      <c r="B2109" t="s">
        <v>576</v>
      </c>
    </row>
    <row r="2110" spans="1:2" x14ac:dyDescent="0.25">
      <c r="A2110">
        <v>10595388</v>
      </c>
      <c r="B2110" t="s">
        <v>575</v>
      </c>
    </row>
    <row r="2111" spans="1:2" x14ac:dyDescent="0.25">
      <c r="A2111">
        <v>10595392</v>
      </c>
      <c r="B2111" t="s">
        <v>580</v>
      </c>
    </row>
    <row r="2112" spans="1:2" x14ac:dyDescent="0.25">
      <c r="A2112">
        <v>10578265</v>
      </c>
      <c r="B2112" t="s">
        <v>579</v>
      </c>
    </row>
    <row r="2113" spans="1:2" x14ac:dyDescent="0.25">
      <c r="A2113">
        <v>10578279</v>
      </c>
      <c r="B2113" t="s">
        <v>575</v>
      </c>
    </row>
    <row r="2114" spans="1:2" x14ac:dyDescent="0.25">
      <c r="A2114">
        <v>10628730</v>
      </c>
      <c r="B2114" t="s">
        <v>575</v>
      </c>
    </row>
    <row r="2115" spans="1:2" x14ac:dyDescent="0.25">
      <c r="A2115">
        <v>11346670</v>
      </c>
      <c r="B2115" t="s">
        <v>575</v>
      </c>
    </row>
    <row r="2116" spans="1:2" x14ac:dyDescent="0.25">
      <c r="A2116">
        <v>11571805</v>
      </c>
      <c r="B2116" t="s">
        <v>575</v>
      </c>
    </row>
    <row r="2117" spans="1:2" x14ac:dyDescent="0.25">
      <c r="A2117">
        <v>11379126</v>
      </c>
      <c r="B2117" t="s">
        <v>575</v>
      </c>
    </row>
    <row r="2118" spans="1:2" x14ac:dyDescent="0.25">
      <c r="A2118">
        <v>11405544</v>
      </c>
      <c r="B2118" t="s">
        <v>575</v>
      </c>
    </row>
    <row r="2119" spans="1:2" x14ac:dyDescent="0.25">
      <c r="A2119">
        <v>11708061</v>
      </c>
      <c r="B2119" t="s">
        <v>577</v>
      </c>
    </row>
    <row r="2120" spans="1:2" x14ac:dyDescent="0.25">
      <c r="A2120">
        <v>11860545</v>
      </c>
      <c r="B2120" t="s">
        <v>575</v>
      </c>
    </row>
    <row r="2121" spans="1:2" x14ac:dyDescent="0.25">
      <c r="A2121">
        <v>10790033</v>
      </c>
      <c r="B2121" t="s">
        <v>576</v>
      </c>
    </row>
    <row r="2122" spans="1:2" x14ac:dyDescent="0.25">
      <c r="A2122">
        <v>10790347</v>
      </c>
      <c r="B2122" t="s">
        <v>575</v>
      </c>
    </row>
    <row r="2123" spans="1:2" x14ac:dyDescent="0.25">
      <c r="A2123">
        <v>11832452</v>
      </c>
    </row>
    <row r="2124" spans="1:2" x14ac:dyDescent="0.25">
      <c r="A2124">
        <v>11385747</v>
      </c>
      <c r="B2124" t="s">
        <v>575</v>
      </c>
    </row>
    <row r="2125" spans="1:2" x14ac:dyDescent="0.25">
      <c r="A2125">
        <v>11371270</v>
      </c>
      <c r="B2125" t="s">
        <v>575</v>
      </c>
    </row>
    <row r="2126" spans="1:2" x14ac:dyDescent="0.25">
      <c r="A2126">
        <v>11400319</v>
      </c>
      <c r="B2126" t="s">
        <v>575</v>
      </c>
    </row>
    <row r="2127" spans="1:2" x14ac:dyDescent="0.25">
      <c r="A2127">
        <v>11348185</v>
      </c>
      <c r="B2127" t="s">
        <v>577</v>
      </c>
    </row>
    <row r="2128" spans="1:2" x14ac:dyDescent="0.25">
      <c r="A2128">
        <v>11826088</v>
      </c>
      <c r="B2128" t="s">
        <v>580</v>
      </c>
    </row>
    <row r="2129" spans="1:2" x14ac:dyDescent="0.25">
      <c r="A2129">
        <v>11619491</v>
      </c>
      <c r="B2129" t="s">
        <v>575</v>
      </c>
    </row>
    <row r="2130" spans="1:2" x14ac:dyDescent="0.25">
      <c r="A2130">
        <v>11348882</v>
      </c>
      <c r="B2130" t="s">
        <v>575</v>
      </c>
    </row>
    <row r="2131" spans="1:2" x14ac:dyDescent="0.25">
      <c r="A2131">
        <v>11363915</v>
      </c>
      <c r="B2131" t="s">
        <v>575</v>
      </c>
    </row>
    <row r="2132" spans="1:2" x14ac:dyDescent="0.25">
      <c r="A2132">
        <v>11599483</v>
      </c>
      <c r="B2132" t="s">
        <v>575</v>
      </c>
    </row>
    <row r="2133" spans="1:2" x14ac:dyDescent="0.25">
      <c r="A2133">
        <v>11404623</v>
      </c>
      <c r="B2133" t="s">
        <v>577</v>
      </c>
    </row>
    <row r="2134" spans="1:2" x14ac:dyDescent="0.25">
      <c r="A2134">
        <v>11356313</v>
      </c>
      <c r="B2134" t="s">
        <v>577</v>
      </c>
    </row>
    <row r="2135" spans="1:2" x14ac:dyDescent="0.25">
      <c r="A2135">
        <v>11376032</v>
      </c>
      <c r="B2135" t="s">
        <v>577</v>
      </c>
    </row>
    <row r="2136" spans="1:2" x14ac:dyDescent="0.25">
      <c r="A2136">
        <v>11318868</v>
      </c>
      <c r="B2136" t="s">
        <v>577</v>
      </c>
    </row>
    <row r="2137" spans="1:2" x14ac:dyDescent="0.25">
      <c r="A2137">
        <v>11302924</v>
      </c>
      <c r="B2137" t="s">
        <v>577</v>
      </c>
    </row>
    <row r="2138" spans="1:2" x14ac:dyDescent="0.25">
      <c r="A2138">
        <v>11618817</v>
      </c>
      <c r="B2138" t="s">
        <v>577</v>
      </c>
    </row>
    <row r="2139" spans="1:2" x14ac:dyDescent="0.25">
      <c r="A2139">
        <v>11648017</v>
      </c>
      <c r="B2139" t="s">
        <v>577</v>
      </c>
    </row>
    <row r="2140" spans="1:2" x14ac:dyDescent="0.25">
      <c r="A2140">
        <v>11345196</v>
      </c>
      <c r="B2140" t="s">
        <v>577</v>
      </c>
    </row>
    <row r="2141" spans="1:2" x14ac:dyDescent="0.25">
      <c r="A2141">
        <v>11425029</v>
      </c>
      <c r="B2141" t="s">
        <v>577</v>
      </c>
    </row>
    <row r="2142" spans="1:2" x14ac:dyDescent="0.25">
      <c r="A2142">
        <v>11405634</v>
      </c>
      <c r="B2142" t="s">
        <v>575</v>
      </c>
    </row>
    <row r="2143" spans="1:2" x14ac:dyDescent="0.25">
      <c r="A2143">
        <v>11394061</v>
      </c>
      <c r="B2143" t="s">
        <v>575</v>
      </c>
    </row>
    <row r="2144" spans="1:2" x14ac:dyDescent="0.25">
      <c r="A2144">
        <v>11407220</v>
      </c>
      <c r="B2144" t="s">
        <v>577</v>
      </c>
    </row>
    <row r="2145" spans="1:2" x14ac:dyDescent="0.25">
      <c r="A2145">
        <v>11440821</v>
      </c>
      <c r="B2145" t="s">
        <v>577</v>
      </c>
    </row>
    <row r="2146" spans="1:2" x14ac:dyDescent="0.25">
      <c r="A2146">
        <v>11379346</v>
      </c>
      <c r="B2146" t="s">
        <v>575</v>
      </c>
    </row>
    <row r="2147" spans="1:2" x14ac:dyDescent="0.25">
      <c r="A2147">
        <v>11062050</v>
      </c>
      <c r="B2147" t="s">
        <v>575</v>
      </c>
    </row>
    <row r="2148" spans="1:2" x14ac:dyDescent="0.25">
      <c r="A2148">
        <v>10719149</v>
      </c>
      <c r="B2148" t="s">
        <v>576</v>
      </c>
    </row>
    <row r="2149" spans="1:2" x14ac:dyDescent="0.25">
      <c r="A2149">
        <v>11231327</v>
      </c>
      <c r="B2149" t="s">
        <v>578</v>
      </c>
    </row>
    <row r="2150" spans="1:2" x14ac:dyDescent="0.25">
      <c r="A2150">
        <v>11345584</v>
      </c>
      <c r="B2150" t="s">
        <v>575</v>
      </c>
    </row>
    <row r="2151" spans="1:2" x14ac:dyDescent="0.25">
      <c r="A2151">
        <v>11857547</v>
      </c>
      <c r="B2151" t="s">
        <v>580</v>
      </c>
    </row>
    <row r="2152" spans="1:2" x14ac:dyDescent="0.25">
      <c r="A2152">
        <v>11350108</v>
      </c>
      <c r="B2152" t="s">
        <v>577</v>
      </c>
    </row>
    <row r="2153" spans="1:2" x14ac:dyDescent="0.25">
      <c r="A2153">
        <v>11447315</v>
      </c>
      <c r="B2153" t="s">
        <v>576</v>
      </c>
    </row>
    <row r="2154" spans="1:2" x14ac:dyDescent="0.25">
      <c r="A2154">
        <v>11483931</v>
      </c>
      <c r="B2154" t="s">
        <v>576</v>
      </c>
    </row>
    <row r="2155" spans="1:2" x14ac:dyDescent="0.25">
      <c r="A2155">
        <v>10816536</v>
      </c>
      <c r="B2155" t="s">
        <v>577</v>
      </c>
    </row>
    <row r="2156" spans="1:2" x14ac:dyDescent="0.25">
      <c r="A2156">
        <v>10868823</v>
      </c>
      <c r="B2156" t="s">
        <v>575</v>
      </c>
    </row>
    <row r="2157" spans="1:2" x14ac:dyDescent="0.25">
      <c r="A2157">
        <v>10870501</v>
      </c>
      <c r="B2157" t="s">
        <v>577</v>
      </c>
    </row>
    <row r="2158" spans="1:2" x14ac:dyDescent="0.25">
      <c r="A2158">
        <v>10873254</v>
      </c>
      <c r="B2158" t="s">
        <v>577</v>
      </c>
    </row>
    <row r="2159" spans="1:2" x14ac:dyDescent="0.25">
      <c r="A2159">
        <v>10877455</v>
      </c>
      <c r="B2159" t="s">
        <v>577</v>
      </c>
    </row>
    <row r="2160" spans="1:2" x14ac:dyDescent="0.25">
      <c r="A2160">
        <v>10904333</v>
      </c>
      <c r="B2160" t="s">
        <v>577</v>
      </c>
    </row>
    <row r="2161" spans="1:2" x14ac:dyDescent="0.25">
      <c r="A2161">
        <v>10704139</v>
      </c>
      <c r="B2161" t="s">
        <v>577</v>
      </c>
    </row>
    <row r="2162" spans="1:2" x14ac:dyDescent="0.25">
      <c r="A2162">
        <v>10894240</v>
      </c>
      <c r="B2162" t="s">
        <v>577</v>
      </c>
    </row>
    <row r="2163" spans="1:2" x14ac:dyDescent="0.25">
      <c r="A2163">
        <v>10881268</v>
      </c>
      <c r="B2163" t="s">
        <v>577</v>
      </c>
    </row>
    <row r="2164" spans="1:2" x14ac:dyDescent="0.25">
      <c r="A2164">
        <v>10825193</v>
      </c>
      <c r="B2164" t="s">
        <v>577</v>
      </c>
    </row>
    <row r="2165" spans="1:2" x14ac:dyDescent="0.25">
      <c r="A2165">
        <v>10847542</v>
      </c>
      <c r="B2165" t="s">
        <v>577</v>
      </c>
    </row>
    <row r="2166" spans="1:2" x14ac:dyDescent="0.25">
      <c r="A2166">
        <v>10613309</v>
      </c>
      <c r="B2166" t="s">
        <v>575</v>
      </c>
    </row>
    <row r="2167" spans="1:2" x14ac:dyDescent="0.25">
      <c r="A2167">
        <v>10796614</v>
      </c>
      <c r="B2167" t="s">
        <v>577</v>
      </c>
    </row>
    <row r="2168" spans="1:2" x14ac:dyDescent="0.25">
      <c r="A2168">
        <v>10801540</v>
      </c>
      <c r="B2168" t="s">
        <v>577</v>
      </c>
    </row>
    <row r="2169" spans="1:2" x14ac:dyDescent="0.25">
      <c r="A2169">
        <v>11461304</v>
      </c>
      <c r="B2169" t="s">
        <v>575</v>
      </c>
    </row>
    <row r="2170" spans="1:2" x14ac:dyDescent="0.25">
      <c r="A2170">
        <v>11095212</v>
      </c>
      <c r="B2170" t="s">
        <v>575</v>
      </c>
    </row>
    <row r="2171" spans="1:2" x14ac:dyDescent="0.25">
      <c r="A2171">
        <v>11090607</v>
      </c>
      <c r="B2171" t="s">
        <v>575</v>
      </c>
    </row>
    <row r="2172" spans="1:2" x14ac:dyDescent="0.25">
      <c r="A2172">
        <v>10971582</v>
      </c>
      <c r="B2172" t="s">
        <v>577</v>
      </c>
    </row>
    <row r="2173" spans="1:2" x14ac:dyDescent="0.25">
      <c r="A2173">
        <v>11072933</v>
      </c>
      <c r="B2173" t="s">
        <v>575</v>
      </c>
    </row>
    <row r="2174" spans="1:2" x14ac:dyDescent="0.25">
      <c r="A2174">
        <v>11038381</v>
      </c>
      <c r="B2174" t="s">
        <v>577</v>
      </c>
    </row>
    <row r="2175" spans="1:2" x14ac:dyDescent="0.25">
      <c r="A2175">
        <v>11280537</v>
      </c>
      <c r="B2175" t="s">
        <v>577</v>
      </c>
    </row>
    <row r="2176" spans="1:2" x14ac:dyDescent="0.25">
      <c r="A2176">
        <v>11346500</v>
      </c>
      <c r="B2176" t="s">
        <v>575</v>
      </c>
    </row>
    <row r="2177" spans="1:2" x14ac:dyDescent="0.25">
      <c r="A2177">
        <v>11360269</v>
      </c>
      <c r="B2177" t="s">
        <v>575</v>
      </c>
    </row>
    <row r="2178" spans="1:2" x14ac:dyDescent="0.25">
      <c r="A2178">
        <v>11368045</v>
      </c>
      <c r="B2178" t="s">
        <v>576</v>
      </c>
    </row>
    <row r="2179" spans="1:2" x14ac:dyDescent="0.25">
      <c r="A2179">
        <v>11380279</v>
      </c>
      <c r="B2179" t="s">
        <v>580</v>
      </c>
    </row>
    <row r="2180" spans="1:2" x14ac:dyDescent="0.25">
      <c r="A2180">
        <v>11403007</v>
      </c>
      <c r="B2180" t="s">
        <v>575</v>
      </c>
    </row>
    <row r="2181" spans="1:2" x14ac:dyDescent="0.25">
      <c r="A2181">
        <v>11405328</v>
      </c>
      <c r="B2181" t="s">
        <v>577</v>
      </c>
    </row>
    <row r="2182" spans="1:2" x14ac:dyDescent="0.25">
      <c r="A2182">
        <v>11518450</v>
      </c>
      <c r="B2182" t="s">
        <v>575</v>
      </c>
    </row>
    <row r="2183" spans="1:2" x14ac:dyDescent="0.25">
      <c r="A2183">
        <v>11123950</v>
      </c>
      <c r="B2183" t="s">
        <v>575</v>
      </c>
    </row>
    <row r="2184" spans="1:2" x14ac:dyDescent="0.25">
      <c r="A2184">
        <v>11124460</v>
      </c>
      <c r="B2184" t="s">
        <v>577</v>
      </c>
    </row>
    <row r="2185" spans="1:2" x14ac:dyDescent="0.25">
      <c r="A2185">
        <v>11132858</v>
      </c>
      <c r="B2185" t="s">
        <v>575</v>
      </c>
    </row>
    <row r="2186" spans="1:2" x14ac:dyDescent="0.25">
      <c r="A2186">
        <v>11058280</v>
      </c>
      <c r="B2186" t="s">
        <v>577</v>
      </c>
    </row>
    <row r="2187" spans="1:2" x14ac:dyDescent="0.25">
      <c r="A2187">
        <v>10962990</v>
      </c>
      <c r="B2187" t="s">
        <v>577</v>
      </c>
    </row>
    <row r="2188" spans="1:2" x14ac:dyDescent="0.25">
      <c r="A2188">
        <v>10955391</v>
      </c>
      <c r="B2188" t="s">
        <v>575</v>
      </c>
    </row>
    <row r="2189" spans="1:2" x14ac:dyDescent="0.25">
      <c r="A2189">
        <v>10954406</v>
      </c>
      <c r="B2189" t="s">
        <v>577</v>
      </c>
    </row>
    <row r="2190" spans="1:2" x14ac:dyDescent="0.25">
      <c r="A2190">
        <v>11013051</v>
      </c>
      <c r="B2190" t="s">
        <v>579</v>
      </c>
    </row>
    <row r="2191" spans="1:2" x14ac:dyDescent="0.25">
      <c r="A2191">
        <v>10930723</v>
      </c>
      <c r="B2191" t="s">
        <v>575</v>
      </c>
    </row>
    <row r="2192" spans="1:2" x14ac:dyDescent="0.25">
      <c r="A2192">
        <v>10922736</v>
      </c>
      <c r="B2192" t="s">
        <v>577</v>
      </c>
    </row>
    <row r="2193" spans="1:2" x14ac:dyDescent="0.25">
      <c r="A2193">
        <v>10831529</v>
      </c>
      <c r="B2193" t="s">
        <v>580</v>
      </c>
    </row>
    <row r="2194" spans="1:2" x14ac:dyDescent="0.25">
      <c r="A2194">
        <v>10849506</v>
      </c>
      <c r="B2194" t="s">
        <v>575</v>
      </c>
    </row>
    <row r="2195" spans="1:2" x14ac:dyDescent="0.25">
      <c r="A2195">
        <v>10899716</v>
      </c>
      <c r="B2195" t="s">
        <v>575</v>
      </c>
    </row>
    <row r="2196" spans="1:2" x14ac:dyDescent="0.25">
      <c r="A2196">
        <v>10934165</v>
      </c>
      <c r="B2196" t="s">
        <v>578</v>
      </c>
    </row>
    <row r="2197" spans="1:2" x14ac:dyDescent="0.25">
      <c r="A2197">
        <v>10923734</v>
      </c>
      <c r="B2197" t="s">
        <v>576</v>
      </c>
    </row>
    <row r="2198" spans="1:2" x14ac:dyDescent="0.25">
      <c r="A2198">
        <v>10933472</v>
      </c>
      <c r="B2198" t="s">
        <v>577</v>
      </c>
    </row>
    <row r="2199" spans="1:2" x14ac:dyDescent="0.25">
      <c r="A2199">
        <v>10915370</v>
      </c>
      <c r="B2199" t="s">
        <v>575</v>
      </c>
    </row>
    <row r="2200" spans="1:2" x14ac:dyDescent="0.25">
      <c r="A2200">
        <v>10903742</v>
      </c>
      <c r="B2200" t="s">
        <v>575</v>
      </c>
    </row>
    <row r="2201" spans="1:2" x14ac:dyDescent="0.25">
      <c r="A2201">
        <v>10912162</v>
      </c>
      <c r="B2201" t="s">
        <v>576</v>
      </c>
    </row>
    <row r="2202" spans="1:2" x14ac:dyDescent="0.25">
      <c r="A2202">
        <v>10912241</v>
      </c>
      <c r="B2202" t="s">
        <v>576</v>
      </c>
    </row>
    <row r="2203" spans="1:2" x14ac:dyDescent="0.25">
      <c r="A2203">
        <v>11719927</v>
      </c>
      <c r="B2203" t="s">
        <v>578</v>
      </c>
    </row>
    <row r="2204" spans="1:2" x14ac:dyDescent="0.25">
      <c r="A2204">
        <v>11746608</v>
      </c>
      <c r="B2204" t="s">
        <v>577</v>
      </c>
    </row>
    <row r="2205" spans="1:2" x14ac:dyDescent="0.25">
      <c r="A2205">
        <v>11587874</v>
      </c>
      <c r="B2205" t="s">
        <v>577</v>
      </c>
    </row>
    <row r="2206" spans="1:2" x14ac:dyDescent="0.25">
      <c r="A2206">
        <v>11686506</v>
      </c>
      <c r="B2206" t="s">
        <v>577</v>
      </c>
    </row>
    <row r="2207" spans="1:2" x14ac:dyDescent="0.25">
      <c r="A2207">
        <v>11702239</v>
      </c>
      <c r="B2207" t="s">
        <v>577</v>
      </c>
    </row>
    <row r="2208" spans="1:2" x14ac:dyDescent="0.25">
      <c r="A2208">
        <v>11675305</v>
      </c>
      <c r="B2208" t="s">
        <v>575</v>
      </c>
    </row>
    <row r="2209" spans="1:2" x14ac:dyDescent="0.25">
      <c r="A2209">
        <v>11857034</v>
      </c>
      <c r="B2209" t="s">
        <v>575</v>
      </c>
    </row>
    <row r="2210" spans="1:2" x14ac:dyDescent="0.25">
      <c r="A2210">
        <v>11948139</v>
      </c>
      <c r="B2210" t="s">
        <v>575</v>
      </c>
    </row>
    <row r="2211" spans="1:2" x14ac:dyDescent="0.25">
      <c r="A2211">
        <v>10952763</v>
      </c>
      <c r="B2211" t="s">
        <v>575</v>
      </c>
    </row>
    <row r="2212" spans="1:2" x14ac:dyDescent="0.25">
      <c r="A2212">
        <v>11290631</v>
      </c>
      <c r="B2212" t="s">
        <v>575</v>
      </c>
    </row>
    <row r="2213" spans="1:2" x14ac:dyDescent="0.25">
      <c r="A2213">
        <v>11290658</v>
      </c>
      <c r="B2213" t="s">
        <v>575</v>
      </c>
    </row>
    <row r="2214" spans="1:2" x14ac:dyDescent="0.25">
      <c r="A2214">
        <v>11276200</v>
      </c>
      <c r="B2214" t="s">
        <v>580</v>
      </c>
    </row>
    <row r="2215" spans="1:2" x14ac:dyDescent="0.25">
      <c r="A2215">
        <v>11280408</v>
      </c>
      <c r="B2215" t="s">
        <v>575</v>
      </c>
    </row>
    <row r="2216" spans="1:2" x14ac:dyDescent="0.25">
      <c r="A2216">
        <v>11348385</v>
      </c>
      <c r="B2216" t="s">
        <v>580</v>
      </c>
    </row>
    <row r="2217" spans="1:2" x14ac:dyDescent="0.25">
      <c r="A2217">
        <v>11348065</v>
      </c>
      <c r="B2217" t="s">
        <v>575</v>
      </c>
    </row>
    <row r="2218" spans="1:2" x14ac:dyDescent="0.25">
      <c r="A2218">
        <v>11331617</v>
      </c>
      <c r="B2218" t="s">
        <v>580</v>
      </c>
    </row>
    <row r="2219" spans="1:2" x14ac:dyDescent="0.25">
      <c r="A2219">
        <v>11333325</v>
      </c>
      <c r="B2219" t="s">
        <v>575</v>
      </c>
    </row>
    <row r="2220" spans="1:2" x14ac:dyDescent="0.25">
      <c r="A2220">
        <v>11346556</v>
      </c>
      <c r="B2220" t="s">
        <v>578</v>
      </c>
    </row>
    <row r="2221" spans="1:2" x14ac:dyDescent="0.25">
      <c r="A2221">
        <v>11344565</v>
      </c>
      <c r="B2221" t="s">
        <v>578</v>
      </c>
    </row>
    <row r="2222" spans="1:2" x14ac:dyDescent="0.25">
      <c r="A2222">
        <v>11301260</v>
      </c>
      <c r="B2222" t="s">
        <v>575</v>
      </c>
    </row>
    <row r="2223" spans="1:2" x14ac:dyDescent="0.25">
      <c r="A2223">
        <v>10751375</v>
      </c>
      <c r="B2223" t="s">
        <v>576</v>
      </c>
    </row>
    <row r="2224" spans="1:2" x14ac:dyDescent="0.25">
      <c r="A2224">
        <v>10782630</v>
      </c>
      <c r="B2224" t="s">
        <v>575</v>
      </c>
    </row>
    <row r="2225" spans="1:2" x14ac:dyDescent="0.25">
      <c r="A2225">
        <v>10687926</v>
      </c>
      <c r="B2225" t="s">
        <v>578</v>
      </c>
    </row>
    <row r="2226" spans="1:2" x14ac:dyDescent="0.25">
      <c r="A2226">
        <v>10691487</v>
      </c>
      <c r="B2226" t="s">
        <v>576</v>
      </c>
    </row>
    <row r="2227" spans="1:2" x14ac:dyDescent="0.25">
      <c r="A2227">
        <v>10719851</v>
      </c>
      <c r="B2227" t="s">
        <v>577</v>
      </c>
    </row>
    <row r="2228" spans="1:2" x14ac:dyDescent="0.25">
      <c r="A2228">
        <v>11002797</v>
      </c>
      <c r="B2228" t="s">
        <v>575</v>
      </c>
    </row>
    <row r="2229" spans="1:2" x14ac:dyDescent="0.25">
      <c r="A2229">
        <v>10968443</v>
      </c>
      <c r="B2229" t="s">
        <v>575</v>
      </c>
    </row>
    <row r="2230" spans="1:2" x14ac:dyDescent="0.25">
      <c r="A2230">
        <v>10987728</v>
      </c>
      <c r="B2230" t="s">
        <v>579</v>
      </c>
    </row>
    <row r="2231" spans="1:2" x14ac:dyDescent="0.25">
      <c r="A2231">
        <v>10992120</v>
      </c>
      <c r="B2231" t="s">
        <v>575</v>
      </c>
    </row>
    <row r="2232" spans="1:2" x14ac:dyDescent="0.25">
      <c r="A2232">
        <v>10961468</v>
      </c>
      <c r="B2232" t="s">
        <v>580</v>
      </c>
    </row>
    <row r="2233" spans="1:2" x14ac:dyDescent="0.25">
      <c r="A2233">
        <v>10947994</v>
      </c>
      <c r="B2233" t="s">
        <v>575</v>
      </c>
    </row>
    <row r="2234" spans="1:2" x14ac:dyDescent="0.25">
      <c r="A2234">
        <v>11385999</v>
      </c>
      <c r="B2234" t="s">
        <v>579</v>
      </c>
    </row>
    <row r="2235" spans="1:2" x14ac:dyDescent="0.25">
      <c r="A2235">
        <v>11812374</v>
      </c>
      <c r="B2235" t="s">
        <v>578</v>
      </c>
    </row>
    <row r="2236" spans="1:2" x14ac:dyDescent="0.25">
      <c r="A2236">
        <v>11803303</v>
      </c>
      <c r="B2236" t="s">
        <v>575</v>
      </c>
    </row>
    <row r="2237" spans="1:2" x14ac:dyDescent="0.25">
      <c r="A2237">
        <v>11806684</v>
      </c>
      <c r="B2237" t="s">
        <v>577</v>
      </c>
    </row>
    <row r="2238" spans="1:2" x14ac:dyDescent="0.25">
      <c r="A2238">
        <v>11743456</v>
      </c>
      <c r="B2238" t="s">
        <v>575</v>
      </c>
    </row>
    <row r="2239" spans="1:2" x14ac:dyDescent="0.25">
      <c r="A2239">
        <v>11496644</v>
      </c>
      <c r="B2239" t="s">
        <v>580</v>
      </c>
    </row>
    <row r="2240" spans="1:2" x14ac:dyDescent="0.25">
      <c r="A2240">
        <v>11611126</v>
      </c>
      <c r="B2240" t="s">
        <v>575</v>
      </c>
    </row>
    <row r="2241" spans="1:2" x14ac:dyDescent="0.25">
      <c r="A2241">
        <v>11607209</v>
      </c>
      <c r="B2241" t="s">
        <v>575</v>
      </c>
    </row>
    <row r="2242" spans="1:2" x14ac:dyDescent="0.25">
      <c r="A2242">
        <v>11597932</v>
      </c>
      <c r="B2242" t="s">
        <v>579</v>
      </c>
    </row>
    <row r="2243" spans="1:2" x14ac:dyDescent="0.25">
      <c r="A2243">
        <v>11599540</v>
      </c>
      <c r="B2243" t="s">
        <v>575</v>
      </c>
    </row>
    <row r="2244" spans="1:2" x14ac:dyDescent="0.25">
      <c r="A2244">
        <v>11664703</v>
      </c>
      <c r="B2244" t="s">
        <v>575</v>
      </c>
    </row>
    <row r="2245" spans="1:2" x14ac:dyDescent="0.25">
      <c r="A2245">
        <v>10852883</v>
      </c>
      <c r="B2245" t="s">
        <v>576</v>
      </c>
    </row>
    <row r="2246" spans="1:2" x14ac:dyDescent="0.25">
      <c r="A2246">
        <v>11398532</v>
      </c>
      <c r="B2246" t="s">
        <v>575</v>
      </c>
    </row>
    <row r="2247" spans="1:2" x14ac:dyDescent="0.25">
      <c r="A2247">
        <v>11370666</v>
      </c>
      <c r="B2247" t="s">
        <v>576</v>
      </c>
    </row>
    <row r="2248" spans="1:2" x14ac:dyDescent="0.25">
      <c r="A2248">
        <v>11363382</v>
      </c>
      <c r="B2248" t="s">
        <v>575</v>
      </c>
    </row>
    <row r="2249" spans="1:2" x14ac:dyDescent="0.25">
      <c r="A2249">
        <v>11371137</v>
      </c>
      <c r="B2249" t="s">
        <v>576</v>
      </c>
    </row>
    <row r="2250" spans="1:2" x14ac:dyDescent="0.25">
      <c r="A2250">
        <v>11949340</v>
      </c>
      <c r="B2250" t="s">
        <v>576</v>
      </c>
    </row>
    <row r="2251" spans="1:2" x14ac:dyDescent="0.25">
      <c r="A2251">
        <v>11976456</v>
      </c>
      <c r="B2251" t="s">
        <v>575</v>
      </c>
    </row>
    <row r="2252" spans="1:2" x14ac:dyDescent="0.25">
      <c r="A2252">
        <v>11978275</v>
      </c>
      <c r="B2252" t="s">
        <v>576</v>
      </c>
    </row>
    <row r="2253" spans="1:2" x14ac:dyDescent="0.25">
      <c r="A2253">
        <v>12012532</v>
      </c>
      <c r="B2253" t="s">
        <v>575</v>
      </c>
    </row>
    <row r="2254" spans="1:2" x14ac:dyDescent="0.25">
      <c r="A2254">
        <v>12007108</v>
      </c>
      <c r="B2254" t="s">
        <v>575</v>
      </c>
    </row>
    <row r="2255" spans="1:2" x14ac:dyDescent="0.25">
      <c r="A2255">
        <v>12002261</v>
      </c>
      <c r="B2255" t="s">
        <v>576</v>
      </c>
    </row>
    <row r="2256" spans="1:2" x14ac:dyDescent="0.25">
      <c r="A2256">
        <v>12023868</v>
      </c>
      <c r="B2256" t="s">
        <v>575</v>
      </c>
    </row>
    <row r="2257" spans="1:2" x14ac:dyDescent="0.25">
      <c r="A2257">
        <v>12023976</v>
      </c>
      <c r="B2257" t="s">
        <v>575</v>
      </c>
    </row>
    <row r="2258" spans="1:2" x14ac:dyDescent="0.25">
      <c r="A2258">
        <v>12024031</v>
      </c>
      <c r="B2258" t="s">
        <v>578</v>
      </c>
    </row>
    <row r="2259" spans="1:2" x14ac:dyDescent="0.25">
      <c r="A2259">
        <v>11395433</v>
      </c>
      <c r="B2259" t="s">
        <v>579</v>
      </c>
    </row>
    <row r="2260" spans="1:2" x14ac:dyDescent="0.25">
      <c r="A2260">
        <v>11382010</v>
      </c>
      <c r="B2260" t="s">
        <v>576</v>
      </c>
    </row>
    <row r="2261" spans="1:2" x14ac:dyDescent="0.25">
      <c r="A2261">
        <v>12021648</v>
      </c>
      <c r="B2261" t="s">
        <v>575</v>
      </c>
    </row>
    <row r="2262" spans="1:2" x14ac:dyDescent="0.25">
      <c r="A2262">
        <v>11875914</v>
      </c>
      <c r="B2262" t="s">
        <v>577</v>
      </c>
    </row>
    <row r="2263" spans="1:2" x14ac:dyDescent="0.25">
      <c r="A2263">
        <v>11871590</v>
      </c>
      <c r="B2263" t="s">
        <v>575</v>
      </c>
    </row>
    <row r="2264" spans="1:2" x14ac:dyDescent="0.25">
      <c r="A2264">
        <v>11858022</v>
      </c>
      <c r="B2264" t="s">
        <v>575</v>
      </c>
    </row>
    <row r="2265" spans="1:2" x14ac:dyDescent="0.25">
      <c r="A2265">
        <v>11789649</v>
      </c>
      <c r="B2265" t="s">
        <v>579</v>
      </c>
    </row>
    <row r="2266" spans="1:2" x14ac:dyDescent="0.25">
      <c r="A2266">
        <v>11738122</v>
      </c>
      <c r="B2266" t="s">
        <v>575</v>
      </c>
    </row>
    <row r="2267" spans="1:2" x14ac:dyDescent="0.25">
      <c r="A2267">
        <v>11680530</v>
      </c>
      <c r="B2267" t="s">
        <v>578</v>
      </c>
    </row>
    <row r="2268" spans="1:2" x14ac:dyDescent="0.25">
      <c r="A2268">
        <v>11708785</v>
      </c>
      <c r="B2268" t="s">
        <v>576</v>
      </c>
    </row>
    <row r="2269" spans="1:2" x14ac:dyDescent="0.25">
      <c r="A2269">
        <v>11297983</v>
      </c>
      <c r="B2269" t="s">
        <v>577</v>
      </c>
    </row>
    <row r="2270" spans="1:2" x14ac:dyDescent="0.25">
      <c r="A2270">
        <v>11331813</v>
      </c>
      <c r="B2270" t="s">
        <v>578</v>
      </c>
    </row>
    <row r="2271" spans="1:2" x14ac:dyDescent="0.25">
      <c r="A2271">
        <v>10846258</v>
      </c>
      <c r="B2271" t="s">
        <v>575</v>
      </c>
    </row>
    <row r="2272" spans="1:2" x14ac:dyDescent="0.25">
      <c r="A2272">
        <v>11562089</v>
      </c>
      <c r="B2272" t="s">
        <v>577</v>
      </c>
    </row>
    <row r="2273" spans="1:2" x14ac:dyDescent="0.25">
      <c r="A2273">
        <v>11561275</v>
      </c>
      <c r="B2273" t="s">
        <v>576</v>
      </c>
    </row>
    <row r="2274" spans="1:2" x14ac:dyDescent="0.25">
      <c r="A2274">
        <v>11566253</v>
      </c>
      <c r="B2274" t="s">
        <v>575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01_Analise_Origem</vt:lpstr>
      <vt:lpstr>02_Analise_Mercado</vt:lpstr>
      <vt:lpstr>03_Analise_Porte</vt:lpstr>
      <vt:lpstr>04_Analise_Objetivo</vt:lpstr>
      <vt:lpstr>BASE_ANALISE</vt:lpstr>
      <vt:lpstr>ORIGEM</vt:lpstr>
      <vt:lpstr>MERCADO</vt:lpstr>
      <vt:lpstr>LOCAL</vt:lpstr>
      <vt:lpstr>PORTE</vt:lpstr>
      <vt:lpstr>OBJETIVO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538</dc:creator>
  <cp:lastModifiedBy>538</cp:lastModifiedBy>
  <dcterms:created xsi:type="dcterms:W3CDTF">2026-01-30T12:02:39Z</dcterms:created>
  <dcterms:modified xsi:type="dcterms:W3CDTF">2026-01-31T21:34:57Z</dcterms:modified>
</cp:coreProperties>
</file>